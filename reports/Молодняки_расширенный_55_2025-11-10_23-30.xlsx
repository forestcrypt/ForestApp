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8" yWindow="348" windowWidth="23256" windowHeight="9216" tabRatio="665" firstSheet="0" activeTab="14" autoFilterDateGrouping="1"/>
  </bookViews>
  <sheets>
    <sheet name="До рубки 208 1.1" sheetId="1" state="visible" r:id="rId1"/>
    <sheet name="Стр. 2 Породы (2)" sheetId="2" state="visible" r:id="rId2"/>
    <sheet name="До рубки 205 д.2" sheetId="3" state="visible" r:id="rId3"/>
    <sheet name="До рубки 183 в 10(осв)" sheetId="4" state="visible" r:id="rId4"/>
    <sheet name="До рубки 183 в 17(осв) " sheetId="5" state="visible" r:id="rId5"/>
    <sheet name="До рубки 174 в 17(осв)" sheetId="6" state="visible" r:id="rId6"/>
    <sheet name="До рубки 176 в 5(прч)" sheetId="7" state="visible" r:id="rId7"/>
    <sheet name="До рубки 155 в 23(прч)" sheetId="8" state="visible" r:id="rId8"/>
    <sheet name="До рубки 138 в 13(осв)" sheetId="9" state="visible" r:id="rId9"/>
    <sheet name="До рубки 138 в 22(прч)" sheetId="10" state="visible" r:id="rId10"/>
    <sheet name="До рубки 163 в 3( прч)" sheetId="11" state="visible" r:id="rId11"/>
    <sheet name="До рубки 135 в 34(осв)" sheetId="12" state="visible" r:id="rId12"/>
    <sheet name="До рубки 152 в 16(осв)" sheetId="13" state="visible" r:id="rId13"/>
    <sheet name="До рубки 151 в 8(осв)" sheetId="14" state="visible" r:id="rId14"/>
    <sheet name="До рубки 173 В 4" sheetId="15" state="visible" r:id="rId15"/>
    <sheet name="До рубки 152 В 26" sheetId="16" state="visible" r:id="rId16"/>
    <sheet name="Чистый бланк" sheetId="17" state="visible" r:id="rId17"/>
    <sheet name="До рубки 205 д.1" sheetId="18" state="visible" r:id="rId18"/>
    <sheet name="Проектируемые данныеПосле рубки" sheetId="19" state="visible" r:id="rId19"/>
    <sheet name="Расчёты для проекта" sheetId="20" state="visible" r:id="rId20"/>
    <sheet name="Проект" sheetId="21" state="visible" r:id="rId21"/>
    <sheet name="Стр. 1 Породы" sheetId="22" state="visible" r:id="rId22"/>
    <sheet name="Стр. 2 Породы" sheetId="23" state="visible" r:id="rId23"/>
    <sheet name="Стр. 1 Породы (2)" sheetId="24" state="visible" r:id="rId24"/>
  </sheets>
  <definedNames>
    <definedName name="_xlnm.Print_Area" localSheetId="20">'Проект'!$A$1:$M$58</definedName>
  </definedNames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3">
    <font>
      <name val="Calibri"/>
      <charset val="204"/>
      <family val="2"/>
      <color theme="1"/>
      <sz val="11"/>
      <scheme val="minor"/>
    </font>
    <font>
      <name val="Arial"/>
      <charset val="204"/>
      <family val="2"/>
      <color theme="1"/>
      <sz val="8"/>
    </font>
    <font>
      <name val="Arial"/>
      <charset val="204"/>
      <family val="2"/>
      <color theme="1"/>
      <sz val="10"/>
    </font>
    <font>
      <name val="Arial"/>
      <charset val="204"/>
      <family val="2"/>
      <color theme="1"/>
      <sz val="11"/>
    </font>
    <font>
      <name val="Times New Roman"/>
      <charset val="204"/>
      <family val="1"/>
      <i val="1"/>
      <color theme="1"/>
      <sz val="11"/>
    </font>
    <font>
      <name val="Calibri"/>
      <charset val="204"/>
      <family val="2"/>
      <b val="1"/>
      <i val="1"/>
      <color theme="1"/>
      <sz val="11"/>
      <scheme val="minor"/>
    </font>
    <font>
      <name val="Arial"/>
      <sz val="10"/>
    </font>
    <font>
      <name val="Arial"/>
      <charset val="204"/>
      <family val="2"/>
      <b val="1"/>
      <i val="1"/>
      <sz val="16"/>
    </font>
    <font>
      <name val="Arial"/>
      <charset val="204"/>
      <family val="2"/>
      <i val="1"/>
      <sz val="14"/>
    </font>
    <font>
      <name val="Arial"/>
      <charset val="204"/>
      <family val="2"/>
      <sz val="8"/>
    </font>
    <font>
      <name val="Arial"/>
      <charset val="204"/>
      <family val="2"/>
      <i val="1"/>
      <sz val="12"/>
    </font>
    <font>
      <name val="Arial"/>
      <charset val="204"/>
      <family val="2"/>
      <sz val="10"/>
    </font>
    <font>
      <name val="Arial"/>
      <charset val="204"/>
      <family val="2"/>
      <i val="1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5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vertical="center" wrapText="1"/>
    </xf>
    <xf numFmtId="0" fontId="3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 wrapText="1"/>
    </xf>
    <xf numFmtId="0" fontId="3" fillId="0" borderId="8" applyAlignment="1" pivotButton="0" quotePrefix="0" xfId="0">
      <alignment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2" fillId="0" borderId="13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2" fillId="0" borderId="8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2" fillId="0" borderId="17" applyAlignment="1" pivotButton="0" quotePrefix="0" xfId="0">
      <alignment vertical="center" wrapText="1"/>
    </xf>
    <xf numFmtId="0" fontId="2" fillId="0" borderId="18" applyAlignment="1" pivotButton="0" quotePrefix="0" xfId="0">
      <alignment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2" fillId="0" borderId="21" applyAlignment="1" pivotButton="0" quotePrefix="0" xfId="0">
      <alignment vertical="center" wrapText="1"/>
    </xf>
    <xf numFmtId="0" fontId="2" fillId="0" borderId="13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1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2" fillId="0" borderId="26" applyAlignment="1" pivotButton="0" quotePrefix="0" xfId="0">
      <alignment vertical="center" wrapText="1"/>
    </xf>
    <xf numFmtId="0" fontId="2" fillId="0" borderId="27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1" fillId="0" borderId="19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0" fillId="0" borderId="33" pivotButton="0" quotePrefix="0" xfId="0"/>
    <xf numFmtId="0" fontId="5" fillId="0" borderId="0" pivotButton="0" quotePrefix="0" xfId="0"/>
    <xf numFmtId="0" fontId="0" fillId="0" borderId="0" pivotButton="0" quotePrefix="0" xfId="0"/>
    <xf numFmtId="0" fontId="3" fillId="0" borderId="27" applyAlignment="1" pivotButton="0" quotePrefix="0" xfId="0">
      <alignment vertical="center"/>
    </xf>
    <xf numFmtId="0" fontId="1" fillId="0" borderId="34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 wrapText="1"/>
    </xf>
    <xf numFmtId="0" fontId="1" fillId="0" borderId="36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 wrapText="1"/>
    </xf>
    <xf numFmtId="164" fontId="0" fillId="0" borderId="0" pivotButton="0" quotePrefix="0" xfId="0"/>
    <xf numFmtId="164" fontId="3" fillId="0" borderId="5" applyAlignment="1" pivotButton="0" quotePrefix="0" xfId="0">
      <alignment vertical="center"/>
    </xf>
    <xf numFmtId="164" fontId="3" fillId="0" borderId="9" applyAlignment="1" pivotButton="0" quotePrefix="0" xfId="0">
      <alignment vertical="center"/>
    </xf>
    <xf numFmtId="164" fontId="3" fillId="0" borderId="13" applyAlignment="1" pivotButton="0" quotePrefix="0" xfId="0">
      <alignment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2" borderId="40" pivotButton="0" quotePrefix="0" xfId="0"/>
    <xf numFmtId="0" fontId="1" fillId="0" borderId="47" applyAlignment="1" pivotButton="0" quotePrefix="0" xfId="0">
      <alignment horizontal="center" vertical="center" wrapText="1"/>
    </xf>
    <xf numFmtId="0" fontId="2" fillId="0" borderId="38" applyAlignment="1" pivotButton="0" quotePrefix="0" xfId="0">
      <alignment vertical="center" wrapText="1"/>
    </xf>
    <xf numFmtId="0" fontId="1" fillId="0" borderId="48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32" pivotButton="0" quotePrefix="0" xfId="0"/>
    <xf numFmtId="0" fontId="0" fillId="0" borderId="52" pivotButton="0" quotePrefix="0" xfId="0"/>
    <xf numFmtId="164" fontId="3" fillId="0" borderId="27" applyAlignment="1" pivotButton="0" quotePrefix="0" xfId="0">
      <alignment vertical="center"/>
    </xf>
    <xf numFmtId="164" fontId="3" fillId="0" borderId="5" applyAlignment="1" pivotButton="0" quotePrefix="0" xfId="0">
      <alignment vertical="center" wrapText="1"/>
    </xf>
    <xf numFmtId="164" fontId="3" fillId="0" borderId="27" applyAlignment="1" pivotButton="0" quotePrefix="0" xfId="0">
      <alignment vertical="center" wrapText="1"/>
    </xf>
    <xf numFmtId="164" fontId="3" fillId="0" borderId="8" applyAlignment="1" pivotButton="0" quotePrefix="0" xfId="0">
      <alignment vertical="center"/>
    </xf>
    <xf numFmtId="164" fontId="3" fillId="0" borderId="9" applyAlignment="1" pivotButton="0" quotePrefix="0" xfId="0">
      <alignment vertical="center" wrapText="1"/>
    </xf>
    <xf numFmtId="164" fontId="0" fillId="0" borderId="42" pivotButton="0" quotePrefix="0" xfId="0"/>
    <xf numFmtId="164" fontId="0" fillId="0" borderId="49" pivotButton="0" quotePrefix="0" xfId="0"/>
    <xf numFmtId="164" fontId="0" fillId="0" borderId="43" pivotButton="0" quotePrefix="0" xfId="0"/>
    <xf numFmtId="2" fontId="0" fillId="0" borderId="0" pivotButton="0" quotePrefix="0" xfId="0"/>
    <xf numFmtId="0" fontId="0" fillId="0" borderId="0" pivotButton="0" quotePrefix="0" xfId="0"/>
    <xf numFmtId="0" fontId="1" fillId="0" borderId="53" applyAlignment="1" pivotButton="0" quotePrefix="0" xfId="0">
      <alignment horizontal="center" vertical="center" wrapText="1"/>
    </xf>
    <xf numFmtId="0" fontId="2" fillId="0" borderId="33" applyAlignment="1" pivotButton="0" quotePrefix="0" xfId="0">
      <alignment vertical="center" wrapText="1"/>
    </xf>
    <xf numFmtId="0" fontId="2" fillId="0" borderId="54" applyAlignment="1" pivotButton="0" quotePrefix="0" xfId="0">
      <alignment vertical="center" wrapText="1"/>
    </xf>
    <xf numFmtId="0" fontId="3" fillId="0" borderId="54" applyAlignment="1" pivotButton="0" quotePrefix="0" xfId="0">
      <alignment vertical="center" wrapText="1"/>
    </xf>
    <xf numFmtId="0" fontId="3" fillId="0" borderId="55" applyAlignment="1" pivotButton="0" quotePrefix="0" xfId="0">
      <alignment vertical="center" wrapText="1"/>
    </xf>
    <xf numFmtId="0" fontId="6" fillId="0" borderId="0" pivotButton="0" quotePrefix="0" xfId="1"/>
    <xf numFmtId="0" fontId="8" fillId="0" borderId="0" pivotButton="0" quotePrefix="0" xfId="1"/>
    <xf numFmtId="0" fontId="6" fillId="0" borderId="0" applyAlignment="1" pivotButton="0" quotePrefix="0" xfId="1">
      <alignment horizontal="center"/>
    </xf>
    <xf numFmtId="0" fontId="10" fillId="0" borderId="0" pivotButton="0" quotePrefix="0" xfId="1"/>
    <xf numFmtId="0" fontId="6" fillId="0" borderId="33" pivotButton="0" quotePrefix="0" xfId="1"/>
    <xf numFmtId="0" fontId="9" fillId="0" borderId="57" pivotButton="0" quotePrefix="0" xfId="1"/>
    <xf numFmtId="0" fontId="9" fillId="0" borderId="58" pivotButton="0" quotePrefix="0" xfId="1"/>
    <xf numFmtId="0" fontId="9" fillId="0" borderId="27" applyAlignment="1" pivotButton="0" quotePrefix="0" xfId="1">
      <alignment horizontal="center" wrapText="1"/>
    </xf>
    <xf numFmtId="0" fontId="9" fillId="0" borderId="38" pivotButton="0" quotePrefix="0" xfId="1"/>
    <xf numFmtId="0" fontId="9" fillId="0" borderId="31" pivotButton="0" quotePrefix="0" xfId="1"/>
    <xf numFmtId="0" fontId="9" fillId="0" borderId="38" applyAlignment="1" pivotButton="0" quotePrefix="0" xfId="1">
      <alignment horizontal="center" wrapText="1"/>
    </xf>
    <xf numFmtId="0" fontId="9" fillId="0" borderId="5" applyAlignment="1" pivotButton="0" quotePrefix="0" xfId="1">
      <alignment horizontal="center" wrapText="1"/>
    </xf>
    <xf numFmtId="49" fontId="11" fillId="0" borderId="38" applyAlignment="1" pivotButton="0" quotePrefix="0" xfId="1">
      <alignment horizontal="center" vertical="center" wrapText="1"/>
    </xf>
    <xf numFmtId="0" fontId="11" fillId="0" borderId="5" applyAlignment="1" pivotButton="0" quotePrefix="0" xfId="1">
      <alignment vertical="center" wrapText="1"/>
    </xf>
    <xf numFmtId="164" fontId="11" fillId="0" borderId="38" applyAlignment="1" pivotButton="0" quotePrefix="0" xfId="1">
      <alignment horizontal="center" vertical="center" wrapText="1"/>
    </xf>
    <xf numFmtId="3" fontId="11" fillId="0" borderId="5" applyAlignment="1" pivotButton="0" quotePrefix="0" xfId="1">
      <alignment vertical="center" wrapText="1"/>
    </xf>
    <xf numFmtId="1" fontId="11" fillId="0" borderId="5" applyAlignment="1" pivotButton="0" quotePrefix="0" xfId="1">
      <alignment vertical="center" wrapText="1"/>
    </xf>
    <xf numFmtId="0" fontId="10" fillId="0" borderId="5" applyAlignment="1" pivotButton="0" quotePrefix="0" xfId="1">
      <alignment horizontal="center" vertical="center"/>
    </xf>
    <xf numFmtId="0" fontId="12" fillId="0" borderId="5" applyAlignment="1" pivotButton="0" quotePrefix="0" xfId="1">
      <alignment horizontal="center" vertical="center" wrapText="1"/>
    </xf>
    <xf numFmtId="0" fontId="10" fillId="0" borderId="33" pivotButton="0" quotePrefix="0" xfId="1"/>
    <xf numFmtId="0" fontId="10" fillId="0" borderId="56" pivotButton="0" quotePrefix="0" xfId="1"/>
    <xf numFmtId="0" fontId="6" fillId="3" borderId="0" pivotButton="0" quotePrefix="0" xfId="1"/>
    <xf numFmtId="0" fontId="11" fillId="0" borderId="0" pivotButton="0" quotePrefix="0" xfId="1"/>
    <xf numFmtId="1" fontId="11" fillId="0" borderId="5" applyAlignment="1" pivotButton="0" quotePrefix="0" xfId="1">
      <alignment horizontal="right" vertical="center" wrapText="1"/>
    </xf>
    <xf numFmtId="0" fontId="0" fillId="0" borderId="57" pivotButton="0" quotePrefix="0" xfId="0"/>
    <xf numFmtId="0" fontId="0" fillId="0" borderId="56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38" pivotButton="0" quotePrefix="0" xfId="0"/>
    <xf numFmtId="0" fontId="0" fillId="0" borderId="21" pivotButton="0" quotePrefix="0" xfId="0"/>
    <xf numFmtId="165" fontId="0" fillId="0" borderId="0" pivotButton="0" quotePrefix="0" xfId="0"/>
    <xf numFmtId="2" fontId="0" fillId="0" borderId="0" pivotButton="0" quotePrefix="0" xfId="0"/>
    <xf numFmtId="2" fontId="0" fillId="0" borderId="60" pivotButton="0" quotePrefix="0" xfId="0"/>
    <xf numFmtId="165" fontId="0" fillId="0" borderId="33" pivotButton="0" quotePrefix="0" xfId="0"/>
    <xf numFmtId="1" fontId="0" fillId="0" borderId="38" pivotButton="0" quotePrefix="0" xfId="0"/>
    <xf numFmtId="0" fontId="5" fillId="0" borderId="33" pivotButton="0" quotePrefix="0" xfId="0"/>
    <xf numFmtId="0" fontId="4" fillId="0" borderId="33" applyAlignment="1" pivotButton="0" quotePrefix="0" xfId="0">
      <alignment vertical="center"/>
    </xf>
    <xf numFmtId="0" fontId="2" fillId="0" borderId="23" applyAlignment="1" pivotButton="0" quotePrefix="0" xfId="0">
      <alignment horizontal="center" vertical="center"/>
    </xf>
    <xf numFmtId="0" fontId="2" fillId="0" borderId="62" applyAlignment="1" pivotButton="0" quotePrefix="0" xfId="0">
      <alignment vertical="center" wrapText="1"/>
    </xf>
    <xf numFmtId="0" fontId="2" fillId="0" borderId="24" applyAlignment="1" pivotButton="0" quotePrefix="0" xfId="0">
      <alignment horizontal="center" vertical="center"/>
    </xf>
    <xf numFmtId="0" fontId="2" fillId="0" borderId="63" applyAlignment="1" pivotButton="0" quotePrefix="0" xfId="0">
      <alignment horizontal="center" vertical="center"/>
    </xf>
    <xf numFmtId="0" fontId="2" fillId="0" borderId="59" applyAlignment="1" pivotButton="0" quotePrefix="0" xfId="0">
      <alignment vertical="center" wrapText="1"/>
    </xf>
    <xf numFmtId="0" fontId="2" fillId="0" borderId="57" applyAlignment="1" pivotButton="0" quotePrefix="0" xfId="0">
      <alignment vertical="center" wrapText="1"/>
    </xf>
    <xf numFmtId="0" fontId="2" fillId="0" borderId="64" applyAlignment="1" pivotButton="0" quotePrefix="0" xfId="0">
      <alignment vertical="center" wrapText="1"/>
    </xf>
    <xf numFmtId="0" fontId="2" fillId="0" borderId="65" applyAlignment="1" pivotButton="0" quotePrefix="0" xfId="0">
      <alignment vertical="center" wrapText="1"/>
    </xf>
    <xf numFmtId="0" fontId="2" fillId="0" borderId="67" applyAlignment="1" pivotButton="0" quotePrefix="0" xfId="0">
      <alignment vertical="center" wrapText="1"/>
    </xf>
    <xf numFmtId="164" fontId="0" fillId="0" borderId="60" pivotButton="0" quotePrefix="0" xfId="0"/>
    <xf numFmtId="164" fontId="0" fillId="0" borderId="0" pivotButton="0" quotePrefix="0" xfId="0"/>
    <xf numFmtId="164" fontId="0" fillId="0" borderId="61" pivotButton="0" quotePrefix="0" xfId="0"/>
    <xf numFmtId="0" fontId="0" fillId="0" borderId="0" pivotButton="0" quotePrefix="0" xfId="0"/>
    <xf numFmtId="164" fontId="0" fillId="0" borderId="38" pivotButton="0" quotePrefix="0" xfId="0"/>
    <xf numFmtId="164" fontId="0" fillId="0" borderId="33" pivotButton="0" quotePrefix="0" xfId="0"/>
    <xf numFmtId="2" fontId="0" fillId="0" borderId="33" pivotButton="0" quotePrefix="0" xfId="0"/>
    <xf numFmtId="2" fontId="0" fillId="0" borderId="21" pivotButton="0" quotePrefix="0" xfId="0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pivotButton="0" quotePrefix="0" xfId="1"/>
    <xf numFmtId="0" fontId="6" fillId="0" borderId="57" pivotButton="0" quotePrefix="0" xfId="1"/>
    <xf numFmtId="0" fontId="6" fillId="0" borderId="56" pivotButton="0" quotePrefix="0" xfId="1"/>
    <xf numFmtId="0" fontId="6" fillId="0" borderId="59" pivotButton="0" quotePrefix="0" xfId="1"/>
    <xf numFmtId="164" fontId="6" fillId="0" borderId="60" pivotButton="0" quotePrefix="0" xfId="1"/>
    <xf numFmtId="0" fontId="6" fillId="0" borderId="61" pivotButton="0" quotePrefix="0" xfId="1"/>
    <xf numFmtId="0" fontId="6" fillId="0" borderId="60" pivotButton="0" quotePrefix="0" xfId="1"/>
    <xf numFmtId="0" fontId="6" fillId="0" borderId="38" pivotButton="0" quotePrefix="0" xfId="1"/>
    <xf numFmtId="0" fontId="6" fillId="0" borderId="21" pivotButton="0" quotePrefix="0" xfId="1"/>
    <xf numFmtId="164" fontId="6" fillId="0" borderId="61" pivotButton="0" quotePrefix="0" xfId="1"/>
    <xf numFmtId="164" fontId="6" fillId="0" borderId="38" pivotButton="0" quotePrefix="0" xfId="1"/>
    <xf numFmtId="164" fontId="6" fillId="0" borderId="21" pivotButton="0" quotePrefix="0" xfId="1"/>
    <xf numFmtId="0" fontId="6" fillId="0" borderId="58" pivotButton="0" quotePrefix="0" xfId="1"/>
    <xf numFmtId="0" fontId="6" fillId="0" borderId="49" pivotButton="0" quotePrefix="0" xfId="1"/>
    <xf numFmtId="0" fontId="6" fillId="0" borderId="31" pivotButton="0" quotePrefix="0" xfId="1"/>
    <xf numFmtId="165" fontId="6" fillId="0" borderId="60" pivotButton="0" quotePrefix="0" xfId="1"/>
    <xf numFmtId="165" fontId="6" fillId="0" borderId="61" pivotButton="0" quotePrefix="0" xfId="1"/>
    <xf numFmtId="165" fontId="6" fillId="0" borderId="38" pivotButton="0" quotePrefix="0" xfId="1"/>
    <xf numFmtId="165" fontId="6" fillId="0" borderId="21" pivotButton="0" quotePrefix="0" xfId="1"/>
    <xf numFmtId="0" fontId="2" fillId="0" borderId="10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2" fontId="2" fillId="0" borderId="11" applyAlignment="1" pivotButton="0" quotePrefix="0" xfId="0">
      <alignment vertical="center" wrapText="1"/>
    </xf>
    <xf numFmtId="2" fontId="2" fillId="0" borderId="12" applyAlignment="1" pivotButton="0" quotePrefix="0" xfId="0">
      <alignment vertical="center" wrapText="1"/>
    </xf>
    <xf numFmtId="2" fontId="2" fillId="0" borderId="10" applyAlignment="1" pivotButton="0" quotePrefix="0" xfId="0">
      <alignment vertical="center" wrapText="1"/>
    </xf>
    <xf numFmtId="0" fontId="2" fillId="0" borderId="49" applyAlignment="1" pivotButton="0" quotePrefix="0" xfId="0">
      <alignment vertical="center" wrapText="1"/>
    </xf>
    <xf numFmtId="0" fontId="2" fillId="0" borderId="61" applyAlignment="1" pivotButton="0" quotePrefix="0" xfId="0">
      <alignment vertical="center" wrapText="1"/>
    </xf>
    <xf numFmtId="2" fontId="2" fillId="0" borderId="62" applyAlignment="1" pivotButton="0" quotePrefix="0" xfId="0">
      <alignment vertical="center" wrapText="1"/>
    </xf>
    <xf numFmtId="2" fontId="2" fillId="0" borderId="6" applyAlignment="1" pivotButton="0" quotePrefix="0" xfId="0">
      <alignment vertical="center" wrapText="1"/>
    </xf>
    <xf numFmtId="2" fontId="2" fillId="0" borderId="66" applyAlignment="1" pivotButton="0" quotePrefix="0" xfId="0">
      <alignment vertical="center" wrapText="1"/>
    </xf>
    <xf numFmtId="2" fontId="2" fillId="0" borderId="7" applyAlignment="1" pivotButton="0" quotePrefix="0" xfId="0">
      <alignment vertical="center" wrapText="1"/>
    </xf>
    <xf numFmtId="0" fontId="2" fillId="0" borderId="71" applyAlignment="1" pivotButton="0" quotePrefix="0" xfId="0">
      <alignment vertical="center" wrapText="1"/>
    </xf>
    <xf numFmtId="0" fontId="2" fillId="0" borderId="60" applyAlignment="1" pivotButton="0" quotePrefix="0" xfId="0">
      <alignment vertical="center" wrapText="1"/>
    </xf>
    <xf numFmtId="2" fontId="2" fillId="0" borderId="26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2" fontId="2" fillId="0" borderId="69" applyAlignment="1" pivotButton="0" quotePrefix="0" xfId="0">
      <alignment vertical="center" wrapText="1"/>
    </xf>
    <xf numFmtId="2" fontId="2" fillId="0" borderId="74" applyAlignment="1" pivotButton="0" quotePrefix="0" xfId="0">
      <alignment vertical="center" wrapText="1"/>
    </xf>
    <xf numFmtId="2" fontId="2" fillId="0" borderId="50" applyAlignment="1" pivotButton="0" quotePrefix="0" xfId="0">
      <alignment vertical="center" wrapText="1"/>
    </xf>
    <xf numFmtId="2" fontId="2" fillId="0" borderId="75" applyAlignment="1" pivotButton="0" quotePrefix="0" xfId="0">
      <alignment vertical="center" wrapText="1"/>
    </xf>
    <xf numFmtId="2" fontId="2" fillId="0" borderId="76" applyAlignment="1" pivotButton="0" quotePrefix="0" xfId="0">
      <alignment vertical="center" wrapText="1"/>
    </xf>
    <xf numFmtId="2" fontId="2" fillId="0" borderId="77" applyAlignment="1" pivotButton="0" quotePrefix="0" xfId="0">
      <alignment vertical="center" wrapText="1"/>
    </xf>
    <xf numFmtId="2" fontId="2" fillId="0" borderId="45" applyAlignment="1" pivotButton="0" quotePrefix="0" xfId="0">
      <alignment vertical="center" wrapText="1"/>
    </xf>
    <xf numFmtId="2" fontId="2" fillId="0" borderId="19" applyAlignment="1" pivotButton="0" quotePrefix="0" xfId="0">
      <alignment vertical="center" wrapText="1"/>
    </xf>
    <xf numFmtId="2" fontId="2" fillId="0" borderId="32" applyAlignment="1" pivotButton="0" quotePrefix="0" xfId="0">
      <alignment vertical="center" wrapText="1"/>
    </xf>
    <xf numFmtId="2" fontId="2" fillId="0" borderId="20" applyAlignment="1" pivotButton="0" quotePrefix="0" xfId="0">
      <alignment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left" vertical="center"/>
    </xf>
    <xf numFmtId="0" fontId="3" fillId="0" borderId="69" applyAlignment="1" pivotButton="0" quotePrefix="0" xfId="0">
      <alignment horizontal="left" vertical="center"/>
    </xf>
    <xf numFmtId="0" fontId="3" fillId="0" borderId="70" applyAlignment="1" pivotButton="0" quotePrefix="0" xfId="0">
      <alignment horizontal="left" vertical="center"/>
    </xf>
    <xf numFmtId="0" fontId="3" fillId="0" borderId="72" applyAlignment="1" pivotButton="0" quotePrefix="0" xfId="0">
      <alignment horizontal="left" vertical="center"/>
    </xf>
    <xf numFmtId="0" fontId="3" fillId="0" borderId="55" applyAlignment="1" pivotButton="0" quotePrefix="0" xfId="0">
      <alignment horizontal="left" vertical="center"/>
    </xf>
    <xf numFmtId="0" fontId="3" fillId="0" borderId="73" applyAlignment="1" pivotButton="0" quotePrefix="0" xfId="0">
      <alignment horizontal="left" vertical="center"/>
    </xf>
    <xf numFmtId="0" fontId="1" fillId="0" borderId="1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0" fillId="0" borderId="33" applyAlignment="1" pivotButton="0" quotePrefix="0" xfId="1">
      <alignment horizontal="center"/>
    </xf>
    <xf numFmtId="0" fontId="10" fillId="0" borderId="54" applyAlignment="1" pivotButton="0" quotePrefix="0" xfId="1">
      <alignment horizontal="center"/>
    </xf>
    <xf numFmtId="0" fontId="10" fillId="3" borderId="54" applyAlignment="1" pivotButton="0" quotePrefix="0" xfId="1">
      <alignment horizontal="center"/>
    </xf>
    <xf numFmtId="0" fontId="11" fillId="0" borderId="33" applyAlignment="1" pivotButton="0" quotePrefix="0" xfId="1">
      <alignment horizontal="center"/>
    </xf>
    <xf numFmtId="0" fontId="6" fillId="0" borderId="33" applyAlignment="1" pivotButton="0" quotePrefix="0" xfId="1">
      <alignment horizontal="center"/>
    </xf>
    <xf numFmtId="0" fontId="10" fillId="0" borderId="56" applyAlignment="1" pivotButton="0" quotePrefix="0" xfId="1">
      <alignment horizontal="center"/>
    </xf>
    <xf numFmtId="9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10" fillId="3" borderId="33" applyAlignment="1" pivotButton="0" quotePrefix="0" xfId="1">
      <alignment horizontal="center"/>
    </xf>
    <xf numFmtId="0" fontId="10" fillId="0" borderId="0" applyAlignment="1" pivotButton="0" quotePrefix="0" xfId="1">
      <alignment horizontal="center"/>
    </xf>
    <xf numFmtId="0" fontId="11" fillId="0" borderId="58" applyAlignment="1" pivotButton="0" quotePrefix="0" xfId="1">
      <alignment horizontal="center" vertical="center"/>
    </xf>
    <xf numFmtId="0" fontId="11" fillId="0" borderId="49" applyAlignment="1" pivotButton="0" quotePrefix="0" xfId="1">
      <alignment horizontal="center" vertical="center"/>
    </xf>
    <xf numFmtId="164" fontId="11" fillId="0" borderId="58" applyAlignment="1" pivotButton="0" quotePrefix="0" xfId="1">
      <alignment horizontal="center" vertical="center" wrapText="1"/>
    </xf>
    <xf numFmtId="164" fontId="11" fillId="0" borderId="49" applyAlignment="1" pivotButton="0" quotePrefix="0" xfId="1">
      <alignment horizontal="center" vertical="center" wrapText="1"/>
    </xf>
    <xf numFmtId="164" fontId="11" fillId="0" borderId="31" applyAlignment="1" pivotButton="0" quotePrefix="0" xfId="1">
      <alignment horizontal="center" vertical="center" wrapText="1"/>
    </xf>
    <xf numFmtId="0" fontId="9" fillId="0" borderId="27" applyAlignment="1" pivotButton="0" quotePrefix="0" xfId="1">
      <alignment horizontal="center" wrapText="1"/>
    </xf>
    <xf numFmtId="0" fontId="9" fillId="0" borderId="54" applyAlignment="1" pivotButton="0" quotePrefix="0" xfId="1">
      <alignment horizontal="center" wrapText="1"/>
    </xf>
    <xf numFmtId="0" fontId="9" fillId="0" borderId="5" applyAlignment="1" pivotButton="0" quotePrefix="0" xfId="1">
      <alignment horizontal="center" wrapText="1"/>
    </xf>
    <xf numFmtId="0" fontId="7" fillId="0" borderId="0" applyAlignment="1" pivotButton="0" quotePrefix="0" xfId="1">
      <alignment horizontal="center"/>
    </xf>
    <xf numFmtId="0" fontId="8" fillId="0" borderId="33" applyAlignment="1" pivotButton="0" quotePrefix="0" xfId="1">
      <alignment horizontal="center"/>
    </xf>
    <xf numFmtId="0" fontId="9" fillId="0" borderId="56" applyAlignment="1" pivotButton="0" quotePrefix="0" xfId="1">
      <alignment horizontal="center"/>
    </xf>
    <xf numFmtId="0" fontId="1" fillId="0" borderId="51" applyAlignment="1" pivotButton="0" quotePrefix="0" xfId="0">
      <alignment horizontal="center" vertical="center"/>
    </xf>
    <xf numFmtId="0" fontId="1" fillId="0" borderId="53" applyAlignment="1" pivotButton="0" quotePrefix="0" xfId="0">
      <alignment horizontal="center" vertical="center"/>
    </xf>
    <xf numFmtId="0" fontId="1" fillId="0" borderId="5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7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16" pivotButton="0" quotePrefix="0" xfId="0"/>
    <xf numFmtId="0" fontId="1" fillId="0" borderId="78" applyAlignment="1" pivotButton="0" quotePrefix="0" xfId="0">
      <alignment horizontal="center" vertical="center" wrapText="1"/>
    </xf>
    <xf numFmtId="0" fontId="1" fillId="0" borderId="8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0" borderId="78" applyAlignment="1" pivotButton="0" quotePrefix="0" xfId="0">
      <alignment horizontal="center" vertical="center"/>
    </xf>
    <xf numFmtId="0" fontId="3" fillId="0" borderId="23" applyAlignment="1" pivotButton="0" quotePrefix="0" xfId="0">
      <alignment horizontal="left" vertical="center"/>
    </xf>
    <xf numFmtId="0" fontId="0" fillId="0" borderId="69" pivotButton="0" quotePrefix="0" xfId="0"/>
    <xf numFmtId="0" fontId="0" fillId="0" borderId="70" pivotButton="0" quotePrefix="0" xfId="0"/>
    <xf numFmtId="0" fontId="3" fillId="0" borderId="25" applyAlignment="1" pivotButton="0" quotePrefix="0" xfId="0">
      <alignment horizontal="left" vertical="center"/>
    </xf>
    <xf numFmtId="0" fontId="0" fillId="0" borderId="55" pivotButton="0" quotePrefix="0" xfId="0"/>
    <xf numFmtId="0" fontId="0" fillId="0" borderId="73" pivotButton="0" quotePrefix="0" xfId="0"/>
    <xf numFmtId="0" fontId="0" fillId="0" borderId="54" pivotButton="0" quotePrefix="0" xfId="0"/>
    <xf numFmtId="0" fontId="0" fillId="0" borderId="13" pivotButton="0" quotePrefix="0" xfId="0"/>
    <xf numFmtId="164" fontId="11" fillId="0" borderId="5" applyAlignment="1" pivotButton="0" quotePrefix="0" xfId="1">
      <alignment horizontal="center" vertical="center" wrapText="1"/>
    </xf>
    <xf numFmtId="0" fontId="0" fillId="0" borderId="31" pivotButton="0" quotePrefix="0" xfId="0"/>
    <xf numFmtId="0" fontId="1" fillId="0" borderId="82" applyAlignment="1" pivotButton="0" quotePrefix="0" xfId="0">
      <alignment horizontal="center" vertical="center"/>
    </xf>
    <xf numFmtId="0" fontId="0" fillId="0" borderId="53" pivotButton="0" quotePrefix="0" xfId="0"/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U20" activePane="bottomRight" state="frozen"/>
      <selection pane="topRight" activeCell="Q1" sqref="Q1"/>
      <selection pane="bottomLeft" activeCell="A11" sqref="A11"/>
      <selection pane="bottomRight" activeCell="Y16" sqref="Y16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208</v>
      </c>
      <c r="W16" s="45" t="n"/>
      <c r="X16" s="45" t="inlineStr">
        <is>
          <t>Выд</t>
        </is>
      </c>
      <c r="Y16" s="45" t="n">
        <v>1.1</v>
      </c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965</v>
      </c>
      <c r="P20" s="87" t="inlineStr">
        <is>
          <t>КС/B2</t>
        </is>
      </c>
      <c r="Q20" s="87" t="n"/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1e-06</v>
      </c>
      <c r="AL20" s="7" t="n"/>
      <c r="AM20" s="7" t="n"/>
      <c r="AN20" s="8" t="n"/>
      <c r="AO20" s="40" t="n">
        <v>4</v>
      </c>
      <c r="AP20" s="27" t="n">
        <v>12</v>
      </c>
      <c r="AQ20" s="40" t="n">
        <v>16</v>
      </c>
      <c r="AR20" s="24" t="n">
        <v>25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5</v>
      </c>
      <c r="BJ20" s="27" t="n">
        <v>7</v>
      </c>
      <c r="BK20" s="40" t="n">
        <v>12</v>
      </c>
      <c r="BL20" s="24" t="n">
        <v>24</v>
      </c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966</v>
      </c>
      <c r="P21" s="88" t="inlineStr">
        <is>
          <t>КС/B2</t>
        </is>
      </c>
      <c r="Q21" s="88" t="n"/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1</v>
      </c>
      <c r="AG21" s="2" t="n">
        <v>4</v>
      </c>
      <c r="AH21" s="2" t="n"/>
      <c r="AI21" s="3" t="n">
        <v>5.5</v>
      </c>
      <c r="AJ21" s="10" t="n">
        <v>23</v>
      </c>
      <c r="AK21" s="28" t="n">
        <v>7</v>
      </c>
      <c r="AL21" s="3" t="n">
        <v>9</v>
      </c>
      <c r="AM21" s="3" t="n">
        <v>14</v>
      </c>
      <c r="AN21" s="10" t="n">
        <v>24</v>
      </c>
      <c r="AO21" s="28" t="n">
        <v>1</v>
      </c>
      <c r="AP21" s="28" t="n">
        <v>4</v>
      </c>
      <c r="AQ21" s="3" t="n">
        <v>7</v>
      </c>
      <c r="AR21" s="10" t="n">
        <v>15</v>
      </c>
      <c r="AS21" s="20" t="n">
        <v>0</v>
      </c>
      <c r="AT21" s="28" t="n"/>
      <c r="AU21" s="3" t="n"/>
      <c r="AV21" s="10" t="n"/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967</v>
      </c>
      <c r="P22" s="88" t="inlineStr">
        <is>
          <t>КС/B2</t>
        </is>
      </c>
      <c r="Q22" s="88" t="n"/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6</v>
      </c>
      <c r="AG22" s="2" t="n">
        <v>9</v>
      </c>
      <c r="AH22" s="2" t="n"/>
      <c r="AI22" s="3" t="n">
        <v>6.5</v>
      </c>
      <c r="AJ22" s="10" t="n">
        <v>26</v>
      </c>
      <c r="AK22" s="28" t="n">
        <v>2</v>
      </c>
      <c r="AL22" s="3" t="n">
        <v>4</v>
      </c>
      <c r="AM22" s="3" t="n">
        <v>3</v>
      </c>
      <c r="AN22" s="10" t="n">
        <v>20</v>
      </c>
      <c r="AO22" s="28" t="n">
        <v>0</v>
      </c>
      <c r="AP22" s="28" t="n"/>
      <c r="AQ22" s="3" t="n"/>
      <c r="AR22" s="10" t="n"/>
      <c r="AS22" s="20" t="n">
        <v>0</v>
      </c>
      <c r="AT22" s="28" t="n"/>
      <c r="AU22" s="3" t="n"/>
      <c r="AV22" s="10" t="n"/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968</v>
      </c>
      <c r="P23" s="87" t="inlineStr">
        <is>
          <t>КС/B2</t>
        </is>
      </c>
      <c r="Q23" s="87" t="n"/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0</v>
      </c>
      <c r="AG23" s="2" t="n">
        <v>0</v>
      </c>
      <c r="AH23" s="2" t="n"/>
      <c r="AI23" s="3" t="n"/>
      <c r="AJ23" s="10" t="n"/>
      <c r="AK23" s="28" t="n">
        <v>0</v>
      </c>
      <c r="AL23" s="3" t="n"/>
      <c r="AM23" s="3" t="n"/>
      <c r="AN23" s="10" t="n"/>
      <c r="AO23" s="28" t="n">
        <v>4</v>
      </c>
      <c r="AP23" s="28" t="n">
        <v>9</v>
      </c>
      <c r="AQ23" s="3" t="n">
        <v>12</v>
      </c>
      <c r="AR23" s="10" t="n">
        <v>25</v>
      </c>
      <c r="AS23" s="20" t="n">
        <v>0</v>
      </c>
      <c r="AT23" s="28" t="n"/>
      <c r="AU23" s="3" t="n"/>
      <c r="AV23" s="10" t="n"/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2</v>
      </c>
      <c r="BJ23" s="28" t="n">
        <v>9</v>
      </c>
      <c r="BK23" s="3" t="n">
        <v>12</v>
      </c>
      <c r="BL23" s="10" t="n">
        <v>25</v>
      </c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969</v>
      </c>
      <c r="P24" s="88" t="inlineStr">
        <is>
          <t>КС/B2</t>
        </is>
      </c>
      <c r="Q24" s="88" t="n"/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0</v>
      </c>
      <c r="AG24" s="2" t="n">
        <v>0</v>
      </c>
      <c r="AH24" s="2" t="n"/>
      <c r="AI24" s="3" t="n"/>
      <c r="AJ24" s="10" t="n"/>
      <c r="AK24" s="28" t="n">
        <v>0</v>
      </c>
      <c r="AL24" s="3" t="n"/>
      <c r="AM24" s="3" t="n"/>
      <c r="AN24" s="10" t="n"/>
      <c r="AO24" s="28" t="n">
        <v>0</v>
      </c>
      <c r="AP24" s="28" t="n"/>
      <c r="AQ24" s="3" t="n"/>
      <c r="AR24" s="10" t="n"/>
      <c r="AS24" s="20" t="n">
        <v>0</v>
      </c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9</v>
      </c>
      <c r="BJ24" s="28" t="n">
        <v>9</v>
      </c>
      <c r="BK24" s="3" t="n">
        <v>11</v>
      </c>
      <c r="BL24" s="10" t="n">
        <v>25</v>
      </c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970</v>
      </c>
      <c r="P25" s="88" t="inlineStr">
        <is>
          <t>КС/B2</t>
        </is>
      </c>
      <c r="Q25" s="88" t="n"/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3</v>
      </c>
      <c r="AL25" s="3" t="n">
        <v>13</v>
      </c>
      <c r="AM25" s="3" t="n">
        <v>15</v>
      </c>
      <c r="AN25" s="10" t="n">
        <v>25</v>
      </c>
      <c r="AO25" s="28" t="n">
        <v>0</v>
      </c>
      <c r="AP25" s="28" t="n"/>
      <c r="AQ25" s="3" t="n"/>
      <c r="AR25" s="10" t="n"/>
      <c r="AS25" s="20" t="n">
        <v>0</v>
      </c>
      <c r="AT25" s="28" t="n"/>
      <c r="AU25" s="3" t="n"/>
      <c r="AV25" s="10" t="n"/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971</v>
      </c>
      <c r="P26" s="87" t="inlineStr">
        <is>
          <t>КС/B2</t>
        </is>
      </c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0</v>
      </c>
      <c r="AG26" s="2" t="n">
        <v>0</v>
      </c>
      <c r="AH26" s="2" t="n"/>
      <c r="AI26" s="3" t="n"/>
      <c r="AJ26" s="10" t="n"/>
      <c r="AK26" s="28" t="n">
        <v>0</v>
      </c>
      <c r="AL26" s="3" t="n"/>
      <c r="AM26" s="3" t="n"/>
      <c r="AN26" s="10" t="n"/>
      <c r="AO26" s="28" t="n">
        <v>2</v>
      </c>
      <c r="AP26" s="28" t="n">
        <v>12</v>
      </c>
      <c r="AQ26" s="3" t="n">
        <v>14</v>
      </c>
      <c r="AR26" s="10" t="n">
        <v>25</v>
      </c>
      <c r="AS26" s="20" t="n">
        <v>0</v>
      </c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>
        <v>10</v>
      </c>
      <c r="BJ26" s="28" t="n">
        <v>7</v>
      </c>
      <c r="BK26" s="3" t="n">
        <v>13</v>
      </c>
      <c r="BL26" s="10" t="n">
        <v>23</v>
      </c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972</v>
      </c>
      <c r="P27" s="88" t="inlineStr">
        <is>
          <t>КС/B2</t>
        </is>
      </c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0</v>
      </c>
      <c r="AF27" s="2" t="n">
        <v>0</v>
      </c>
      <c r="AG27" s="2" t="n">
        <v>6</v>
      </c>
      <c r="AH27" s="2" t="n"/>
      <c r="AI27" s="3" t="n">
        <v>5.7</v>
      </c>
      <c r="AJ27" s="10" t="n">
        <v>25</v>
      </c>
      <c r="AK27" s="28" t="n">
        <v>5</v>
      </c>
      <c r="AL27" s="3" t="n">
        <v>11</v>
      </c>
      <c r="AM27" s="3" t="n">
        <v>15</v>
      </c>
      <c r="AN27" s="10" t="n">
        <v>25</v>
      </c>
      <c r="AO27" s="28" t="n">
        <v>1</v>
      </c>
      <c r="AP27" s="28" t="n">
        <v>8</v>
      </c>
      <c r="AQ27" s="3" t="n">
        <v>13</v>
      </c>
      <c r="AR27" s="10" t="n">
        <v>25</v>
      </c>
      <c r="AS27" s="20" t="n">
        <v>0</v>
      </c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>
        <v>7</v>
      </c>
      <c r="BJ27" s="28" t="n">
        <v>5</v>
      </c>
      <c r="BK27" s="3" t="n">
        <v>5.5</v>
      </c>
      <c r="BL27" s="10" t="n">
        <v>19</v>
      </c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973</v>
      </c>
      <c r="P28" s="88" t="inlineStr">
        <is>
          <t>КС/B2</t>
        </is>
      </c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>
        <v>0</v>
      </c>
      <c r="AF28" s="2" t="n">
        <v>0</v>
      </c>
      <c r="AG28" s="2" t="n">
        <v>0</v>
      </c>
      <c r="AH28" s="2" t="n"/>
      <c r="AI28" s="3" t="n"/>
      <c r="AJ28" s="10" t="n"/>
      <c r="AK28" s="28" t="n">
        <v>0</v>
      </c>
      <c r="AL28" s="3" t="n"/>
      <c r="AM28" s="3" t="n"/>
      <c r="AN28" s="10" t="n"/>
      <c r="AO28" s="28" t="n">
        <v>3</v>
      </c>
      <c r="AP28" s="28" t="n">
        <v>12</v>
      </c>
      <c r="AQ28" s="3" t="n">
        <v>14</v>
      </c>
      <c r="AR28" s="10" t="n">
        <v>25</v>
      </c>
      <c r="AS28" s="20" t="n">
        <v>1</v>
      </c>
      <c r="AT28" s="28" t="n">
        <v>13</v>
      </c>
      <c r="AU28" s="3" t="n">
        <v>16</v>
      </c>
      <c r="AV28" s="10" t="n">
        <v>25</v>
      </c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>
        <v>0</v>
      </c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>
        <v>974</v>
      </c>
      <c r="P29" s="87" t="inlineStr">
        <is>
          <t>КС/B2</t>
        </is>
      </c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>
        <v>0</v>
      </c>
      <c r="AF29" s="2" t="n">
        <v>8</v>
      </c>
      <c r="AG29" s="2" t="n">
        <v>3</v>
      </c>
      <c r="AH29" s="2" t="n"/>
      <c r="AI29" s="3" t="n">
        <v>1.9</v>
      </c>
      <c r="AJ29" s="10" t="n">
        <v>20</v>
      </c>
      <c r="AK29" s="28" t="n">
        <v>0</v>
      </c>
      <c r="AL29" s="3" t="n"/>
      <c r="AM29" s="3" t="n"/>
      <c r="AN29" s="10" t="n"/>
      <c r="AO29" s="28" t="n">
        <v>1</v>
      </c>
      <c r="AP29" s="28" t="n">
        <v>11</v>
      </c>
      <c r="AQ29" s="3" t="n">
        <v>15</v>
      </c>
      <c r="AR29" s="10" t="n">
        <v>25</v>
      </c>
      <c r="AS29" s="20" t="n">
        <v>9</v>
      </c>
      <c r="AT29" s="28" t="n">
        <v>11</v>
      </c>
      <c r="AU29" s="3" t="n">
        <v>15</v>
      </c>
      <c r="AV29" s="10" t="n">
        <v>25</v>
      </c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>
        <v>0</v>
      </c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>
        <v>975</v>
      </c>
      <c r="P30" s="88" t="inlineStr">
        <is>
          <t>КС/B2</t>
        </is>
      </c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>
        <v>0</v>
      </c>
      <c r="AF30" s="2" t="n">
        <v>2</v>
      </c>
      <c r="AG30" s="2" t="n">
        <v>1</v>
      </c>
      <c r="AH30" s="2" t="n"/>
      <c r="AI30" s="3" t="n">
        <v>2.7</v>
      </c>
      <c r="AJ30" s="10" t="n">
        <v>20</v>
      </c>
      <c r="AK30" s="28" t="n">
        <v>0</v>
      </c>
      <c r="AL30" s="3" t="n"/>
      <c r="AM30" s="3" t="n"/>
      <c r="AN30" s="10" t="n"/>
      <c r="AO30" s="28" t="n">
        <v>5</v>
      </c>
      <c r="AP30" s="28" t="n">
        <v>12</v>
      </c>
      <c r="AQ30" s="3" t="n">
        <v>16</v>
      </c>
      <c r="AR30" s="10" t="n">
        <v>25</v>
      </c>
      <c r="AS30" s="20" t="n">
        <v>0</v>
      </c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>
        <v>9</v>
      </c>
      <c r="BJ30" s="28" t="n">
        <v>7</v>
      </c>
      <c r="BK30" s="3" t="n">
        <v>9</v>
      </c>
      <c r="BL30" s="10" t="n">
        <v>20</v>
      </c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6:X66"/>
  <sheetViews>
    <sheetView showZeros="0" topLeftCell="A16" zoomScale="70" zoomScaleNormal="70" workbookViewId="0">
      <selection activeCell="E25" sqref="E25"/>
    </sheetView>
  </sheetViews>
  <sheetFormatPr baseColWidth="8" defaultRowHeight="14.4"/>
  <cols>
    <col width="9.88671875" bestFit="1" customWidth="1" style="141" min="5" max="20"/>
  </cols>
  <sheetData>
    <row r="16" ht="24.9" customHeight="1" s="141">
      <c r="B16" s="127" t="inlineStr">
        <is>
          <t>Перечётная ведомость № _1___    литер _б__   Кв. __113___        Выд. _16___          Радиус ПП, м __3.99____              Измерения выполнил: __Богачёв П.В._______    Дата, подпись _____11.06.2023______________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</row>
    <row r="17" ht="24.9" customHeight="1" s="141" thickBot="1"/>
    <row r="18" ht="24.9" customHeight="1" s="141" thickBot="1" thickTop="1">
      <c r="B18" s="1" t="inlineStr">
        <is>
          <t>Пор.</t>
        </is>
      </c>
      <c r="C18" s="236" t="inlineStr">
        <is>
          <t>Площадка</t>
        </is>
      </c>
      <c r="D18" s="238" t="n"/>
      <c r="E18" s="239" t="inlineStr">
        <is>
          <t>Осина</t>
        </is>
      </c>
      <c r="F18" s="237" t="n"/>
      <c r="G18" s="237" t="n"/>
      <c r="H18" s="238" t="n"/>
      <c r="I18" s="239" t="inlineStr">
        <is>
          <t>Ольха серая</t>
        </is>
      </c>
      <c r="J18" s="237" t="n"/>
      <c r="K18" s="237" t="n"/>
      <c r="L18" s="238" t="n"/>
      <c r="M18" s="239" t="inlineStr">
        <is>
          <t>Ива</t>
        </is>
      </c>
      <c r="N18" s="237" t="n"/>
      <c r="O18" s="237" t="n"/>
      <c r="P18" s="238" t="n"/>
      <c r="Q18" s="239" t="inlineStr">
        <is>
          <t>Чёрёмуха, Рябина</t>
        </is>
      </c>
      <c r="R18" s="237" t="n"/>
      <c r="S18" s="237" t="n"/>
      <c r="T18" s="238" t="n"/>
      <c r="U18" s="239">
        <f>#REF!</f>
        <v/>
      </c>
      <c r="V18" s="237" t="n"/>
      <c r="W18" s="237" t="n"/>
      <c r="X18" s="238" t="n"/>
    </row>
    <row r="19" ht="24.9" customHeight="1" s="141" thickBot="1">
      <c r="B19" s="31" t="inlineStr">
        <is>
          <t>NN</t>
        </is>
      </c>
      <c r="C19" s="25" t="inlineStr">
        <is>
          <t>GPS точка</t>
        </is>
      </c>
      <c r="D19" s="68" t="inlineStr">
        <is>
          <t>ТЛ/ТУМ</t>
        </is>
      </c>
      <c r="E19" s="25" t="inlineStr">
        <is>
          <t>Кол-во</t>
        </is>
      </c>
      <c r="F19" s="42" t="inlineStr">
        <is>
          <t>D, см</t>
        </is>
      </c>
      <c r="G19" s="43" t="inlineStr">
        <is>
          <t>h, м</t>
        </is>
      </c>
      <c r="H19" s="26" t="inlineStr">
        <is>
          <t>A, лет</t>
        </is>
      </c>
      <c r="I19" s="25" t="inlineStr">
        <is>
          <t>Кол-во</t>
        </is>
      </c>
      <c r="J19" s="42" t="inlineStr">
        <is>
          <t>D, см</t>
        </is>
      </c>
      <c r="K19" s="43" t="inlineStr">
        <is>
          <t>h, м</t>
        </is>
      </c>
      <c r="L19" s="26" t="inlineStr">
        <is>
          <t>A, лет</t>
        </is>
      </c>
      <c r="M19" s="25" t="inlineStr">
        <is>
          <t>Кол-во</t>
        </is>
      </c>
      <c r="N19" s="42" t="inlineStr">
        <is>
          <t>D, см</t>
        </is>
      </c>
      <c r="O19" s="43" t="inlineStr">
        <is>
          <t>h, м</t>
        </is>
      </c>
      <c r="P19" s="26" t="inlineStr">
        <is>
          <t>A, лет</t>
        </is>
      </c>
      <c r="Q19" s="25" t="inlineStr">
        <is>
          <t>Кол-во</t>
        </is>
      </c>
      <c r="R19" s="42" t="inlineStr">
        <is>
          <t>D, см</t>
        </is>
      </c>
      <c r="S19" s="43" t="inlineStr">
        <is>
          <t>h, м</t>
        </is>
      </c>
      <c r="T19" s="26" t="inlineStr">
        <is>
          <t>A, лет</t>
        </is>
      </c>
      <c r="U19" s="25" t="inlineStr">
        <is>
          <t>Кол-во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</row>
    <row r="20" ht="24.9" customHeight="1" s="141">
      <c r="B20" s="129" t="n">
        <v>1</v>
      </c>
      <c r="C20" s="130" t="n">
        <v>692</v>
      </c>
      <c r="D20" s="8" t="inlineStr">
        <is>
          <t>ЧС/В2</t>
        </is>
      </c>
      <c r="E20" s="130">
        <f>#REF!</f>
        <v/>
      </c>
      <c r="F20" s="7">
        <f>#REF!</f>
        <v/>
      </c>
      <c r="G20" s="7">
        <f>#REF!</f>
        <v/>
      </c>
      <c r="H20" s="8">
        <f>#REF!</f>
        <v/>
      </c>
      <c r="I20" s="27">
        <f>#REF!</f>
        <v/>
      </c>
      <c r="J20" s="40">
        <f>#REF!</f>
        <v/>
      </c>
      <c r="K20" s="40">
        <f>#REF!</f>
        <v/>
      </c>
      <c r="L20" s="69">
        <f>#REF!</f>
        <v/>
      </c>
      <c r="M20" s="130">
        <f>#REF!</f>
        <v/>
      </c>
      <c r="N20" s="7">
        <f>#REF!</f>
        <v/>
      </c>
      <c r="O20" s="7">
        <f>#REF!</f>
        <v/>
      </c>
      <c r="P20" s="8">
        <f>#REF!</f>
        <v/>
      </c>
      <c r="Q20" s="27">
        <f>#REF!+#REF!</f>
        <v/>
      </c>
      <c r="R20" s="27">
        <f>((IF(#REF!=0,#REF!,#REF!))+(IF(#REF!=0,#REF!,#REF!)))/2</f>
        <v/>
      </c>
      <c r="S20" s="27">
        <f>((IF(#REF!=0,#REF!,#REF!))+(IF(#REF!=0,#REF!,#REF!)))/2</f>
        <v/>
      </c>
      <c r="T20" s="87">
        <f>((IF(#REF!=0,#REF!,#REF!))+(IF(#REF!=0,#REF!,#REF!)))/2</f>
        <v/>
      </c>
      <c r="U20" s="130">
        <f>#REF!</f>
        <v/>
      </c>
      <c r="V20" s="7">
        <f>#REF!</f>
        <v/>
      </c>
      <c r="W20" s="7">
        <f>#REF!</f>
        <v/>
      </c>
      <c r="X20" s="8">
        <f>#REF!</f>
        <v/>
      </c>
    </row>
    <row r="21" ht="24.9" customHeight="1" s="141">
      <c r="B21" s="131" t="n">
        <v>2</v>
      </c>
      <c r="C21" s="20" t="n">
        <v>693</v>
      </c>
      <c r="D21" s="10" t="inlineStr">
        <is>
          <t>ЧС/В2</t>
        </is>
      </c>
      <c r="E21" s="23">
        <f>#REF!</f>
        <v/>
      </c>
      <c r="F21" s="40">
        <f>#REF!</f>
        <v/>
      </c>
      <c r="G21" s="40">
        <f>#REF!</f>
        <v/>
      </c>
      <c r="H21" s="24">
        <f>#REF!</f>
        <v/>
      </c>
      <c r="I21" s="27">
        <f>#REF!</f>
        <v/>
      </c>
      <c r="J21" s="40">
        <f>#REF!</f>
        <v/>
      </c>
      <c r="K21" s="40">
        <f>#REF!</f>
        <v/>
      </c>
      <c r="L21" s="69">
        <f>#REF!</f>
        <v/>
      </c>
      <c r="M21" s="23">
        <f>#REF!</f>
        <v/>
      </c>
      <c r="N21" s="40">
        <f>#REF!</f>
        <v/>
      </c>
      <c r="O21" s="40">
        <f>#REF!</f>
        <v/>
      </c>
      <c r="P21" s="24">
        <f>#REF!</f>
        <v/>
      </c>
      <c r="Q21" s="27">
        <f>#REF!+#REF!</f>
        <v/>
      </c>
      <c r="R21" s="27">
        <f>((IF(#REF!=0,#REF!,#REF!))+(IF(#REF!=0,#REF!,#REF!)))/2</f>
        <v/>
      </c>
      <c r="S21" s="27">
        <f>((IF(#REF!=0,#REF!,#REF!))+(IF(#REF!=0,#REF!,#REF!)))/2</f>
        <v/>
      </c>
      <c r="T21" s="87">
        <f>((IF(#REF!=0,#REF!,#REF!))+(IF(#REF!=0,#REF!,#REF!)))/2</f>
        <v/>
      </c>
      <c r="U21" s="23">
        <f>#REF!</f>
        <v/>
      </c>
      <c r="V21" s="40">
        <f>#REF!</f>
        <v/>
      </c>
      <c r="W21" s="40">
        <f>#REF!</f>
        <v/>
      </c>
      <c r="X21" s="24">
        <f>#REF!</f>
        <v/>
      </c>
    </row>
    <row r="22" ht="24.9" customHeight="1" s="141">
      <c r="B22" s="131" t="n">
        <v>3</v>
      </c>
      <c r="C22" s="20" t="n">
        <v>694</v>
      </c>
      <c r="D22" s="10" t="inlineStr">
        <is>
          <t>ЧС/В2</t>
        </is>
      </c>
      <c r="E22" s="23">
        <f>#REF!</f>
        <v/>
      </c>
      <c r="F22" s="40">
        <f>#REF!</f>
        <v/>
      </c>
      <c r="G22" s="40">
        <f>#REF!</f>
        <v/>
      </c>
      <c r="H22" s="24">
        <f>#REF!</f>
        <v/>
      </c>
      <c r="I22" s="27">
        <f>#REF!</f>
        <v/>
      </c>
      <c r="J22" s="40">
        <f>#REF!</f>
        <v/>
      </c>
      <c r="K22" s="40">
        <f>#REF!</f>
        <v/>
      </c>
      <c r="L22" s="69">
        <f>#REF!</f>
        <v/>
      </c>
      <c r="M22" s="23">
        <f>#REF!</f>
        <v/>
      </c>
      <c r="N22" s="40">
        <f>#REF!</f>
        <v/>
      </c>
      <c r="O22" s="40">
        <f>#REF!</f>
        <v/>
      </c>
      <c r="P22" s="24">
        <f>#REF!</f>
        <v/>
      </c>
      <c r="Q22" s="27">
        <f>#REF!+#REF!</f>
        <v/>
      </c>
      <c r="R22" s="27">
        <f>((IF(#REF!=0,#REF!,#REF!))+(IF(#REF!=0,#REF!,#REF!)))/2</f>
        <v/>
      </c>
      <c r="S22" s="27">
        <f>((IF(#REF!=0,#REF!,#REF!))+(IF(#REF!=0,#REF!,#REF!)))/2</f>
        <v/>
      </c>
      <c r="T22" s="87">
        <f>((IF(#REF!=0,#REF!,#REF!))+(IF(#REF!=0,#REF!,#REF!)))/2</f>
        <v/>
      </c>
      <c r="U22" s="23">
        <f>#REF!</f>
        <v/>
      </c>
      <c r="V22" s="40">
        <f>#REF!</f>
        <v/>
      </c>
      <c r="W22" s="40">
        <f>#REF!</f>
        <v/>
      </c>
      <c r="X22" s="24">
        <f>#REF!</f>
        <v/>
      </c>
    </row>
    <row r="23" ht="24.9" customHeight="1" s="141">
      <c r="B23" s="131" t="n">
        <v>4</v>
      </c>
      <c r="C23" s="23" t="n">
        <v>695</v>
      </c>
      <c r="D23" s="10" t="inlineStr">
        <is>
          <t>ЧС/В2</t>
        </is>
      </c>
      <c r="E23" s="23">
        <f>#REF!</f>
        <v/>
      </c>
      <c r="F23" s="40">
        <f>#REF!</f>
        <v/>
      </c>
      <c r="G23" s="40">
        <f>#REF!</f>
        <v/>
      </c>
      <c r="H23" s="24">
        <f>#REF!</f>
        <v/>
      </c>
      <c r="I23" s="27">
        <f>#REF!</f>
        <v/>
      </c>
      <c r="J23" s="40">
        <f>#REF!</f>
        <v/>
      </c>
      <c r="K23" s="40">
        <f>#REF!</f>
        <v/>
      </c>
      <c r="L23" s="69">
        <f>#REF!</f>
        <v/>
      </c>
      <c r="M23" s="23">
        <f>#REF!</f>
        <v/>
      </c>
      <c r="N23" s="40">
        <f>#REF!</f>
        <v/>
      </c>
      <c r="O23" s="40">
        <f>#REF!</f>
        <v/>
      </c>
      <c r="P23" s="24">
        <f>#REF!</f>
        <v/>
      </c>
      <c r="Q23" s="27">
        <f>#REF!+#REF!</f>
        <v/>
      </c>
      <c r="R23" s="27">
        <f>((IF(#REF!=0,#REF!,#REF!))+(IF(#REF!=0,#REF!,#REF!)))/2</f>
        <v/>
      </c>
      <c r="S23" s="27">
        <f>((IF(#REF!=0,#REF!,#REF!))+(IF(#REF!=0,#REF!,#REF!)))/2</f>
        <v/>
      </c>
      <c r="T23" s="87">
        <f>((IF(#REF!=0,#REF!,#REF!))+(IF(#REF!=0,#REF!,#REF!)))/2</f>
        <v/>
      </c>
      <c r="U23" s="23">
        <f>#REF!</f>
        <v/>
      </c>
      <c r="V23" s="40">
        <f>#REF!</f>
        <v/>
      </c>
      <c r="W23" s="40">
        <f>#REF!</f>
        <v/>
      </c>
      <c r="X23" s="24">
        <f>#REF!</f>
        <v/>
      </c>
    </row>
    <row r="24" ht="24.9" customHeight="1" s="141">
      <c r="B24" s="131" t="n">
        <v>5</v>
      </c>
      <c r="C24" s="20" t="n">
        <v>696</v>
      </c>
      <c r="D24" s="10" t="inlineStr">
        <is>
          <t>ДМ/В4</t>
        </is>
      </c>
      <c r="E24" s="23">
        <f>#REF!</f>
        <v/>
      </c>
      <c r="F24" s="40">
        <f>#REF!</f>
        <v/>
      </c>
      <c r="G24" s="40">
        <f>#REF!</f>
        <v/>
      </c>
      <c r="H24" s="24">
        <f>#REF!</f>
        <v/>
      </c>
      <c r="I24" s="27">
        <f>#REF!</f>
        <v/>
      </c>
      <c r="J24" s="40">
        <f>#REF!</f>
        <v/>
      </c>
      <c r="K24" s="40">
        <f>#REF!</f>
        <v/>
      </c>
      <c r="L24" s="69">
        <f>#REF!</f>
        <v/>
      </c>
      <c r="M24" s="23">
        <f>#REF!</f>
        <v/>
      </c>
      <c r="N24" s="40">
        <f>#REF!</f>
        <v/>
      </c>
      <c r="O24" s="40">
        <f>#REF!</f>
        <v/>
      </c>
      <c r="P24" s="24">
        <f>#REF!</f>
        <v/>
      </c>
      <c r="Q24" s="27">
        <f>#REF!+#REF!</f>
        <v/>
      </c>
      <c r="R24" s="27">
        <f>((IF(#REF!=0,#REF!,#REF!))+(IF(#REF!=0,#REF!,#REF!)))/2</f>
        <v/>
      </c>
      <c r="S24" s="27">
        <f>((IF(#REF!=0,#REF!,#REF!))+(IF(#REF!=0,#REF!,#REF!)))/2</f>
        <v/>
      </c>
      <c r="T24" s="87">
        <f>((IF(#REF!=0,#REF!,#REF!))+(IF(#REF!=0,#REF!,#REF!)))/2</f>
        <v/>
      </c>
      <c r="U24" s="23">
        <f>#REF!</f>
        <v/>
      </c>
      <c r="V24" s="40">
        <f>#REF!</f>
        <v/>
      </c>
      <c r="W24" s="40">
        <f>#REF!</f>
        <v/>
      </c>
      <c r="X24" s="24">
        <f>#REF!</f>
        <v/>
      </c>
    </row>
    <row r="25" ht="24.9" customHeight="1" s="141">
      <c r="B25" s="131" t="n">
        <v>6</v>
      </c>
      <c r="C25" s="20" t="n">
        <v>697</v>
      </c>
      <c r="D25" s="10" t="inlineStr">
        <is>
          <t>ЧС/В2</t>
        </is>
      </c>
      <c r="E25" s="23">
        <f>#REF!</f>
        <v/>
      </c>
      <c r="F25" s="40">
        <f>#REF!</f>
        <v/>
      </c>
      <c r="G25" s="40">
        <f>#REF!</f>
        <v/>
      </c>
      <c r="H25" s="24">
        <f>#REF!</f>
        <v/>
      </c>
      <c r="I25" s="27">
        <f>#REF!</f>
        <v/>
      </c>
      <c r="J25" s="40">
        <f>#REF!</f>
        <v/>
      </c>
      <c r="K25" s="40">
        <f>#REF!</f>
        <v/>
      </c>
      <c r="L25" s="69">
        <f>#REF!</f>
        <v/>
      </c>
      <c r="M25" s="23">
        <f>#REF!</f>
        <v/>
      </c>
      <c r="N25" s="40">
        <f>#REF!</f>
        <v/>
      </c>
      <c r="O25" s="40">
        <f>#REF!</f>
        <v/>
      </c>
      <c r="P25" s="24">
        <f>#REF!</f>
        <v/>
      </c>
      <c r="Q25" s="27">
        <f>#REF!+#REF!</f>
        <v/>
      </c>
      <c r="R25" s="27">
        <f>((IF(#REF!=0,#REF!,#REF!))+(IF(#REF!=0,#REF!,#REF!)))/2</f>
        <v/>
      </c>
      <c r="S25" s="27">
        <f>((IF(#REF!=0,#REF!,#REF!))+(IF(#REF!=0,#REF!,#REF!)))/2</f>
        <v/>
      </c>
      <c r="T25" s="87">
        <f>((IF(#REF!=0,#REF!,#REF!))+(IF(#REF!=0,#REF!,#REF!)))/2</f>
        <v/>
      </c>
      <c r="U25" s="23">
        <f>#REF!</f>
        <v/>
      </c>
      <c r="V25" s="40">
        <f>#REF!</f>
        <v/>
      </c>
      <c r="W25" s="40">
        <f>#REF!</f>
        <v/>
      </c>
      <c r="X25" s="24">
        <f>#REF!</f>
        <v/>
      </c>
    </row>
    <row r="26" ht="24.9" customHeight="1" s="141">
      <c r="B26" s="131" t="n">
        <v>7</v>
      </c>
      <c r="C26" s="23" t="n">
        <v>698</v>
      </c>
      <c r="D26" s="10" t="inlineStr">
        <is>
          <t>ЧС/В2</t>
        </is>
      </c>
      <c r="E26" s="23">
        <f>#REF!</f>
        <v/>
      </c>
      <c r="F26" s="40">
        <f>#REF!</f>
        <v/>
      </c>
      <c r="G26" s="40">
        <f>#REF!</f>
        <v/>
      </c>
      <c r="H26" s="24">
        <f>#REF!</f>
        <v/>
      </c>
      <c r="I26" s="27">
        <f>#REF!</f>
        <v/>
      </c>
      <c r="J26" s="40">
        <f>#REF!</f>
        <v/>
      </c>
      <c r="K26" s="40">
        <f>#REF!</f>
        <v/>
      </c>
      <c r="L26" s="69">
        <f>#REF!</f>
        <v/>
      </c>
      <c r="M26" s="23">
        <f>#REF!</f>
        <v/>
      </c>
      <c r="N26" s="40">
        <f>#REF!</f>
        <v/>
      </c>
      <c r="O26" s="40">
        <f>#REF!</f>
        <v/>
      </c>
      <c r="P26" s="24">
        <f>#REF!</f>
        <v/>
      </c>
      <c r="Q26" s="27">
        <f>#REF!+#REF!</f>
        <v/>
      </c>
      <c r="R26" s="27">
        <f>((IF(#REF!=0,#REF!,#REF!))+(IF(#REF!=0,#REF!,#REF!)))/2</f>
        <v/>
      </c>
      <c r="S26" s="27">
        <f>((IF(#REF!=0,#REF!,#REF!))+(IF(#REF!=0,#REF!,#REF!)))/2</f>
        <v/>
      </c>
      <c r="T26" s="87">
        <f>((IF(#REF!=0,#REF!,#REF!))+(IF(#REF!=0,#REF!,#REF!)))/2</f>
        <v/>
      </c>
      <c r="U26" s="23">
        <f>#REF!</f>
        <v/>
      </c>
      <c r="V26" s="40">
        <f>#REF!</f>
        <v/>
      </c>
      <c r="W26" s="40">
        <f>#REF!</f>
        <v/>
      </c>
      <c r="X26" s="24">
        <f>#REF!</f>
        <v/>
      </c>
    </row>
    <row r="27" ht="24.9" customHeight="1" s="141">
      <c r="B27" s="131" t="n">
        <v>8</v>
      </c>
      <c r="C27" s="20" t="n">
        <v>699</v>
      </c>
      <c r="D27" s="10" t="inlineStr">
        <is>
          <t>ЧС/В2</t>
        </is>
      </c>
      <c r="E27" s="23">
        <f>#REF!</f>
        <v/>
      </c>
      <c r="F27" s="40">
        <f>#REF!</f>
        <v/>
      </c>
      <c r="G27" s="40">
        <f>#REF!</f>
        <v/>
      </c>
      <c r="H27" s="24">
        <f>#REF!</f>
        <v/>
      </c>
      <c r="I27" s="27">
        <f>#REF!</f>
        <v/>
      </c>
      <c r="J27" s="40">
        <f>#REF!</f>
        <v/>
      </c>
      <c r="K27" s="40">
        <f>#REF!</f>
        <v/>
      </c>
      <c r="L27" s="69">
        <f>#REF!</f>
        <v/>
      </c>
      <c r="M27" s="23">
        <f>#REF!</f>
        <v/>
      </c>
      <c r="N27" s="40">
        <f>#REF!</f>
        <v/>
      </c>
      <c r="O27" s="40">
        <f>#REF!</f>
        <v/>
      </c>
      <c r="P27" s="24">
        <f>#REF!</f>
        <v/>
      </c>
      <c r="Q27" s="27">
        <f>#REF!+#REF!</f>
        <v/>
      </c>
      <c r="R27" s="27">
        <f>((IF(#REF!=0,#REF!,#REF!))+(IF(#REF!=0,#REF!,#REF!)))/2</f>
        <v/>
      </c>
      <c r="S27" s="27">
        <f>((IF(#REF!=0,#REF!,#REF!))+(IF(#REF!=0,#REF!,#REF!)))/2</f>
        <v/>
      </c>
      <c r="T27" s="87">
        <f>((IF(#REF!=0,#REF!,#REF!))+(IF(#REF!=0,#REF!,#REF!)))/2</f>
        <v/>
      </c>
      <c r="U27" s="23">
        <f>#REF!</f>
        <v/>
      </c>
      <c r="V27" s="40">
        <f>#REF!</f>
        <v/>
      </c>
      <c r="W27" s="40">
        <f>#REF!</f>
        <v/>
      </c>
      <c r="X27" s="24">
        <f>#REF!</f>
        <v/>
      </c>
    </row>
    <row r="28" ht="24.9" customHeight="1" s="141">
      <c r="B28" s="131" t="n">
        <v>9</v>
      </c>
      <c r="C28" s="20" t="n">
        <v>700</v>
      </c>
      <c r="D28" s="10" t="inlineStr">
        <is>
          <t>ЧС/В2</t>
        </is>
      </c>
      <c r="E28" s="23">
        <f>#REF!</f>
        <v/>
      </c>
      <c r="F28" s="40">
        <f>#REF!</f>
        <v/>
      </c>
      <c r="G28" s="40">
        <f>#REF!</f>
        <v/>
      </c>
      <c r="H28" s="24">
        <f>#REF!</f>
        <v/>
      </c>
      <c r="I28" s="27">
        <f>#REF!</f>
        <v/>
      </c>
      <c r="J28" s="40">
        <f>#REF!</f>
        <v/>
      </c>
      <c r="K28" s="40">
        <f>#REF!</f>
        <v/>
      </c>
      <c r="L28" s="69">
        <f>#REF!</f>
        <v/>
      </c>
      <c r="M28" s="23">
        <f>#REF!</f>
        <v/>
      </c>
      <c r="N28" s="40">
        <f>#REF!</f>
        <v/>
      </c>
      <c r="O28" s="40">
        <f>#REF!</f>
        <v/>
      </c>
      <c r="P28" s="24">
        <f>#REF!</f>
        <v/>
      </c>
      <c r="Q28" s="27">
        <f>#REF!+#REF!</f>
        <v/>
      </c>
      <c r="R28" s="27">
        <f>((IF(#REF!=0,#REF!,#REF!))+(IF(#REF!=0,#REF!,#REF!)))/2</f>
        <v/>
      </c>
      <c r="S28" s="27">
        <f>((IF(#REF!=0,#REF!,#REF!))+(IF(#REF!=0,#REF!,#REF!)))/2</f>
        <v/>
      </c>
      <c r="T28" s="87">
        <f>((IF(#REF!=0,#REF!,#REF!))+(IF(#REF!=0,#REF!,#REF!)))/2</f>
        <v/>
      </c>
      <c r="U28" s="23">
        <f>#REF!</f>
        <v/>
      </c>
      <c r="V28" s="40">
        <f>#REF!</f>
        <v/>
      </c>
      <c r="W28" s="40">
        <f>#REF!</f>
        <v/>
      </c>
      <c r="X28" s="24">
        <f>#REF!</f>
        <v/>
      </c>
    </row>
    <row r="29" ht="24.9" customHeight="1" s="141">
      <c r="B29" s="131" t="n">
        <v>10</v>
      </c>
      <c r="C29" s="23" t="n">
        <v>701</v>
      </c>
      <c r="D29" s="10" t="inlineStr">
        <is>
          <t>ЧС/В2</t>
        </is>
      </c>
      <c r="E29" s="23">
        <f>#REF!</f>
        <v/>
      </c>
      <c r="F29" s="40">
        <f>#REF!</f>
        <v/>
      </c>
      <c r="G29" s="40">
        <f>#REF!</f>
        <v/>
      </c>
      <c r="H29" s="24">
        <f>#REF!</f>
        <v/>
      </c>
      <c r="I29" s="27">
        <f>#REF!</f>
        <v/>
      </c>
      <c r="J29" s="40">
        <f>#REF!</f>
        <v/>
      </c>
      <c r="K29" s="40">
        <f>#REF!</f>
        <v/>
      </c>
      <c r="L29" s="69">
        <f>#REF!</f>
        <v/>
      </c>
      <c r="M29" s="23">
        <f>#REF!</f>
        <v/>
      </c>
      <c r="N29" s="40">
        <f>#REF!</f>
        <v/>
      </c>
      <c r="O29" s="40">
        <f>#REF!</f>
        <v/>
      </c>
      <c r="P29" s="24">
        <f>#REF!</f>
        <v/>
      </c>
      <c r="Q29" s="27">
        <f>#REF!+#REF!</f>
        <v/>
      </c>
      <c r="R29" s="27">
        <f>((IF(#REF!=0,#REF!,#REF!))+(IF(#REF!=0,#REF!,#REF!)))/2</f>
        <v/>
      </c>
      <c r="S29" s="27">
        <f>((IF(#REF!=0,#REF!,#REF!))+(IF(#REF!=0,#REF!,#REF!)))/2</f>
        <v/>
      </c>
      <c r="T29" s="87">
        <f>((IF(#REF!=0,#REF!,#REF!))+(IF(#REF!=0,#REF!,#REF!)))/2</f>
        <v/>
      </c>
      <c r="U29" s="23">
        <f>#REF!</f>
        <v/>
      </c>
      <c r="V29" s="40">
        <f>#REF!</f>
        <v/>
      </c>
      <c r="W29" s="40">
        <f>#REF!</f>
        <v/>
      </c>
      <c r="X29" s="24">
        <f>#REF!</f>
        <v/>
      </c>
    </row>
    <row r="30" ht="24.9" customHeight="1" s="141">
      <c r="B30" s="131" t="n">
        <v>11</v>
      </c>
      <c r="C30" s="20" t="n">
        <v>702</v>
      </c>
      <c r="D30" s="10" t="inlineStr">
        <is>
          <t>ЧС/В2</t>
        </is>
      </c>
      <c r="E30" s="23">
        <f>#REF!</f>
        <v/>
      </c>
      <c r="F30" s="40">
        <f>#REF!</f>
        <v/>
      </c>
      <c r="G30" s="40">
        <f>#REF!</f>
        <v/>
      </c>
      <c r="H30" s="24">
        <f>#REF!</f>
        <v/>
      </c>
      <c r="I30" s="27">
        <f>#REF!</f>
        <v/>
      </c>
      <c r="J30" s="40">
        <f>#REF!</f>
        <v/>
      </c>
      <c r="K30" s="40">
        <f>#REF!</f>
        <v/>
      </c>
      <c r="L30" s="69">
        <f>#REF!</f>
        <v/>
      </c>
      <c r="M30" s="23">
        <f>#REF!</f>
        <v/>
      </c>
      <c r="N30" s="40">
        <f>#REF!</f>
        <v/>
      </c>
      <c r="O30" s="40">
        <f>#REF!</f>
        <v/>
      </c>
      <c r="P30" s="24">
        <f>#REF!</f>
        <v/>
      </c>
      <c r="Q30" s="27">
        <f>#REF!+#REF!</f>
        <v/>
      </c>
      <c r="R30" s="27">
        <f>((IF(#REF!=0,#REF!,#REF!))+(IF(#REF!=0,#REF!,#REF!)))/2</f>
        <v/>
      </c>
      <c r="S30" s="27">
        <f>((IF(#REF!=0,#REF!,#REF!))+(IF(#REF!=0,#REF!,#REF!)))/2</f>
        <v/>
      </c>
      <c r="T30" s="87">
        <f>((IF(#REF!=0,#REF!,#REF!))+(IF(#REF!=0,#REF!,#REF!)))/2</f>
        <v/>
      </c>
      <c r="U30" s="23">
        <f>#REF!</f>
        <v/>
      </c>
      <c r="V30" s="40">
        <f>#REF!</f>
        <v/>
      </c>
      <c r="W30" s="40">
        <f>#REF!</f>
        <v/>
      </c>
      <c r="X30" s="24">
        <f>#REF!</f>
        <v/>
      </c>
    </row>
    <row r="31" ht="24.9" customHeight="1" s="141">
      <c r="B31" s="131" t="n">
        <v>12</v>
      </c>
      <c r="C31" s="20" t="n">
        <v>703</v>
      </c>
      <c r="D31" s="10" t="inlineStr">
        <is>
          <t>ЧС/В2</t>
        </is>
      </c>
      <c r="E31" s="23">
        <f>#REF!</f>
        <v/>
      </c>
      <c r="F31" s="40">
        <f>#REF!</f>
        <v/>
      </c>
      <c r="G31" s="40">
        <f>#REF!</f>
        <v/>
      </c>
      <c r="H31" s="24">
        <f>#REF!</f>
        <v/>
      </c>
      <c r="I31" s="27">
        <f>#REF!</f>
        <v/>
      </c>
      <c r="J31" s="40">
        <f>#REF!</f>
        <v/>
      </c>
      <c r="K31" s="40">
        <f>#REF!</f>
        <v/>
      </c>
      <c r="L31" s="69">
        <f>#REF!</f>
        <v/>
      </c>
      <c r="M31" s="23">
        <f>#REF!</f>
        <v/>
      </c>
      <c r="N31" s="40">
        <f>#REF!</f>
        <v/>
      </c>
      <c r="O31" s="40">
        <f>#REF!</f>
        <v/>
      </c>
      <c r="P31" s="24">
        <f>#REF!</f>
        <v/>
      </c>
      <c r="Q31" s="27">
        <f>#REF!+#REF!</f>
        <v/>
      </c>
      <c r="R31" s="27">
        <f>((IF(#REF!=0,#REF!,#REF!))+(IF(#REF!=0,#REF!,#REF!)))/2</f>
        <v/>
      </c>
      <c r="S31" s="27">
        <f>((IF(#REF!=0,#REF!,#REF!))+(IF(#REF!=0,#REF!,#REF!)))/2</f>
        <v/>
      </c>
      <c r="T31" s="87">
        <f>((IF(#REF!=0,#REF!,#REF!))+(IF(#REF!=0,#REF!,#REF!)))/2</f>
        <v/>
      </c>
      <c r="U31" s="23">
        <f>#REF!</f>
        <v/>
      </c>
      <c r="V31" s="40">
        <f>#REF!</f>
        <v/>
      </c>
      <c r="W31" s="40">
        <f>#REF!</f>
        <v/>
      </c>
      <c r="X31" s="24">
        <f>#REF!</f>
        <v/>
      </c>
    </row>
    <row r="32" ht="24.9" customHeight="1" s="141">
      <c r="B32" s="131" t="n">
        <v>13</v>
      </c>
      <c r="C32" s="20" t="n">
        <v>704</v>
      </c>
      <c r="D32" s="10" t="inlineStr">
        <is>
          <t>ЧС/В2</t>
        </is>
      </c>
      <c r="E32" s="23">
        <f>#REF!</f>
        <v/>
      </c>
      <c r="F32" s="40">
        <f>#REF!</f>
        <v/>
      </c>
      <c r="G32" s="40">
        <f>#REF!</f>
        <v/>
      </c>
      <c r="H32" s="24">
        <f>#REF!</f>
        <v/>
      </c>
      <c r="I32" s="27">
        <f>#REF!</f>
        <v/>
      </c>
      <c r="J32" s="40">
        <f>#REF!</f>
        <v/>
      </c>
      <c r="K32" s="40">
        <f>#REF!</f>
        <v/>
      </c>
      <c r="L32" s="69">
        <f>#REF!</f>
        <v/>
      </c>
      <c r="M32" s="23">
        <f>#REF!</f>
        <v/>
      </c>
      <c r="N32" s="40">
        <f>#REF!</f>
        <v/>
      </c>
      <c r="O32" s="40">
        <f>#REF!</f>
        <v/>
      </c>
      <c r="P32" s="24">
        <f>#REF!</f>
        <v/>
      </c>
      <c r="Q32" s="27">
        <f>#REF!+#REF!</f>
        <v/>
      </c>
      <c r="R32" s="27">
        <f>((IF(#REF!=0,#REF!,#REF!))+(IF(#REF!=0,#REF!,#REF!)))/2</f>
        <v/>
      </c>
      <c r="S32" s="27">
        <f>((IF(#REF!=0,#REF!,#REF!))+(IF(#REF!=0,#REF!,#REF!)))/2</f>
        <v/>
      </c>
      <c r="T32" s="87">
        <f>((IF(#REF!=0,#REF!,#REF!))+(IF(#REF!=0,#REF!,#REF!)))/2</f>
        <v/>
      </c>
      <c r="U32" s="23">
        <f>#REF!</f>
        <v/>
      </c>
      <c r="V32" s="40">
        <f>#REF!</f>
        <v/>
      </c>
      <c r="W32" s="40">
        <f>#REF!</f>
        <v/>
      </c>
      <c r="X32" s="24">
        <f>#REF!</f>
        <v/>
      </c>
    </row>
    <row r="33" ht="24.9" customHeight="1" s="141">
      <c r="B33" s="131" t="n">
        <v>14</v>
      </c>
      <c r="C33" s="20" t="n">
        <v>705</v>
      </c>
      <c r="D33" s="10" t="inlineStr">
        <is>
          <t>ЧС/В2</t>
        </is>
      </c>
      <c r="E33" s="23">
        <f>#REF!</f>
        <v/>
      </c>
      <c r="F33" s="40">
        <f>#REF!</f>
        <v/>
      </c>
      <c r="G33" s="40">
        <f>#REF!</f>
        <v/>
      </c>
      <c r="H33" s="24">
        <f>#REF!</f>
        <v/>
      </c>
      <c r="I33" s="27">
        <f>#REF!</f>
        <v/>
      </c>
      <c r="J33" s="40">
        <f>#REF!</f>
        <v/>
      </c>
      <c r="K33" s="40">
        <f>#REF!</f>
        <v/>
      </c>
      <c r="L33" s="69">
        <f>#REF!</f>
        <v/>
      </c>
      <c r="M33" s="23">
        <f>#REF!</f>
        <v/>
      </c>
      <c r="N33" s="40">
        <f>#REF!</f>
        <v/>
      </c>
      <c r="O33" s="40">
        <f>#REF!</f>
        <v/>
      </c>
      <c r="P33" s="24">
        <f>#REF!</f>
        <v/>
      </c>
      <c r="Q33" s="27">
        <f>#REF!+#REF!</f>
        <v/>
      </c>
      <c r="R33" s="27">
        <f>((IF(#REF!=0,#REF!,#REF!))+(IF(#REF!=0,#REF!,#REF!)))/2</f>
        <v/>
      </c>
      <c r="S33" s="27">
        <f>((IF(#REF!=0,#REF!,#REF!))+(IF(#REF!=0,#REF!,#REF!)))/2</f>
        <v/>
      </c>
      <c r="T33" s="87">
        <f>((IF(#REF!=0,#REF!,#REF!))+(IF(#REF!=0,#REF!,#REF!)))/2</f>
        <v/>
      </c>
      <c r="U33" s="23">
        <f>#REF!</f>
        <v/>
      </c>
      <c r="V33" s="40">
        <f>#REF!</f>
        <v/>
      </c>
      <c r="W33" s="40">
        <f>#REF!</f>
        <v/>
      </c>
      <c r="X33" s="24">
        <f>#REF!</f>
        <v/>
      </c>
    </row>
    <row r="34" ht="24.9" customHeight="1" s="141">
      <c r="B34" s="131" t="n">
        <v>15</v>
      </c>
      <c r="C34" s="20" t="n">
        <v>706</v>
      </c>
      <c r="D34" s="10" t="inlineStr">
        <is>
          <t>ЧС/В2</t>
        </is>
      </c>
      <c r="E34" s="23">
        <f>#REF!</f>
        <v/>
      </c>
      <c r="F34" s="40">
        <f>#REF!</f>
        <v/>
      </c>
      <c r="G34" s="40">
        <f>#REF!</f>
        <v/>
      </c>
      <c r="H34" s="24">
        <f>#REF!</f>
        <v/>
      </c>
      <c r="I34" s="27">
        <f>#REF!</f>
        <v/>
      </c>
      <c r="J34" s="40">
        <f>#REF!</f>
        <v/>
      </c>
      <c r="K34" s="40">
        <f>#REF!</f>
        <v/>
      </c>
      <c r="L34" s="69">
        <f>#REF!</f>
        <v/>
      </c>
      <c r="M34" s="23">
        <f>#REF!</f>
        <v/>
      </c>
      <c r="N34" s="40">
        <f>#REF!</f>
        <v/>
      </c>
      <c r="O34" s="40">
        <f>#REF!</f>
        <v/>
      </c>
      <c r="P34" s="24">
        <f>#REF!</f>
        <v/>
      </c>
      <c r="Q34" s="27">
        <f>#REF!+#REF!</f>
        <v/>
      </c>
      <c r="R34" s="27">
        <f>((IF(#REF!=0,#REF!,#REF!))+(IF(#REF!=0,#REF!,#REF!)))/2</f>
        <v/>
      </c>
      <c r="S34" s="27">
        <f>((IF(#REF!=0,#REF!,#REF!))+(IF(#REF!=0,#REF!,#REF!)))/2</f>
        <v/>
      </c>
      <c r="T34" s="87">
        <f>((IF(#REF!=0,#REF!,#REF!))+(IF(#REF!=0,#REF!,#REF!)))/2</f>
        <v/>
      </c>
      <c r="U34" s="23">
        <f>#REF!</f>
        <v/>
      </c>
      <c r="V34" s="40">
        <f>#REF!</f>
        <v/>
      </c>
      <c r="W34" s="40">
        <f>#REF!</f>
        <v/>
      </c>
      <c r="X34" s="24">
        <f>#REF!</f>
        <v/>
      </c>
    </row>
    <row r="35" ht="24.9" customHeight="1" s="141">
      <c r="B35" s="131" t="n">
        <v>16</v>
      </c>
      <c r="C35" s="20" t="n"/>
      <c r="D35" s="10" t="n"/>
      <c r="E35" s="23">
        <f>#REF!</f>
        <v/>
      </c>
      <c r="F35" s="40">
        <f>#REF!</f>
        <v/>
      </c>
      <c r="G35" s="40">
        <f>#REF!</f>
        <v/>
      </c>
      <c r="H35" s="24">
        <f>#REF!</f>
        <v/>
      </c>
      <c r="I35" s="27">
        <f>#REF!</f>
        <v/>
      </c>
      <c r="J35" s="40">
        <f>#REF!</f>
        <v/>
      </c>
      <c r="K35" s="40">
        <f>#REF!</f>
        <v/>
      </c>
      <c r="L35" s="69">
        <f>#REF!</f>
        <v/>
      </c>
      <c r="M35" s="23">
        <f>#REF!</f>
        <v/>
      </c>
      <c r="N35" s="40">
        <f>#REF!</f>
        <v/>
      </c>
      <c r="O35" s="40">
        <f>#REF!</f>
        <v/>
      </c>
      <c r="P35" s="24">
        <f>#REF!</f>
        <v/>
      </c>
      <c r="Q35" s="27">
        <f>#REF!+#REF!</f>
        <v/>
      </c>
      <c r="R35" s="27">
        <f>((IF(#REF!=0,#REF!,#REF!))+(IF(#REF!=0,#REF!,#REF!)))/2</f>
        <v/>
      </c>
      <c r="S35" s="27">
        <f>((IF(#REF!=0,#REF!,#REF!))+(IF(#REF!=0,#REF!,#REF!)))/2</f>
        <v/>
      </c>
      <c r="T35" s="87">
        <f>((IF(#REF!=0,#REF!,#REF!))+(IF(#REF!=0,#REF!,#REF!)))/2</f>
        <v/>
      </c>
      <c r="U35" s="23">
        <f>#REF!</f>
        <v/>
      </c>
      <c r="V35" s="40">
        <f>#REF!</f>
        <v/>
      </c>
      <c r="W35" s="40">
        <f>#REF!</f>
        <v/>
      </c>
      <c r="X35" s="24">
        <f>#REF!</f>
        <v/>
      </c>
    </row>
    <row r="36" ht="24.9" customHeight="1" s="141">
      <c r="B36" s="131" t="n">
        <v>17</v>
      </c>
      <c r="C36" s="20" t="n"/>
      <c r="D36" s="10" t="n"/>
      <c r="E36" s="23">
        <f>#REF!</f>
        <v/>
      </c>
      <c r="F36" s="40">
        <f>#REF!</f>
        <v/>
      </c>
      <c r="G36" s="40">
        <f>#REF!</f>
        <v/>
      </c>
      <c r="H36" s="24">
        <f>#REF!</f>
        <v/>
      </c>
      <c r="I36" s="27">
        <f>#REF!</f>
        <v/>
      </c>
      <c r="J36" s="40">
        <f>#REF!</f>
        <v/>
      </c>
      <c r="K36" s="40">
        <f>#REF!</f>
        <v/>
      </c>
      <c r="L36" s="69">
        <f>#REF!</f>
        <v/>
      </c>
      <c r="M36" s="23">
        <f>#REF!</f>
        <v/>
      </c>
      <c r="N36" s="40">
        <f>#REF!</f>
        <v/>
      </c>
      <c r="O36" s="40">
        <f>#REF!</f>
        <v/>
      </c>
      <c r="P36" s="24">
        <f>#REF!</f>
        <v/>
      </c>
      <c r="Q36" s="27">
        <f>#REF!+#REF!</f>
        <v/>
      </c>
      <c r="R36" s="27">
        <f>((IF(#REF!=0,#REF!,#REF!))+(IF(#REF!=0,#REF!,#REF!)))/2</f>
        <v/>
      </c>
      <c r="S36" s="27">
        <f>((IF(#REF!=0,#REF!,#REF!))+(IF(#REF!=0,#REF!,#REF!)))/2</f>
        <v/>
      </c>
      <c r="T36" s="87">
        <f>((IF(#REF!=0,#REF!,#REF!))+(IF(#REF!=0,#REF!,#REF!)))/2</f>
        <v/>
      </c>
      <c r="U36" s="23">
        <f>#REF!</f>
        <v/>
      </c>
      <c r="V36" s="40">
        <f>#REF!</f>
        <v/>
      </c>
      <c r="W36" s="40">
        <f>#REF!</f>
        <v/>
      </c>
      <c r="X36" s="24">
        <f>#REF!</f>
        <v/>
      </c>
    </row>
    <row r="37" ht="24.9" customHeight="1" s="141">
      <c r="B37" s="131" t="n">
        <v>18</v>
      </c>
      <c r="C37" s="20" t="n"/>
      <c r="D37" s="10" t="n"/>
      <c r="E37" s="23">
        <f>#REF!</f>
        <v/>
      </c>
      <c r="F37" s="40">
        <f>#REF!</f>
        <v/>
      </c>
      <c r="G37" s="40">
        <f>#REF!</f>
        <v/>
      </c>
      <c r="H37" s="24">
        <f>#REF!</f>
        <v/>
      </c>
      <c r="I37" s="27">
        <f>#REF!</f>
        <v/>
      </c>
      <c r="J37" s="40">
        <f>#REF!</f>
        <v/>
      </c>
      <c r="K37" s="40">
        <f>#REF!</f>
        <v/>
      </c>
      <c r="L37" s="69">
        <f>#REF!</f>
        <v/>
      </c>
      <c r="M37" s="23">
        <f>#REF!</f>
        <v/>
      </c>
      <c r="N37" s="40">
        <f>#REF!</f>
        <v/>
      </c>
      <c r="O37" s="40">
        <f>#REF!</f>
        <v/>
      </c>
      <c r="P37" s="24">
        <f>#REF!</f>
        <v/>
      </c>
      <c r="Q37" s="27">
        <f>#REF!+#REF!</f>
        <v/>
      </c>
      <c r="R37" s="27">
        <f>((IF(#REF!=0,#REF!,#REF!))+(IF(#REF!=0,#REF!,#REF!)))/2</f>
        <v/>
      </c>
      <c r="S37" s="27">
        <f>((IF(#REF!=0,#REF!,#REF!))+(IF(#REF!=0,#REF!,#REF!)))/2</f>
        <v/>
      </c>
      <c r="T37" s="87">
        <f>((IF(#REF!=0,#REF!,#REF!))+(IF(#REF!=0,#REF!,#REF!)))/2</f>
        <v/>
      </c>
      <c r="U37" s="23">
        <f>#REF!</f>
        <v/>
      </c>
      <c r="V37" s="40">
        <f>#REF!</f>
        <v/>
      </c>
      <c r="W37" s="40">
        <f>#REF!</f>
        <v/>
      </c>
      <c r="X37" s="24">
        <f>#REF!</f>
        <v/>
      </c>
    </row>
    <row r="38" ht="24.9" customHeight="1" s="141">
      <c r="B38" s="131" t="n">
        <v>19</v>
      </c>
      <c r="C38" s="20" t="n"/>
      <c r="D38" s="10" t="n"/>
      <c r="E38" s="23">
        <f>#REF!</f>
        <v/>
      </c>
      <c r="F38" s="40">
        <f>#REF!</f>
        <v/>
      </c>
      <c r="G38" s="40">
        <f>#REF!</f>
        <v/>
      </c>
      <c r="H38" s="24">
        <f>#REF!</f>
        <v/>
      </c>
      <c r="I38" s="27">
        <f>#REF!</f>
        <v/>
      </c>
      <c r="J38" s="40">
        <f>#REF!</f>
        <v/>
      </c>
      <c r="K38" s="40">
        <f>#REF!</f>
        <v/>
      </c>
      <c r="L38" s="69">
        <f>#REF!</f>
        <v/>
      </c>
      <c r="M38" s="23">
        <f>#REF!</f>
        <v/>
      </c>
      <c r="N38" s="40">
        <f>#REF!</f>
        <v/>
      </c>
      <c r="O38" s="40">
        <f>#REF!</f>
        <v/>
      </c>
      <c r="P38" s="24">
        <f>#REF!</f>
        <v/>
      </c>
      <c r="Q38" s="27">
        <f>#REF!+#REF!</f>
        <v/>
      </c>
      <c r="R38" s="27">
        <f>((IF(#REF!=0,#REF!,#REF!))+(IF(#REF!=0,#REF!,#REF!)))/2</f>
        <v/>
      </c>
      <c r="S38" s="27">
        <f>((IF(#REF!=0,#REF!,#REF!))+(IF(#REF!=0,#REF!,#REF!)))/2</f>
        <v/>
      </c>
      <c r="T38" s="87">
        <f>((IF(#REF!=0,#REF!,#REF!))+(IF(#REF!=0,#REF!,#REF!)))/2</f>
        <v/>
      </c>
      <c r="U38" s="23">
        <f>#REF!</f>
        <v/>
      </c>
      <c r="V38" s="40">
        <f>#REF!</f>
        <v/>
      </c>
      <c r="W38" s="40">
        <f>#REF!</f>
        <v/>
      </c>
      <c r="X38" s="24">
        <f>#REF!</f>
        <v/>
      </c>
    </row>
    <row r="39" ht="24.9" customHeight="1" s="141">
      <c r="B39" s="131" t="n">
        <v>20</v>
      </c>
      <c r="C39" s="20" t="n"/>
      <c r="D39" s="10" t="n"/>
      <c r="E39" s="23">
        <f>#REF!</f>
        <v/>
      </c>
      <c r="F39" s="40">
        <f>#REF!</f>
        <v/>
      </c>
      <c r="G39" s="40">
        <f>#REF!</f>
        <v/>
      </c>
      <c r="H39" s="24">
        <f>#REF!</f>
        <v/>
      </c>
      <c r="I39" s="27">
        <f>#REF!</f>
        <v/>
      </c>
      <c r="J39" s="40">
        <f>#REF!</f>
        <v/>
      </c>
      <c r="K39" s="40">
        <f>#REF!</f>
        <v/>
      </c>
      <c r="L39" s="69">
        <f>#REF!</f>
        <v/>
      </c>
      <c r="M39" s="23">
        <f>#REF!</f>
        <v/>
      </c>
      <c r="N39" s="40">
        <f>#REF!</f>
        <v/>
      </c>
      <c r="O39" s="40">
        <f>#REF!</f>
        <v/>
      </c>
      <c r="P39" s="24">
        <f>#REF!</f>
        <v/>
      </c>
      <c r="Q39" s="27">
        <f>#REF!+#REF!</f>
        <v/>
      </c>
      <c r="R39" s="27">
        <f>((IF(#REF!=0,#REF!,#REF!))+(IF(#REF!=0,#REF!,#REF!)))/2</f>
        <v/>
      </c>
      <c r="S39" s="27">
        <f>((IF(#REF!=0,#REF!,#REF!))+(IF(#REF!=0,#REF!,#REF!)))/2</f>
        <v/>
      </c>
      <c r="T39" s="87">
        <f>((IF(#REF!=0,#REF!,#REF!))+(IF(#REF!=0,#REF!,#REF!)))/2</f>
        <v/>
      </c>
      <c r="U39" s="23">
        <f>#REF!</f>
        <v/>
      </c>
      <c r="V39" s="40">
        <f>#REF!</f>
        <v/>
      </c>
      <c r="W39" s="40">
        <f>#REF!</f>
        <v/>
      </c>
      <c r="X39" s="24">
        <f>#REF!</f>
        <v/>
      </c>
    </row>
    <row r="40" ht="24.9" customHeight="1" s="141">
      <c r="B40" s="131" t="n">
        <v>21</v>
      </c>
      <c r="C40" s="20" t="n"/>
      <c r="D40" s="10" t="n"/>
      <c r="E40" s="23">
        <f>#REF!</f>
        <v/>
      </c>
      <c r="F40" s="40">
        <f>#REF!</f>
        <v/>
      </c>
      <c r="G40" s="40">
        <f>#REF!</f>
        <v/>
      </c>
      <c r="H40" s="24">
        <f>#REF!</f>
        <v/>
      </c>
      <c r="I40" s="27">
        <f>#REF!</f>
        <v/>
      </c>
      <c r="J40" s="40">
        <f>#REF!</f>
        <v/>
      </c>
      <c r="K40" s="40">
        <f>#REF!</f>
        <v/>
      </c>
      <c r="L40" s="69">
        <f>#REF!</f>
        <v/>
      </c>
      <c r="M40" s="23">
        <f>#REF!</f>
        <v/>
      </c>
      <c r="N40" s="40">
        <f>#REF!</f>
        <v/>
      </c>
      <c r="O40" s="40">
        <f>#REF!</f>
        <v/>
      </c>
      <c r="P40" s="24">
        <f>#REF!</f>
        <v/>
      </c>
      <c r="Q40" s="27">
        <f>#REF!+#REF!</f>
        <v/>
      </c>
      <c r="R40" s="27">
        <f>((IF(#REF!=0,#REF!,#REF!))+(IF(#REF!=0,#REF!,#REF!)))/2</f>
        <v/>
      </c>
      <c r="S40" s="27">
        <f>((IF(#REF!=0,#REF!,#REF!))+(IF(#REF!=0,#REF!,#REF!)))/2</f>
        <v/>
      </c>
      <c r="T40" s="87">
        <f>((IF(#REF!=0,#REF!,#REF!))+(IF(#REF!=0,#REF!,#REF!)))/2</f>
        <v/>
      </c>
      <c r="U40" s="23">
        <f>#REF!</f>
        <v/>
      </c>
      <c r="V40" s="40">
        <f>#REF!</f>
        <v/>
      </c>
      <c r="W40" s="40">
        <f>#REF!</f>
        <v/>
      </c>
      <c r="X40" s="24">
        <f>#REF!</f>
        <v/>
      </c>
    </row>
    <row r="41" ht="24.9" customHeight="1" s="141">
      <c r="B41" s="131" t="n">
        <v>22</v>
      </c>
      <c r="C41" s="20" t="n"/>
      <c r="D41" s="10" t="n"/>
      <c r="E41" s="23">
        <f>#REF!</f>
        <v/>
      </c>
      <c r="F41" s="40">
        <f>#REF!</f>
        <v/>
      </c>
      <c r="G41" s="40">
        <f>#REF!</f>
        <v/>
      </c>
      <c r="H41" s="24">
        <f>#REF!</f>
        <v/>
      </c>
      <c r="I41" s="27">
        <f>#REF!</f>
        <v/>
      </c>
      <c r="J41" s="40">
        <f>#REF!</f>
        <v/>
      </c>
      <c r="K41" s="40">
        <f>#REF!</f>
        <v/>
      </c>
      <c r="L41" s="69">
        <f>#REF!</f>
        <v/>
      </c>
      <c r="M41" s="23">
        <f>#REF!</f>
        <v/>
      </c>
      <c r="N41" s="40">
        <f>#REF!</f>
        <v/>
      </c>
      <c r="O41" s="40">
        <f>#REF!</f>
        <v/>
      </c>
      <c r="P41" s="24">
        <f>#REF!</f>
        <v/>
      </c>
      <c r="Q41" s="27">
        <f>#REF!+#REF!</f>
        <v/>
      </c>
      <c r="R41" s="27">
        <f>((IF(#REF!=0,#REF!,#REF!))+(IF(#REF!=0,#REF!,#REF!)))/2</f>
        <v/>
      </c>
      <c r="S41" s="27">
        <f>((IF(#REF!=0,#REF!,#REF!))+(IF(#REF!=0,#REF!,#REF!)))/2</f>
        <v/>
      </c>
      <c r="T41" s="87">
        <f>((IF(#REF!=0,#REF!,#REF!))+(IF(#REF!=0,#REF!,#REF!)))/2</f>
        <v/>
      </c>
      <c r="U41" s="23">
        <f>#REF!</f>
        <v/>
      </c>
      <c r="V41" s="40">
        <f>#REF!</f>
        <v/>
      </c>
      <c r="W41" s="40">
        <f>#REF!</f>
        <v/>
      </c>
      <c r="X41" s="24">
        <f>#REF!</f>
        <v/>
      </c>
    </row>
    <row r="42" ht="24.9" customHeight="1" s="141">
      <c r="B42" s="131" t="n">
        <v>23</v>
      </c>
      <c r="C42" s="20" t="n"/>
      <c r="D42" s="10" t="n"/>
      <c r="E42" s="23">
        <f>#REF!</f>
        <v/>
      </c>
      <c r="F42" s="40">
        <f>#REF!</f>
        <v/>
      </c>
      <c r="G42" s="40">
        <f>#REF!</f>
        <v/>
      </c>
      <c r="H42" s="24">
        <f>#REF!</f>
        <v/>
      </c>
      <c r="I42" s="27">
        <f>#REF!</f>
        <v/>
      </c>
      <c r="J42" s="40">
        <f>#REF!</f>
        <v/>
      </c>
      <c r="K42" s="40">
        <f>#REF!</f>
        <v/>
      </c>
      <c r="L42" s="69">
        <f>#REF!</f>
        <v/>
      </c>
      <c r="M42" s="23">
        <f>#REF!</f>
        <v/>
      </c>
      <c r="N42" s="40">
        <f>#REF!</f>
        <v/>
      </c>
      <c r="O42" s="40">
        <f>#REF!</f>
        <v/>
      </c>
      <c r="P42" s="24">
        <f>#REF!</f>
        <v/>
      </c>
      <c r="Q42" s="27">
        <f>#REF!+#REF!</f>
        <v/>
      </c>
      <c r="R42" s="27">
        <f>((IF(#REF!=0,#REF!,#REF!))+(IF(#REF!=0,#REF!,#REF!)))/2</f>
        <v/>
      </c>
      <c r="S42" s="27">
        <f>((IF(#REF!=0,#REF!,#REF!))+(IF(#REF!=0,#REF!,#REF!)))/2</f>
        <v/>
      </c>
      <c r="T42" s="87">
        <f>((IF(#REF!=0,#REF!,#REF!))+(IF(#REF!=0,#REF!,#REF!)))/2</f>
        <v/>
      </c>
      <c r="U42" s="23">
        <f>#REF!</f>
        <v/>
      </c>
      <c r="V42" s="40">
        <f>#REF!</f>
        <v/>
      </c>
      <c r="W42" s="40">
        <f>#REF!</f>
        <v/>
      </c>
      <c r="X42" s="24">
        <f>#REF!</f>
        <v/>
      </c>
    </row>
    <row r="43" ht="24.9" customHeight="1" s="141">
      <c r="B43" s="131" t="n">
        <v>24</v>
      </c>
      <c r="C43" s="20" t="n"/>
      <c r="D43" s="10" t="n"/>
      <c r="E43" s="23">
        <f>#REF!</f>
        <v/>
      </c>
      <c r="F43" s="40">
        <f>#REF!</f>
        <v/>
      </c>
      <c r="G43" s="40">
        <f>#REF!</f>
        <v/>
      </c>
      <c r="H43" s="24">
        <f>#REF!</f>
        <v/>
      </c>
      <c r="I43" s="27">
        <f>#REF!</f>
        <v/>
      </c>
      <c r="J43" s="40">
        <f>#REF!</f>
        <v/>
      </c>
      <c r="K43" s="40">
        <f>#REF!</f>
        <v/>
      </c>
      <c r="L43" s="69">
        <f>#REF!</f>
        <v/>
      </c>
      <c r="M43" s="23">
        <f>#REF!</f>
        <v/>
      </c>
      <c r="N43" s="40">
        <f>#REF!</f>
        <v/>
      </c>
      <c r="O43" s="40">
        <f>#REF!</f>
        <v/>
      </c>
      <c r="P43" s="24">
        <f>#REF!</f>
        <v/>
      </c>
      <c r="Q43" s="27">
        <f>#REF!+#REF!</f>
        <v/>
      </c>
      <c r="R43" s="27">
        <f>((IF(#REF!=0,#REF!,#REF!))+(IF(#REF!=0,#REF!,#REF!)))/2</f>
        <v/>
      </c>
      <c r="S43" s="27">
        <f>((IF(#REF!=0,#REF!,#REF!))+(IF(#REF!=0,#REF!,#REF!)))/2</f>
        <v/>
      </c>
      <c r="T43" s="87">
        <f>((IF(#REF!=0,#REF!,#REF!))+(IF(#REF!=0,#REF!,#REF!)))/2</f>
        <v/>
      </c>
      <c r="U43" s="23">
        <f>#REF!</f>
        <v/>
      </c>
      <c r="V43" s="40">
        <f>#REF!</f>
        <v/>
      </c>
      <c r="W43" s="40">
        <f>#REF!</f>
        <v/>
      </c>
      <c r="X43" s="24">
        <f>#REF!</f>
        <v/>
      </c>
    </row>
    <row r="44" ht="24.9" customHeight="1" s="141" thickBot="1">
      <c r="B44" s="132" t="n">
        <v>25</v>
      </c>
      <c r="C44" s="135" t="n"/>
      <c r="D44" s="136" t="n"/>
      <c r="E44" s="137">
        <f>#REF!</f>
        <v/>
      </c>
      <c r="F44" s="173">
        <f>#REF!</f>
        <v/>
      </c>
      <c r="G44" s="173">
        <f>#REF!</f>
        <v/>
      </c>
      <c r="H44" s="179">
        <f>#REF!</f>
        <v/>
      </c>
      <c r="I44" s="174">
        <f>#REF!</f>
        <v/>
      </c>
      <c r="J44" s="173">
        <f>#REF!</f>
        <v/>
      </c>
      <c r="K44" s="173">
        <f>#REF!</f>
        <v/>
      </c>
      <c r="L44" s="180">
        <f>#REF!</f>
        <v/>
      </c>
      <c r="M44" s="137">
        <f>#REF!</f>
        <v/>
      </c>
      <c r="N44" s="173">
        <f>#REF!</f>
        <v/>
      </c>
      <c r="O44" s="173">
        <f>#REF!</f>
        <v/>
      </c>
      <c r="P44" s="179">
        <f>#REF!</f>
        <v/>
      </c>
      <c r="Q44" s="174">
        <f>#REF!+#REF!</f>
        <v/>
      </c>
      <c r="R44" s="174">
        <f>((IF(#REF!=0,#REF!,#REF!))+(IF(#REF!=0,#REF!,#REF!)))/2</f>
        <v/>
      </c>
      <c r="S44" s="174">
        <f>((IF(#REF!=0,#REF!,#REF!))+(IF(#REF!=0,#REF!,#REF!)))/2</f>
        <v/>
      </c>
      <c r="T44" s="182">
        <f>((IF(#REF!=0,#REF!,#REF!))+(IF(#REF!=0,#REF!,#REF!)))/2</f>
        <v/>
      </c>
      <c r="U44" s="137">
        <f>#REF!</f>
        <v/>
      </c>
      <c r="V44" s="173">
        <f>#REF!</f>
        <v/>
      </c>
      <c r="W44" s="173">
        <f>#REF!</f>
        <v/>
      </c>
      <c r="X44" s="179">
        <f>#REF!</f>
        <v/>
      </c>
    </row>
    <row r="45" ht="24.9" customHeight="1" s="141">
      <c r="B45" s="244" t="inlineStr">
        <is>
          <t>Среднее (тыс.шт/га; см; м; лет)</t>
        </is>
      </c>
      <c r="C45" s="245" t="n"/>
      <c r="D45" s="246" t="n"/>
      <c r="E45" s="175">
        <f>#REF!</f>
        <v/>
      </c>
      <c r="F45" s="176">
        <f>#REF!</f>
        <v/>
      </c>
      <c r="G45" s="176">
        <f>#REF!</f>
        <v/>
      </c>
      <c r="H45" s="178">
        <f>#REF!</f>
        <v/>
      </c>
      <c r="I45" s="177">
        <f>#REF!</f>
        <v/>
      </c>
      <c r="J45" s="176">
        <f>#REF!</f>
        <v/>
      </c>
      <c r="K45" s="176">
        <f>#REF!</f>
        <v/>
      </c>
      <c r="L45" s="181">
        <f>#REF!</f>
        <v/>
      </c>
      <c r="M45" s="175">
        <f>#REF!</f>
        <v/>
      </c>
      <c r="N45" s="176">
        <f>#REF!</f>
        <v/>
      </c>
      <c r="O45" s="176">
        <f>#REF!</f>
        <v/>
      </c>
      <c r="P45" s="178">
        <f>#REF!</f>
        <v/>
      </c>
      <c r="Q45" s="177">
        <f>#REF!+#REF!</f>
        <v/>
      </c>
      <c r="R45" s="177">
        <f>((IF(#REF!=0,#REF!,#REF!))+(IF(#REF!=0,#REF!,#REF!)))/2</f>
        <v/>
      </c>
      <c r="S45" s="177">
        <f>((IF(#REF!=0,#REF!,#REF!))+(IF(#REF!=0,#REF!,#REF!)))/2</f>
        <v/>
      </c>
      <c r="T45" s="183">
        <f>((IF(#REF!=0,#REF!,#REF!))+(IF(#REF!=0,#REF!,#REF!)))/2</f>
        <v/>
      </c>
      <c r="U45" s="175">
        <f>#REF!</f>
        <v/>
      </c>
      <c r="V45" s="176">
        <f>#REF!</f>
        <v/>
      </c>
      <c r="W45" s="176">
        <f>#REF!</f>
        <v/>
      </c>
      <c r="X45" s="178">
        <f>#REF!</f>
        <v/>
      </c>
    </row>
    <row r="46" ht="24.9" customHeight="1" s="141" thickBot="1">
      <c r="B46" s="247" t="inlineStr">
        <is>
          <t>H выше 1.5 (метров)</t>
        </is>
      </c>
      <c r="C46" s="248" t="n"/>
      <c r="D46" s="249" t="n"/>
      <c r="E46" s="184">
        <f>#REF!</f>
        <v/>
      </c>
      <c r="F46" s="185">
        <f>#REF!</f>
        <v/>
      </c>
      <c r="G46" s="185">
        <f>#REF!</f>
        <v/>
      </c>
      <c r="H46" s="186">
        <f>#REF!</f>
        <v/>
      </c>
      <c r="I46" s="187">
        <f>#REF!</f>
        <v/>
      </c>
      <c r="J46" s="185">
        <f>#REF!</f>
        <v/>
      </c>
      <c r="K46" s="185">
        <f>#REF!</f>
        <v/>
      </c>
      <c r="L46" s="188">
        <f>#REF!</f>
        <v/>
      </c>
      <c r="M46" s="184">
        <f>#REF!</f>
        <v/>
      </c>
      <c r="N46" s="185">
        <f>#REF!</f>
        <v/>
      </c>
      <c r="O46" s="185">
        <f>#REF!</f>
        <v/>
      </c>
      <c r="P46" s="186">
        <f>#REF!</f>
        <v/>
      </c>
      <c r="Q46" s="187">
        <f>#REF!+#REF!</f>
        <v/>
      </c>
      <c r="R46" s="187">
        <f>((IF(#REF!=0,#REF!,#REF!))+(IF(#REF!=0,#REF!,#REF!)))/2</f>
        <v/>
      </c>
      <c r="S46" s="187">
        <f>((IF(#REF!=0,#REF!,#REF!))+(IF(#REF!=0,#REF!,#REF!)))/2</f>
        <v/>
      </c>
      <c r="T46" s="189">
        <f>((IF(#REF!=0,#REF!,#REF!))+(IF(#REF!=0,#REF!,#REF!)))/2</f>
        <v/>
      </c>
      <c r="U46" s="184">
        <f>#REF!</f>
        <v/>
      </c>
      <c r="V46" s="185">
        <f>#REF!</f>
        <v/>
      </c>
      <c r="W46" s="185">
        <f>#REF!</f>
        <v/>
      </c>
      <c r="X46" s="186">
        <f>#REF!</f>
        <v/>
      </c>
    </row>
    <row r="47" ht="24.9" customHeight="1" s="141"/>
    <row r="48" ht="24.9" customHeight="1" s="141"/>
    <row r="54">
      <c r="C54" s="139" t="n"/>
    </row>
    <row r="55">
      <c r="C55" s="139" t="n"/>
    </row>
    <row r="56">
      <c r="C56" s="139" t="n"/>
    </row>
    <row r="57">
      <c r="C57" s="139" t="n"/>
    </row>
    <row r="58">
      <c r="C58" s="139" t="n"/>
    </row>
    <row r="59">
      <c r="C59" s="139" t="n"/>
    </row>
    <row r="60">
      <c r="C60" s="139" t="n"/>
    </row>
    <row r="61">
      <c r="C61" s="139" t="n"/>
    </row>
    <row r="62">
      <c r="C62" s="139" t="n"/>
    </row>
    <row r="63">
      <c r="C63" s="139" t="n"/>
    </row>
    <row r="66">
      <c r="C66" s="139" t="n"/>
    </row>
  </sheetData>
  <mergeCells count="8">
    <mergeCell ref="Q18:T18"/>
    <mergeCell ref="U18:X18"/>
    <mergeCell ref="E18:H18"/>
    <mergeCell ref="I18:L18"/>
    <mergeCell ref="B45:D45"/>
    <mergeCell ref="B46:D46"/>
    <mergeCell ref="C18:D18"/>
    <mergeCell ref="M18:P18"/>
  </mergeCells>
  <pageMargins left="0.2362204724409449" right="0.2362204724409449" top="0.5511811023622047" bottom="0.5511811023622047" header="0" footer="0"/>
  <pageSetup orientation="landscape" paperSize="9" scale="61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BM23" sqref="BM23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205</v>
      </c>
      <c r="W16" s="45" t="n"/>
      <c r="X16" s="45" t="inlineStr">
        <is>
          <t>Выд</t>
        </is>
      </c>
      <c r="Y16" s="45" t="n">
        <v>35</v>
      </c>
      <c r="Z16" s="45" t="inlineStr">
        <is>
          <t>делянка</t>
        </is>
      </c>
      <c r="AA16" s="45" t="n">
        <v>2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803</v>
      </c>
      <c r="P20" s="87" t="n"/>
      <c r="Q20" s="87" t="n"/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</v>
      </c>
      <c r="AB20" s="6" t="n"/>
      <c r="AC20" s="7" t="n">
        <v>4</v>
      </c>
      <c r="AD20" s="36" t="n">
        <v>15</v>
      </c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5</v>
      </c>
      <c r="AL20" s="7" t="n"/>
      <c r="AM20" s="7" t="n">
        <v>2.5</v>
      </c>
      <c r="AN20" s="8" t="n">
        <v>10</v>
      </c>
      <c r="AO20" s="40" t="n">
        <v>1e-06</v>
      </c>
      <c r="AP20" s="27" t="n"/>
      <c r="AQ20" s="40" t="n"/>
      <c r="AR20" s="24" t="n"/>
      <c r="AS20" s="40" t="n">
        <v>12</v>
      </c>
      <c r="AT20" s="27" t="n"/>
      <c r="AU20" s="40" t="n">
        <v>10</v>
      </c>
      <c r="AV20" s="24" t="n">
        <v>10</v>
      </c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804</v>
      </c>
      <c r="P21" s="88" t="n"/>
      <c r="Q21" s="88" t="n"/>
      <c r="R21" s="37" t="n"/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>
        <v>0</v>
      </c>
      <c r="Z21" s="2" t="n">
        <v>0</v>
      </c>
      <c r="AA21" s="2" t="n">
        <v>0</v>
      </c>
      <c r="AB21" s="2" t="n"/>
      <c r="AC21" s="3" t="n"/>
      <c r="AD21" s="37" t="n"/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1</v>
      </c>
      <c r="AL21" s="3" t="n"/>
      <c r="AM21" s="3" t="n">
        <v>18</v>
      </c>
      <c r="AN21" s="10" t="n">
        <v>25</v>
      </c>
      <c r="AO21" s="28" t="n">
        <v>0</v>
      </c>
      <c r="AP21" s="28" t="n"/>
      <c r="AQ21" s="3" t="n"/>
      <c r="AR21" s="10" t="n"/>
      <c r="AS21" s="20" t="n">
        <v>4</v>
      </c>
      <c r="AT21" s="28" t="n"/>
      <c r="AU21" s="3" t="n">
        <v>18</v>
      </c>
      <c r="AV21" s="10" t="n">
        <v>25</v>
      </c>
      <c r="AW21" s="20" t="n">
        <v>0</v>
      </c>
      <c r="AX21" s="28" t="n"/>
      <c r="AY21" s="3" t="n"/>
      <c r="AZ21" s="10" t="n"/>
      <c r="BA21" s="20" t="n">
        <v>0</v>
      </c>
      <c r="BB21" s="28" t="n"/>
      <c r="BC21" s="3" t="n"/>
      <c r="BD21" s="10" t="n"/>
      <c r="BE21" s="23" t="n">
        <v>0</v>
      </c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805</v>
      </c>
      <c r="P22" s="88" t="n"/>
      <c r="Q22" s="88" t="n"/>
      <c r="R22" s="37" t="n"/>
      <c r="S22" s="20" t="n">
        <v>0</v>
      </c>
      <c r="T22" s="3" t="n">
        <v>0</v>
      </c>
      <c r="U22" s="3" t="n">
        <v>0</v>
      </c>
      <c r="V22" s="3" t="n"/>
      <c r="W22" s="3" t="n"/>
      <c r="X22" s="10" t="n"/>
      <c r="Y22" s="17" t="n">
        <v>0</v>
      </c>
      <c r="Z22" s="2" t="n">
        <v>0</v>
      </c>
      <c r="AA22" s="2" t="n">
        <v>0</v>
      </c>
      <c r="AB22" s="2" t="n"/>
      <c r="AC22" s="3" t="n"/>
      <c r="AD22" s="37" t="n"/>
      <c r="AE22" s="9" t="n">
        <v>0</v>
      </c>
      <c r="AF22" s="2" t="n">
        <v>0</v>
      </c>
      <c r="AG22" s="2" t="n">
        <v>0</v>
      </c>
      <c r="AH22" s="2" t="n"/>
      <c r="AI22" s="3" t="n"/>
      <c r="AJ22" s="10" t="n"/>
      <c r="AK22" s="28" t="n">
        <v>0</v>
      </c>
      <c r="AL22" s="3" t="n"/>
      <c r="AM22" s="3" t="n"/>
      <c r="AN22" s="10" t="n"/>
      <c r="AO22" s="28" t="n">
        <v>12</v>
      </c>
      <c r="AP22" s="28" t="n"/>
      <c r="AQ22" s="3" t="n">
        <v>8</v>
      </c>
      <c r="AR22" s="10" t="n">
        <v>15</v>
      </c>
      <c r="AS22" s="20" t="n">
        <v>4</v>
      </c>
      <c r="AT22" s="28" t="n"/>
      <c r="AU22" s="3" t="n">
        <v>5</v>
      </c>
      <c r="AV22" s="10" t="n">
        <v>15</v>
      </c>
      <c r="AW22" s="20" t="n">
        <v>0</v>
      </c>
      <c r="AX22" s="28" t="n"/>
      <c r="AY22" s="3" t="n"/>
      <c r="AZ22" s="10" t="n"/>
      <c r="BA22" s="20" t="n">
        <v>0</v>
      </c>
      <c r="BB22" s="28" t="n"/>
      <c r="BC22" s="3" t="n"/>
      <c r="BD22" s="10" t="n"/>
      <c r="BE22" s="23" t="n">
        <v>0</v>
      </c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806</v>
      </c>
      <c r="P23" s="87" t="n"/>
      <c r="Q23" s="87" t="n"/>
      <c r="R23" s="37" t="n"/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>
        <v>0</v>
      </c>
      <c r="Z23" s="2" t="n">
        <v>0</v>
      </c>
      <c r="AA23" s="2" t="n">
        <v>1</v>
      </c>
      <c r="AB23" s="2" t="n"/>
      <c r="AC23" s="3" t="n">
        <v>2.5</v>
      </c>
      <c r="AD23" s="37" t="n">
        <v>15</v>
      </c>
      <c r="AE23" s="9" t="n">
        <v>0</v>
      </c>
      <c r="AF23" s="2" t="n">
        <v>0</v>
      </c>
      <c r="AG23" s="2" t="n">
        <v>0</v>
      </c>
      <c r="AH23" s="2" t="n"/>
      <c r="AI23" s="3" t="n"/>
      <c r="AJ23" s="10" t="n"/>
      <c r="AK23" s="28" t="n">
        <v>0</v>
      </c>
      <c r="AL23" s="3" t="n"/>
      <c r="AM23" s="3" t="n"/>
      <c r="AN23" s="10" t="n"/>
      <c r="AO23" s="28" t="n">
        <v>0</v>
      </c>
      <c r="AP23" s="28" t="n"/>
      <c r="AQ23" s="3" t="n"/>
      <c r="AR23" s="10" t="n"/>
      <c r="AS23" s="20" t="n">
        <v>9</v>
      </c>
      <c r="AT23" s="28" t="n"/>
      <c r="AU23" s="3" t="n">
        <v>13</v>
      </c>
      <c r="AV23" s="10" t="n">
        <v>15</v>
      </c>
      <c r="AW23" s="20" t="n">
        <v>0</v>
      </c>
      <c r="AX23" s="28" t="n"/>
      <c r="AY23" s="3" t="n"/>
      <c r="AZ23" s="10" t="n"/>
      <c r="BA23" s="20" t="n">
        <v>0</v>
      </c>
      <c r="BB23" s="28" t="n"/>
      <c r="BC23" s="3" t="n"/>
      <c r="BD23" s="10" t="n"/>
      <c r="BE23" s="23" t="n">
        <v>0</v>
      </c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807</v>
      </c>
      <c r="P24" s="88" t="n"/>
      <c r="Q24" s="88" t="n"/>
      <c r="R24" s="37" t="n"/>
      <c r="S24" s="20" t="n">
        <v>0</v>
      </c>
      <c r="T24" s="3" t="n">
        <v>0</v>
      </c>
      <c r="U24" s="3" t="n">
        <v>0</v>
      </c>
      <c r="V24" s="3" t="n"/>
      <c r="W24" s="3" t="n"/>
      <c r="X24" s="10" t="n"/>
      <c r="Y24" s="17" t="n">
        <v>0</v>
      </c>
      <c r="Z24" s="2" t="n">
        <v>0</v>
      </c>
      <c r="AA24" s="2" t="n">
        <v>2</v>
      </c>
      <c r="AB24" s="2" t="n"/>
      <c r="AC24" s="3" t="n">
        <v>1.5</v>
      </c>
      <c r="AD24" s="37" t="n">
        <v>10</v>
      </c>
      <c r="AE24" s="9" t="n">
        <v>0</v>
      </c>
      <c r="AF24" s="2" t="n">
        <v>0</v>
      </c>
      <c r="AG24" s="2" t="n">
        <v>0</v>
      </c>
      <c r="AH24" s="2" t="n"/>
      <c r="AI24" s="3" t="n"/>
      <c r="AJ24" s="10" t="n"/>
      <c r="AK24" s="28" t="n">
        <v>4</v>
      </c>
      <c r="AL24" s="3" t="n"/>
      <c r="AM24" s="3" t="n">
        <v>17</v>
      </c>
      <c r="AN24" s="10" t="n">
        <v>20</v>
      </c>
      <c r="AO24" s="28" t="n">
        <v>0</v>
      </c>
      <c r="AP24" s="28" t="n"/>
      <c r="AQ24" s="3" t="n"/>
      <c r="AR24" s="10" t="n"/>
      <c r="AS24" s="20" t="n">
        <v>10</v>
      </c>
      <c r="AT24" s="28" t="n"/>
      <c r="AU24" s="3" t="n">
        <v>5</v>
      </c>
      <c r="AV24" s="10" t="n">
        <v>10</v>
      </c>
      <c r="AW24" s="20" t="n">
        <v>0</v>
      </c>
      <c r="AX24" s="28" t="n"/>
      <c r="AY24" s="3" t="n"/>
      <c r="AZ24" s="10" t="n"/>
      <c r="BA24" s="20" t="n">
        <v>0</v>
      </c>
      <c r="BB24" s="28" t="n"/>
      <c r="BC24" s="3" t="n"/>
      <c r="BD24" s="10" t="n"/>
      <c r="BE24" s="23" t="n">
        <v>0</v>
      </c>
      <c r="BF24" s="28" t="n"/>
      <c r="BG24" s="3" t="n"/>
      <c r="BH24" s="10" t="n"/>
      <c r="BI24" s="20" t="n">
        <v>0</v>
      </c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808</v>
      </c>
      <c r="P25" s="88" t="n"/>
      <c r="Q25" s="88" t="n"/>
      <c r="R25" s="37" t="n"/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>
        <v>0</v>
      </c>
      <c r="Z25" s="2" t="n">
        <v>0</v>
      </c>
      <c r="AA25" s="2" t="n">
        <v>0</v>
      </c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0</v>
      </c>
      <c r="AL25" s="3" t="n"/>
      <c r="AM25" s="3" t="n"/>
      <c r="AN25" s="10" t="n"/>
      <c r="AO25" s="28" t="n">
        <v>0</v>
      </c>
      <c r="AP25" s="28" t="n"/>
      <c r="AQ25" s="3" t="n"/>
      <c r="AR25" s="10" t="n"/>
      <c r="AS25" s="20" t="n">
        <v>6</v>
      </c>
      <c r="AT25" s="28" t="n"/>
      <c r="AU25" s="3" t="n">
        <v>8</v>
      </c>
      <c r="AV25" s="10" t="n">
        <v>15</v>
      </c>
      <c r="AW25" s="20" t="n">
        <v>0</v>
      </c>
      <c r="AX25" s="28" t="n"/>
      <c r="AY25" s="3" t="n"/>
      <c r="AZ25" s="10" t="n"/>
      <c r="BA25" s="20" t="n">
        <v>0</v>
      </c>
      <c r="BB25" s="28" t="n"/>
      <c r="BC25" s="3" t="n"/>
      <c r="BD25" s="10" t="n"/>
      <c r="BE25" s="23" t="n">
        <v>0</v>
      </c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74" zoomScaleNormal="74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P20" sqref="P20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183</v>
      </c>
      <c r="W16" s="45" t="n"/>
      <c r="X16" s="45" t="inlineStr">
        <is>
          <t>Выд</t>
        </is>
      </c>
      <c r="Y16" s="45" t="n">
        <v>10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890</v>
      </c>
      <c r="P20" s="87" t="inlineStr">
        <is>
          <t>БР/В2</t>
        </is>
      </c>
      <c r="Q20" s="87" t="inlineStr">
        <is>
          <t>3Е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3</v>
      </c>
      <c r="AF20" s="40" t="n">
        <v>1</v>
      </c>
      <c r="AG20" s="40" t="n">
        <v>5</v>
      </c>
      <c r="AH20" s="6" t="n"/>
      <c r="AI20" s="7" t="n">
        <v>2</v>
      </c>
      <c r="AJ20" s="8" t="n">
        <v>8</v>
      </c>
      <c r="AK20" s="40" t="n">
        <v>1e-06</v>
      </c>
      <c r="AL20" s="7" t="n">
        <v>0</v>
      </c>
      <c r="AM20" s="7" t="n">
        <v>0</v>
      </c>
      <c r="AN20" s="8" t="n"/>
      <c r="AO20" s="40" t="n">
        <v>1e-06</v>
      </c>
      <c r="AP20" s="27" t="n">
        <v>0</v>
      </c>
      <c r="AQ20" s="40" t="n">
        <v>0</v>
      </c>
      <c r="AR20" s="24" t="n"/>
      <c r="AS20" s="40" t="n">
        <v>1e-06</v>
      </c>
      <c r="AT20" s="27" t="n">
        <v>0</v>
      </c>
      <c r="AU20" s="40" t="n">
        <v>0</v>
      </c>
      <c r="AV20" s="24" t="n"/>
      <c r="AW20" s="40" t="n">
        <v>6</v>
      </c>
      <c r="AX20" s="27" t="n">
        <v>0</v>
      </c>
      <c r="AY20" s="40" t="n">
        <v>0.7</v>
      </c>
      <c r="AZ20" s="24" t="n">
        <v>4</v>
      </c>
      <c r="BA20" s="40" t="n">
        <v>1e-06</v>
      </c>
      <c r="BB20" s="27" t="n">
        <v>0</v>
      </c>
      <c r="BC20" s="40" t="n">
        <v>0</v>
      </c>
      <c r="BD20" s="24" t="n"/>
      <c r="BE20" s="40" t="n">
        <v>1e-06</v>
      </c>
      <c r="BF20" s="27" t="n">
        <v>0</v>
      </c>
      <c r="BG20" s="40" t="n">
        <v>0</v>
      </c>
      <c r="BH20" s="24" t="n"/>
      <c r="BI20" s="40" t="n">
        <v>1e-06</v>
      </c>
      <c r="BJ20" s="27" t="n">
        <v>0</v>
      </c>
      <c r="BK20" s="40" t="n">
        <v>0</v>
      </c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891</v>
      </c>
      <c r="P21" s="88" t="inlineStr">
        <is>
          <t>ЧС/A2</t>
        </is>
      </c>
      <c r="Q21" s="88" t="inlineStr">
        <is>
          <t>3Б</t>
        </is>
      </c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4</v>
      </c>
      <c r="AG21" s="2" t="n">
        <v>0</v>
      </c>
      <c r="AH21" s="2" t="n"/>
      <c r="AI21" s="3" t="n"/>
      <c r="AJ21" s="10" t="n">
        <v>8</v>
      </c>
      <c r="AK21" s="28" t="n">
        <v>17</v>
      </c>
      <c r="AL21" s="3" t="n"/>
      <c r="AM21" s="3" t="n">
        <v>2.5</v>
      </c>
      <c r="AN21" s="10" t="n">
        <v>8</v>
      </c>
      <c r="AO21" s="28" t="n"/>
      <c r="AP21" s="28" t="n"/>
      <c r="AQ21" s="3" t="n"/>
      <c r="AR21" s="10" t="n"/>
      <c r="AS21" s="20" t="n">
        <v>16</v>
      </c>
      <c r="AT21" s="28" t="n"/>
      <c r="AU21" s="3" t="n">
        <v>2.1</v>
      </c>
      <c r="AV21" s="10" t="n">
        <v>8</v>
      </c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892</v>
      </c>
      <c r="P22" s="88" t="inlineStr">
        <is>
          <t>ЧС/A2</t>
        </is>
      </c>
      <c r="Q22" s="88" t="inlineStr">
        <is>
          <t>1Б2Ос</t>
        </is>
      </c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0</v>
      </c>
      <c r="AG22" s="2" t="n">
        <v>0</v>
      </c>
      <c r="AH22" s="2" t="n"/>
      <c r="AI22" s="3" t="n"/>
      <c r="AJ22" s="10" t="n"/>
      <c r="AK22" s="28" t="n">
        <v>1</v>
      </c>
      <c r="AL22" s="3" t="n"/>
      <c r="AM22" s="3" t="n">
        <v>1.7</v>
      </c>
      <c r="AN22" s="10" t="n">
        <v>8</v>
      </c>
      <c r="AO22" s="28" t="n">
        <v>15</v>
      </c>
      <c r="AP22" s="28" t="n">
        <v>5</v>
      </c>
      <c r="AQ22" s="3" t="n">
        <v>4</v>
      </c>
      <c r="AR22" s="10" t="n">
        <v>10</v>
      </c>
      <c r="AS22" s="20" t="n">
        <v>19</v>
      </c>
      <c r="AT22" s="28" t="n"/>
      <c r="AU22" s="3" t="n">
        <v>2.3</v>
      </c>
      <c r="AV22" s="10" t="n">
        <v>10</v>
      </c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893</v>
      </c>
      <c r="P23" s="88" t="inlineStr">
        <is>
          <t>ЧС/A2</t>
        </is>
      </c>
      <c r="Q23" s="87" t="inlineStr">
        <is>
          <t>2Б1Е</t>
        </is>
      </c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3</v>
      </c>
      <c r="AF23" s="2" t="n">
        <v>4</v>
      </c>
      <c r="AG23" s="2" t="n">
        <v>0</v>
      </c>
      <c r="AH23" s="2" t="n"/>
      <c r="AI23" s="3" t="n"/>
      <c r="AJ23" s="10" t="n">
        <v>10</v>
      </c>
      <c r="AK23" s="28" t="n">
        <v>9</v>
      </c>
      <c r="AL23" s="3" t="n"/>
      <c r="AM23" s="3" t="n">
        <v>2.5</v>
      </c>
      <c r="AN23" s="10" t="n">
        <v>10</v>
      </c>
      <c r="AO23" s="28" t="n"/>
      <c r="AP23" s="28" t="n"/>
      <c r="AQ23" s="3" t="n"/>
      <c r="AR23" s="10" t="n"/>
      <c r="AS23" s="20" t="n">
        <v>19</v>
      </c>
      <c r="AT23" s="28" t="n"/>
      <c r="AU23" s="3" t="n">
        <v>2.5</v>
      </c>
      <c r="AV23" s="10" t="n">
        <v>10</v>
      </c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/>
      <c r="P24" s="88" t="n"/>
      <c r="Q24" s="88" t="n"/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/>
      <c r="AF24" s="2" t="n"/>
      <c r="AG24" s="2" t="n"/>
      <c r="AH24" s="2" t="n"/>
      <c r="AI24" s="3" t="n"/>
      <c r="AJ24" s="10" t="n"/>
      <c r="AK24" s="28" t="n"/>
      <c r="AL24" s="3" t="n"/>
      <c r="AM24" s="3" t="n"/>
      <c r="AN24" s="10" t="n"/>
      <c r="AO24" s="28" t="n"/>
      <c r="AP24" s="28" t="n"/>
      <c r="AQ24" s="3" t="n"/>
      <c r="AR24" s="10" t="n"/>
      <c r="AS24" s="20" t="n"/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/>
      <c r="P25" s="88" t="n"/>
      <c r="Q25" s="88" t="n"/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/>
      <c r="AF25" s="2" t="n"/>
      <c r="AG25" s="2" t="n"/>
      <c r="AH25" s="2" t="n"/>
      <c r="AI25" s="3" t="n"/>
      <c r="AJ25" s="10" t="n"/>
      <c r="AK25" s="28" t="n"/>
      <c r="AL25" s="3" t="n"/>
      <c r="AM25" s="3" t="n"/>
      <c r="AN25" s="10" t="n"/>
      <c r="AO25" s="28" t="n"/>
      <c r="AP25" s="28" t="n"/>
      <c r="AQ25" s="3" t="n"/>
      <c r="AR25" s="10" t="n"/>
      <c r="AS25" s="20" t="n"/>
      <c r="AT25" s="28" t="n"/>
      <c r="AU25" s="3" t="n"/>
      <c r="AV25" s="10" t="n"/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N33" sqref="AN33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183</v>
      </c>
      <c r="W16" s="45" t="n"/>
      <c r="X16" s="45" t="inlineStr">
        <is>
          <t>Выд</t>
        </is>
      </c>
      <c r="Y16" s="45" t="n">
        <v>17</v>
      </c>
      <c r="Z16" s="45" t="inlineStr">
        <is>
          <t>делянка</t>
        </is>
      </c>
      <c r="AA16" s="45" t="n">
        <v>2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913</v>
      </c>
      <c r="P20" s="87" t="inlineStr">
        <is>
          <t>БР/В2</t>
        </is>
      </c>
      <c r="Q20" s="87" t="n"/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</v>
      </c>
      <c r="Z20" s="40" t="n">
        <v>1e-06</v>
      </c>
      <c r="AA20" s="40" t="n">
        <v>1</v>
      </c>
      <c r="AB20" s="6" t="n"/>
      <c r="AC20" s="7" t="n">
        <v>1.8</v>
      </c>
      <c r="AD20" s="36" t="n">
        <v>9</v>
      </c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10</v>
      </c>
      <c r="AL20" s="7" t="n"/>
      <c r="AM20" s="7" t="n">
        <v>2.5</v>
      </c>
      <c r="AN20" s="8" t="n">
        <v>9</v>
      </c>
      <c r="AO20" s="40" t="n">
        <v>1e-06</v>
      </c>
      <c r="AP20" s="27" t="n"/>
      <c r="AQ20" s="40" t="n"/>
      <c r="AR20" s="24" t="n"/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908</v>
      </c>
      <c r="P21" s="87" t="inlineStr">
        <is>
          <t>БР/В2</t>
        </is>
      </c>
      <c r="Q21" s="88" t="n"/>
      <c r="R21" s="37" t="n"/>
      <c r="S21" s="20" t="n"/>
      <c r="T21" s="3" t="n"/>
      <c r="U21" s="3" t="n"/>
      <c r="V21" s="3" t="n"/>
      <c r="W21" s="3" t="n"/>
      <c r="X21" s="10" t="n"/>
      <c r="Y21" s="17" t="n">
        <v>0</v>
      </c>
      <c r="Z21" s="2" t="n">
        <v>0</v>
      </c>
      <c r="AA21" s="2" t="n">
        <v>0</v>
      </c>
      <c r="AB21" s="2" t="n"/>
      <c r="AC21" s="3" t="n"/>
      <c r="AD21" s="37" t="n"/>
      <c r="AE21" s="9" t="n"/>
      <c r="AF21" s="2" t="n"/>
      <c r="AG21" s="2" t="n"/>
      <c r="AH21" s="2" t="n"/>
      <c r="AI21" s="3" t="n"/>
      <c r="AJ21" s="10" t="n"/>
      <c r="AK21" s="28" t="n">
        <v>15</v>
      </c>
      <c r="AL21" s="3" t="n"/>
      <c r="AM21" s="3" t="n">
        <v>1.3</v>
      </c>
      <c r="AN21" s="10" t="n">
        <v>7</v>
      </c>
      <c r="AO21" s="28" t="n">
        <v>2</v>
      </c>
      <c r="AP21" s="28" t="n"/>
      <c r="AQ21" s="3" t="n">
        <v>1.7</v>
      </c>
      <c r="AR21" s="10" t="n">
        <v>7</v>
      </c>
      <c r="AS21" s="20" t="n">
        <v>4</v>
      </c>
      <c r="AT21" s="28" t="n"/>
      <c r="AU21" s="3" t="n">
        <v>1.2</v>
      </c>
      <c r="AV21" s="10" t="n">
        <v>7</v>
      </c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909</v>
      </c>
      <c r="P22" s="87" t="inlineStr">
        <is>
          <t>БР/В2</t>
        </is>
      </c>
      <c r="Q22" s="88" t="n"/>
      <c r="R22" s="37" t="n"/>
      <c r="S22" s="20" t="n"/>
      <c r="T22" s="3" t="n"/>
      <c r="U22" s="3" t="n"/>
      <c r="V22" s="3" t="n"/>
      <c r="W22" s="3" t="n"/>
      <c r="X22" s="10" t="n"/>
      <c r="Y22" s="17" t="n">
        <v>1</v>
      </c>
      <c r="Z22" s="2" t="n">
        <v>2</v>
      </c>
      <c r="AA22" s="2" t="n">
        <v>0</v>
      </c>
      <c r="AB22" s="2" t="n"/>
      <c r="AC22" s="3" t="n"/>
      <c r="AD22" s="37" t="n">
        <v>8</v>
      </c>
      <c r="AE22" s="9" t="n"/>
      <c r="AF22" s="2" t="n"/>
      <c r="AG22" s="2" t="n"/>
      <c r="AH22" s="2" t="n"/>
      <c r="AI22" s="3" t="n"/>
      <c r="AJ22" s="10" t="n"/>
      <c r="AK22" s="28" t="n">
        <v>1</v>
      </c>
      <c r="AL22" s="3" t="n"/>
      <c r="AM22" s="3" t="n">
        <v>1.7</v>
      </c>
      <c r="AN22" s="10" t="n">
        <v>8</v>
      </c>
      <c r="AO22" s="28" t="n">
        <v>1</v>
      </c>
      <c r="AP22" s="28" t="n"/>
      <c r="AQ22" s="3" t="n">
        <v>1.7</v>
      </c>
      <c r="AR22" s="10" t="n">
        <v>8</v>
      </c>
      <c r="AS22" s="20" t="n">
        <v>0</v>
      </c>
      <c r="AT22" s="28" t="n"/>
      <c r="AU22" s="3" t="n"/>
      <c r="AV22" s="10" t="n"/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910</v>
      </c>
      <c r="P23" s="87" t="inlineStr">
        <is>
          <t>С/A5</t>
        </is>
      </c>
      <c r="Q23" s="87" t="n"/>
      <c r="R23" s="37" t="inlineStr">
        <is>
          <t>Вол/Пас</t>
        </is>
      </c>
      <c r="S23" s="20" t="n"/>
      <c r="T23" s="3" t="n"/>
      <c r="U23" s="3" t="n"/>
      <c r="V23" s="3" t="n"/>
      <c r="W23" s="3" t="n"/>
      <c r="X23" s="10" t="n"/>
      <c r="Y23" s="17" t="n">
        <v>0</v>
      </c>
      <c r="Z23" s="2" t="n">
        <v>3</v>
      </c>
      <c r="AA23" s="2" t="n">
        <v>1</v>
      </c>
      <c r="AB23" s="2" t="n"/>
      <c r="AC23" s="3" t="n">
        <v>1.9</v>
      </c>
      <c r="AD23" s="37" t="n">
        <v>8</v>
      </c>
      <c r="AE23" s="9" t="n"/>
      <c r="AF23" s="2" t="n"/>
      <c r="AG23" s="2" t="n"/>
      <c r="AH23" s="2" t="n"/>
      <c r="AI23" s="3" t="n"/>
      <c r="AJ23" s="10" t="n"/>
      <c r="AK23" s="28" t="n">
        <v>7</v>
      </c>
      <c r="AL23" s="3" t="n"/>
      <c r="AM23" s="3" t="n">
        <v>2.3</v>
      </c>
      <c r="AN23" s="10" t="n">
        <v>8</v>
      </c>
      <c r="AO23" s="28" t="n">
        <v>2</v>
      </c>
      <c r="AP23" s="28" t="n"/>
      <c r="AQ23" s="3" t="n">
        <v>1.2</v>
      </c>
      <c r="AR23" s="10" t="n">
        <v>7</v>
      </c>
      <c r="AS23" s="20" t="n">
        <v>0</v>
      </c>
      <c r="AT23" s="28" t="n"/>
      <c r="AU23" s="3" t="n"/>
      <c r="AV23" s="10" t="n"/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911</v>
      </c>
      <c r="P24" s="87" t="inlineStr">
        <is>
          <t>С/A5</t>
        </is>
      </c>
      <c r="Q24" s="88" t="n"/>
      <c r="R24" s="37" t="n"/>
      <c r="S24" s="20" t="n"/>
      <c r="T24" s="3" t="n"/>
      <c r="U24" s="3" t="n"/>
      <c r="V24" s="3" t="n"/>
      <c r="W24" s="3" t="n"/>
      <c r="X24" s="10" t="n"/>
      <c r="Y24" s="17" t="n">
        <v>1</v>
      </c>
      <c r="Z24" s="2" t="n">
        <v>5</v>
      </c>
      <c r="AA24" s="2" t="n">
        <v>0</v>
      </c>
      <c r="AB24" s="2" t="n"/>
      <c r="AC24" s="3" t="n"/>
      <c r="AD24" s="37" t="n">
        <v>7</v>
      </c>
      <c r="AE24" s="9" t="n"/>
      <c r="AF24" s="2" t="n"/>
      <c r="AG24" s="2" t="n"/>
      <c r="AH24" s="2" t="n"/>
      <c r="AI24" s="3" t="n"/>
      <c r="AJ24" s="10" t="n"/>
      <c r="AK24" s="28" t="n">
        <v>8</v>
      </c>
      <c r="AL24" s="3" t="n"/>
      <c r="AM24" s="3" t="n">
        <v>1.9</v>
      </c>
      <c r="AN24" s="10" t="n">
        <v>8</v>
      </c>
      <c r="AO24" s="28" t="n">
        <v>0</v>
      </c>
      <c r="AP24" s="28" t="n"/>
      <c r="AQ24" s="3" t="n"/>
      <c r="AR24" s="10" t="n"/>
      <c r="AS24" s="20" t="n">
        <v>0</v>
      </c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912</v>
      </c>
      <c r="P25" s="87" t="inlineStr">
        <is>
          <t>БР/В2</t>
        </is>
      </c>
      <c r="Q25" s="88" t="n"/>
      <c r="R25" s="37" t="inlineStr">
        <is>
          <t>Пасека</t>
        </is>
      </c>
      <c r="S25" s="20" t="n"/>
      <c r="T25" s="3" t="n"/>
      <c r="U25" s="3" t="n"/>
      <c r="V25" s="3" t="n"/>
      <c r="W25" s="3" t="n"/>
      <c r="X25" s="10" t="n"/>
      <c r="Y25" s="17" t="n">
        <v>2</v>
      </c>
      <c r="Z25" s="2" t="n">
        <v>4</v>
      </c>
      <c r="AA25" s="2" t="n">
        <v>0</v>
      </c>
      <c r="AB25" s="2" t="n"/>
      <c r="AC25" s="3" t="n"/>
      <c r="AD25" s="37" t="n">
        <v>8</v>
      </c>
      <c r="AE25" s="9" t="n"/>
      <c r="AF25" s="2" t="n"/>
      <c r="AG25" s="2" t="n"/>
      <c r="AH25" s="2" t="n"/>
      <c r="AI25" s="3" t="n"/>
      <c r="AJ25" s="10" t="n"/>
      <c r="AK25" s="28" t="n">
        <v>22</v>
      </c>
      <c r="AL25" s="3" t="n"/>
      <c r="AM25" s="3" t="n">
        <v>3.2</v>
      </c>
      <c r="AN25" s="10" t="n">
        <v>8</v>
      </c>
      <c r="AO25" s="28" t="n">
        <v>0</v>
      </c>
      <c r="AP25" s="28" t="n"/>
      <c r="AQ25" s="3" t="n"/>
      <c r="AR25" s="10" t="n"/>
      <c r="AS25" s="20" t="n">
        <v>0</v>
      </c>
      <c r="AT25" s="28" t="n"/>
      <c r="AU25" s="3" t="n"/>
      <c r="AV25" s="10" t="n"/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AE20" activePane="bottomRight" state="frozen"/>
      <selection pane="topRight" activeCell="Q1" sqref="Q1"/>
      <selection pane="bottomLeft" activeCell="A11" sqref="A11"/>
      <selection pane="bottomRight" activeCell="AE16" sqref="AE16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174</v>
      </c>
      <c r="W16" s="45" t="n"/>
      <c r="X16" s="45" t="inlineStr">
        <is>
          <t>Выд</t>
        </is>
      </c>
      <c r="Y16" s="45" t="n">
        <v>17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879</v>
      </c>
      <c r="P20" s="87" t="inlineStr">
        <is>
          <t>БР/А2</t>
        </is>
      </c>
      <c r="Q20" s="87" t="inlineStr">
        <is>
          <t>2Б1Е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</v>
      </c>
      <c r="AF20" s="40" t="n">
        <v>2</v>
      </c>
      <c r="AG20" s="40" t="n">
        <v>1e-06</v>
      </c>
      <c r="AH20" s="6" t="n"/>
      <c r="AI20" s="7" t="n"/>
      <c r="AJ20" s="8" t="n">
        <v>9</v>
      </c>
      <c r="AK20" s="40" t="n">
        <v>9</v>
      </c>
      <c r="AL20" s="7" t="n"/>
      <c r="AM20" s="7" t="n">
        <v>2.3</v>
      </c>
      <c r="AN20" s="8" t="n">
        <v>9</v>
      </c>
      <c r="AO20" s="40" t="n">
        <v>19</v>
      </c>
      <c r="AP20" s="27" t="n"/>
      <c r="AQ20" s="40" t="n">
        <v>2.3</v>
      </c>
      <c r="AR20" s="24" t="n">
        <v>9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7" t="n">
        <v>880</v>
      </c>
      <c r="P21" s="88" t="inlineStr">
        <is>
          <t>БР/А2</t>
        </is>
      </c>
      <c r="Q21" s="88" t="inlineStr">
        <is>
          <t>2Б1Е</t>
        </is>
      </c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4</v>
      </c>
      <c r="AF21" s="2" t="n">
        <v>6</v>
      </c>
      <c r="AG21" s="2" t="n"/>
      <c r="AH21" s="2" t="n"/>
      <c r="AI21" s="3" t="n"/>
      <c r="AJ21" s="10" t="n">
        <v>9</v>
      </c>
      <c r="AK21" s="28" t="n">
        <v>6</v>
      </c>
      <c r="AL21" s="3" t="n"/>
      <c r="AM21" s="3" t="n">
        <v>0.7</v>
      </c>
      <c r="AN21" s="10" t="n">
        <v>3</v>
      </c>
      <c r="AO21" s="28" t="n">
        <v>0</v>
      </c>
      <c r="AP21" s="28" t="n"/>
      <c r="AQ21" s="3" t="n"/>
      <c r="AR21" s="10" t="n"/>
      <c r="AS21" s="20" t="n"/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7" t="n">
        <v>881</v>
      </c>
      <c r="P22" s="88" t="inlineStr">
        <is>
          <t>БР/А2</t>
        </is>
      </c>
      <c r="Q22" s="88" t="inlineStr">
        <is>
          <t>3Б</t>
        </is>
      </c>
      <c r="R22" s="37" t="inlineStr">
        <is>
          <t>Пасека</t>
        </is>
      </c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0</v>
      </c>
      <c r="AG22" s="2" t="n"/>
      <c r="AH22" s="2" t="n"/>
      <c r="AI22" s="3" t="n"/>
      <c r="AJ22" s="10" t="n"/>
      <c r="AK22" s="28" t="n">
        <v>17</v>
      </c>
      <c r="AL22" s="3" t="n"/>
      <c r="AM22" s="3" t="n">
        <v>2.5</v>
      </c>
      <c r="AN22" s="10" t="n">
        <v>9</v>
      </c>
      <c r="AO22" s="28" t="n">
        <v>0</v>
      </c>
      <c r="AP22" s="28" t="n"/>
      <c r="AQ22" s="3" t="n"/>
      <c r="AR22" s="10" t="n"/>
      <c r="AS22" s="20" t="n"/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882</v>
      </c>
      <c r="P23" s="87" t="inlineStr">
        <is>
          <t>БР/А2</t>
        </is>
      </c>
      <c r="Q23" s="87" t="inlineStr">
        <is>
          <t>3Б</t>
        </is>
      </c>
      <c r="R23" s="37" t="inlineStr">
        <is>
          <t>Пасека</t>
        </is>
      </c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0</v>
      </c>
      <c r="AG23" s="2" t="n"/>
      <c r="AH23" s="2" t="n"/>
      <c r="AI23" s="3" t="n"/>
      <c r="AJ23" s="10" t="n"/>
      <c r="AK23" s="28" t="n">
        <v>25</v>
      </c>
      <c r="AL23" s="3" t="n"/>
      <c r="AM23" s="3" t="n">
        <v>1.5</v>
      </c>
      <c r="AN23" s="10" t="n">
        <v>4</v>
      </c>
      <c r="AO23" s="28" t="n">
        <v>0</v>
      </c>
      <c r="AP23" s="28" t="n"/>
      <c r="AQ23" s="3" t="n"/>
      <c r="AR23" s="10" t="n"/>
      <c r="AS23" s="20" t="n"/>
      <c r="AT23" s="28" t="n"/>
      <c r="AU23" s="3" t="n"/>
      <c r="AV23" s="10" t="n"/>
      <c r="AW23" s="20" t="n">
        <v>2</v>
      </c>
      <c r="AX23" s="28" t="n"/>
      <c r="AY23" s="3" t="n">
        <v>0.8</v>
      </c>
      <c r="AZ23" s="10" t="n">
        <v>4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7" t="n">
        <v>883</v>
      </c>
      <c r="P24" s="88" t="inlineStr">
        <is>
          <t>БР/А2</t>
        </is>
      </c>
      <c r="Q24" s="88" t="inlineStr">
        <is>
          <t>3Б</t>
        </is>
      </c>
      <c r="R24" s="37" t="inlineStr">
        <is>
          <t>Вол/Пас</t>
        </is>
      </c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1</v>
      </c>
      <c r="AG24" s="2" t="n"/>
      <c r="AH24" s="2" t="n"/>
      <c r="AI24" s="3" t="n"/>
      <c r="AJ24" s="10" t="n">
        <v>9</v>
      </c>
      <c r="AK24" s="28" t="n">
        <v>21</v>
      </c>
      <c r="AL24" s="3" t="n"/>
      <c r="AM24" s="3" t="n">
        <v>2.9</v>
      </c>
      <c r="AN24" s="10" t="n">
        <v>9</v>
      </c>
      <c r="AO24" s="28" t="n">
        <v>0</v>
      </c>
      <c r="AP24" s="28" t="n"/>
      <c r="AQ24" s="3" t="n"/>
      <c r="AR24" s="10" t="n"/>
      <c r="AS24" s="20" t="n"/>
      <c r="AT24" s="28" t="n"/>
      <c r="AU24" s="3" t="n"/>
      <c r="AV24" s="10" t="n"/>
      <c r="AW24" s="20" t="n">
        <v>0</v>
      </c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7" t="n">
        <v>884</v>
      </c>
      <c r="P25" s="88" t="inlineStr">
        <is>
          <t>БР/А2</t>
        </is>
      </c>
      <c r="Q25" s="88" t="inlineStr">
        <is>
          <t>3Б</t>
        </is>
      </c>
      <c r="R25" s="37" t="inlineStr">
        <is>
          <t>Вол/Пас</t>
        </is>
      </c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/>
      <c r="AH25" s="2" t="n"/>
      <c r="AI25" s="3" t="n"/>
      <c r="AJ25" s="10" t="n"/>
      <c r="AK25" s="28" t="n">
        <v>10</v>
      </c>
      <c r="AL25" s="3" t="n"/>
      <c r="AM25" s="3" t="n">
        <v>3.2</v>
      </c>
      <c r="AN25" s="10" t="n">
        <v>9</v>
      </c>
      <c r="AO25" s="28" t="n">
        <v>2</v>
      </c>
      <c r="AP25" s="28" t="n"/>
      <c r="AQ25" s="3" t="n">
        <v>0.7</v>
      </c>
      <c r="AR25" s="10" t="n">
        <v>3</v>
      </c>
      <c r="AS25" s="20" t="n"/>
      <c r="AT25" s="28" t="n"/>
      <c r="AU25" s="3" t="n"/>
      <c r="AV25" s="10" t="n"/>
      <c r="AW25" s="20" t="n">
        <v>0</v>
      </c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59" activePane="bottomRight" state="frozen"/>
      <selection pane="topRight" activeCell="Q1" sqref="Q1"/>
      <selection pane="bottomLeft" activeCell="A11" sqref="A11"/>
      <selection pane="bottomRight" activeCell="AZ28" sqref="AZ28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176</v>
      </c>
      <c r="W16" s="45" t="n"/>
      <c r="X16" s="45" t="inlineStr">
        <is>
          <t>Выд</t>
        </is>
      </c>
      <c r="Y16" s="45" t="n">
        <v>5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871</v>
      </c>
      <c r="P20" s="87" t="inlineStr">
        <is>
          <t>ЧС/А2</t>
        </is>
      </c>
      <c r="Q20" s="87" t="n"/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2</v>
      </c>
      <c r="AF20" s="40" t="n">
        <v>7</v>
      </c>
      <c r="AG20" s="40" t="n">
        <v>5</v>
      </c>
      <c r="AH20" s="6" t="n">
        <v>2.5</v>
      </c>
      <c r="AI20" s="7" t="n">
        <v>2.1</v>
      </c>
      <c r="AJ20" s="8" t="n">
        <v>20</v>
      </c>
      <c r="AK20" s="40" t="n">
        <v>5</v>
      </c>
      <c r="AL20" s="7" t="n">
        <v>14</v>
      </c>
      <c r="AM20" s="7" t="n">
        <v>16</v>
      </c>
      <c r="AN20" s="8" t="n">
        <v>22</v>
      </c>
      <c r="AO20" s="40" t="n">
        <v>2</v>
      </c>
      <c r="AP20" s="27" t="n">
        <v>7</v>
      </c>
      <c r="AQ20" s="40" t="n">
        <v>8</v>
      </c>
      <c r="AR20" s="24" t="n">
        <v>22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872</v>
      </c>
      <c r="P21" s="88" t="inlineStr">
        <is>
          <t>ЧС/А2</t>
        </is>
      </c>
      <c r="Q21" s="88" t="n"/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5</v>
      </c>
      <c r="AL21" s="3" t="n">
        <v>16</v>
      </c>
      <c r="AM21" s="3" t="n">
        <v>19</v>
      </c>
      <c r="AN21" s="10" t="n">
        <v>23</v>
      </c>
      <c r="AO21" s="28" t="n">
        <v>0</v>
      </c>
      <c r="AP21" s="28" t="n"/>
      <c r="AQ21" s="3" t="n"/>
      <c r="AR21" s="10" t="n"/>
      <c r="AS21" s="20" t="n">
        <v>0</v>
      </c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873</v>
      </c>
      <c r="P22" s="88" t="inlineStr">
        <is>
          <t>ЧС/А2</t>
        </is>
      </c>
      <c r="Q22" s="88" t="n"/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0</v>
      </c>
      <c r="AG22" s="2" t="n">
        <v>0</v>
      </c>
      <c r="AH22" s="2" t="n"/>
      <c r="AI22" s="3" t="n"/>
      <c r="AJ22" s="10" t="n"/>
      <c r="AK22" s="28" t="n">
        <v>3</v>
      </c>
      <c r="AL22" s="3" t="n">
        <v>16</v>
      </c>
      <c r="AM22" s="3" t="n">
        <v>19</v>
      </c>
      <c r="AN22" s="10" t="n">
        <v>23</v>
      </c>
      <c r="AO22" s="28" t="n">
        <v>4</v>
      </c>
      <c r="AP22" s="28" t="n">
        <v>13</v>
      </c>
      <c r="AQ22" s="3" t="n">
        <v>17</v>
      </c>
      <c r="AR22" s="10" t="n">
        <v>23</v>
      </c>
      <c r="AS22" s="20" t="n">
        <v>0</v>
      </c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874</v>
      </c>
      <c r="P23" s="87" t="inlineStr">
        <is>
          <t>ЧС/А2</t>
        </is>
      </c>
      <c r="Q23" s="87" t="n"/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0</v>
      </c>
      <c r="AG23" s="2" t="n">
        <v>1</v>
      </c>
      <c r="AH23" s="2" t="n">
        <v>6</v>
      </c>
      <c r="AI23" s="3" t="n">
        <v>4.5</v>
      </c>
      <c r="AJ23" s="10" t="n">
        <v>23</v>
      </c>
      <c r="AK23" s="28" t="n">
        <v>3</v>
      </c>
      <c r="AL23" s="3" t="n">
        <v>9</v>
      </c>
      <c r="AM23" s="3" t="n">
        <v>11</v>
      </c>
      <c r="AN23" s="10" t="n">
        <v>23</v>
      </c>
      <c r="AO23" s="28" t="n">
        <v>0</v>
      </c>
      <c r="AP23" s="28" t="n"/>
      <c r="AQ23" s="3" t="n"/>
      <c r="AR23" s="10" t="n"/>
      <c r="AS23" s="20" t="n">
        <v>0</v>
      </c>
      <c r="AT23" s="28" t="n"/>
      <c r="AU23" s="3" t="n"/>
      <c r="AV23" s="10" t="n"/>
      <c r="AW23" s="20" t="n">
        <v>0</v>
      </c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875</v>
      </c>
      <c r="P24" s="88" t="inlineStr">
        <is>
          <t>ЧС/А2</t>
        </is>
      </c>
      <c r="Q24" s="88" t="n"/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0</v>
      </c>
      <c r="AG24" s="2" t="n">
        <v>0</v>
      </c>
      <c r="AH24" s="2" t="n"/>
      <c r="AI24" s="3" t="n"/>
      <c r="AJ24" s="10" t="n"/>
      <c r="AK24" s="28" t="n">
        <v>0</v>
      </c>
      <c r="AL24" s="3" t="n"/>
      <c r="AM24" s="3" t="n"/>
      <c r="AN24" s="10" t="n"/>
      <c r="AO24" s="28" t="n">
        <v>1</v>
      </c>
      <c r="AP24" s="28" t="n">
        <v>10</v>
      </c>
      <c r="AQ24" s="3" t="n">
        <v>13</v>
      </c>
      <c r="AR24" s="10" t="n">
        <v>23</v>
      </c>
      <c r="AS24" s="20" t="n">
        <v>0</v>
      </c>
      <c r="AT24" s="28" t="n"/>
      <c r="AU24" s="3" t="n"/>
      <c r="AV24" s="10" t="n"/>
      <c r="AW24" s="20" t="n">
        <v>0</v>
      </c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876</v>
      </c>
      <c r="P25" s="88" t="inlineStr">
        <is>
          <t>ЧС/А2</t>
        </is>
      </c>
      <c r="Q25" s="88" t="n"/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1</v>
      </c>
      <c r="AL25" s="3" t="n">
        <v>10</v>
      </c>
      <c r="AM25" s="3" t="n">
        <v>13</v>
      </c>
      <c r="AN25" s="10" t="n">
        <v>23</v>
      </c>
      <c r="AO25" s="28" t="n">
        <v>1</v>
      </c>
      <c r="AP25" s="28" t="n">
        <v>17</v>
      </c>
      <c r="AQ25" s="3" t="n">
        <v>20</v>
      </c>
      <c r="AR25" s="10" t="n">
        <v>23</v>
      </c>
      <c r="AS25" s="20" t="n">
        <v>0</v>
      </c>
      <c r="AT25" s="28" t="n"/>
      <c r="AU25" s="3" t="n"/>
      <c r="AV25" s="10" t="n"/>
      <c r="AW25" s="20" t="n">
        <v>1</v>
      </c>
      <c r="AX25" s="28" t="n">
        <v>8</v>
      </c>
      <c r="AY25" s="3" t="n">
        <v>10</v>
      </c>
      <c r="AZ25" s="10" t="n">
        <v>22</v>
      </c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877</v>
      </c>
      <c r="P26" s="87" t="inlineStr">
        <is>
          <t>ЧС/А2</t>
        </is>
      </c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0</v>
      </c>
      <c r="AG26" s="2" t="n">
        <v>1</v>
      </c>
      <c r="AH26" s="2" t="n"/>
      <c r="AI26" s="3" t="n">
        <v>2.7</v>
      </c>
      <c r="AJ26" s="10" t="n">
        <v>23</v>
      </c>
      <c r="AK26" s="28" t="n">
        <v>8</v>
      </c>
      <c r="AL26" s="3" t="n">
        <v>15</v>
      </c>
      <c r="AM26" s="3" t="n">
        <v>17</v>
      </c>
      <c r="AN26" s="10" t="n">
        <v>23</v>
      </c>
      <c r="AO26" s="28" t="n">
        <v>0</v>
      </c>
      <c r="AP26" s="28" t="n"/>
      <c r="AQ26" s="3" t="n"/>
      <c r="AR26" s="10" t="n"/>
      <c r="AS26" s="20" t="n">
        <v>4</v>
      </c>
      <c r="AT26" s="28" t="n">
        <v>12</v>
      </c>
      <c r="AU26" s="3" t="n">
        <v>12</v>
      </c>
      <c r="AV26" s="10" t="n">
        <v>23</v>
      </c>
      <c r="AW26" s="20" t="n">
        <v>0</v>
      </c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878</v>
      </c>
      <c r="P27" s="88" t="inlineStr">
        <is>
          <t>ЧС/А2</t>
        </is>
      </c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0</v>
      </c>
      <c r="AF27" s="2" t="n">
        <v>0</v>
      </c>
      <c r="AG27" s="2" t="n">
        <v>2</v>
      </c>
      <c r="AH27" s="2" t="n">
        <v>3</v>
      </c>
      <c r="AI27" s="3" t="n">
        <v>2.3</v>
      </c>
      <c r="AJ27" s="10" t="n">
        <v>23</v>
      </c>
      <c r="AK27" s="28" t="n">
        <v>0</v>
      </c>
      <c r="AL27" s="3" t="n"/>
      <c r="AM27" s="3" t="n"/>
      <c r="AN27" s="10" t="n"/>
      <c r="AO27" s="28" t="n">
        <v>6</v>
      </c>
      <c r="AP27" s="28" t="n">
        <v>12</v>
      </c>
      <c r="AQ27" s="3" t="n">
        <v>10</v>
      </c>
      <c r="AR27" s="10" t="n">
        <v>23</v>
      </c>
      <c r="AS27" s="20" t="n">
        <v>1</v>
      </c>
      <c r="AT27" s="28" t="n">
        <v>7</v>
      </c>
      <c r="AU27" s="3" t="n">
        <v>8</v>
      </c>
      <c r="AV27" s="10" t="n">
        <v>23</v>
      </c>
      <c r="AW27" s="20" t="n">
        <v>0</v>
      </c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A38" sqref="AA38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155</v>
      </c>
      <c r="W16" s="45" t="n"/>
      <c r="X16" s="45" t="inlineStr">
        <is>
          <t>Выд</t>
        </is>
      </c>
      <c r="Y16" s="45" t="n">
        <v>23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835</v>
      </c>
      <c r="P20" s="87" t="inlineStr">
        <is>
          <t>ЧС/А2</t>
        </is>
      </c>
      <c r="Q20" s="87" t="inlineStr">
        <is>
          <t>2Б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2</v>
      </c>
      <c r="AL20" s="7" t="n">
        <v>7</v>
      </c>
      <c r="AM20" s="7" t="n">
        <v>8</v>
      </c>
      <c r="AN20" s="8" t="n">
        <v>18</v>
      </c>
      <c r="AO20" s="40" t="n">
        <v>1e-06</v>
      </c>
      <c r="AP20" s="27" t="n"/>
      <c r="AQ20" s="40" t="n"/>
      <c r="AR20" s="24" t="n"/>
      <c r="AS20" s="40" t="n">
        <v>2</v>
      </c>
      <c r="AT20" s="27" t="n">
        <v>1</v>
      </c>
      <c r="AU20" s="40" t="n">
        <v>2.5</v>
      </c>
      <c r="AV20" s="24" t="n">
        <v>10</v>
      </c>
      <c r="AW20" s="40" t="n">
        <v>13</v>
      </c>
      <c r="AX20" s="27" t="n">
        <v>7</v>
      </c>
      <c r="AY20" s="40" t="n">
        <v>10.5</v>
      </c>
      <c r="AZ20" s="24" t="n">
        <v>17</v>
      </c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836</v>
      </c>
      <c r="P21" s="88" t="inlineStr">
        <is>
          <t>ЧС/А2</t>
        </is>
      </c>
      <c r="Q21" s="88" t="inlineStr">
        <is>
          <t>3Б</t>
        </is>
      </c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7</v>
      </c>
      <c r="AL21" s="3" t="n">
        <v>9</v>
      </c>
      <c r="AM21" s="3" t="n">
        <v>10</v>
      </c>
      <c r="AN21" s="10" t="n">
        <v>19</v>
      </c>
      <c r="AO21" s="28" t="n">
        <v>2</v>
      </c>
      <c r="AP21" s="28" t="n">
        <v>3</v>
      </c>
      <c r="AQ21" s="3" t="n">
        <v>4</v>
      </c>
      <c r="AR21" s="10" t="n">
        <v>12</v>
      </c>
      <c r="AS21" s="20" t="n">
        <v>6</v>
      </c>
      <c r="AT21" s="28" t="n">
        <v>2</v>
      </c>
      <c r="AU21" s="3" t="n">
        <v>4.5</v>
      </c>
      <c r="AV21" s="10" t="n">
        <v>12</v>
      </c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837</v>
      </c>
      <c r="P22" s="88" t="inlineStr">
        <is>
          <t>ЧС/А2</t>
        </is>
      </c>
      <c r="Q22" s="88" t="inlineStr">
        <is>
          <t>1Б2Ос</t>
        </is>
      </c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0</v>
      </c>
      <c r="AG22" s="2" t="n">
        <v>0</v>
      </c>
      <c r="AH22" s="2" t="n"/>
      <c r="AI22" s="3" t="n"/>
      <c r="AJ22" s="10" t="n"/>
      <c r="AK22" s="28" t="n">
        <v>1</v>
      </c>
      <c r="AL22" s="3" t="n">
        <v>9</v>
      </c>
      <c r="AM22" s="3" t="n">
        <v>9.5</v>
      </c>
      <c r="AN22" s="10" t="n">
        <v>18</v>
      </c>
      <c r="AO22" s="28" t="n">
        <v>2</v>
      </c>
      <c r="AP22" s="28" t="n">
        <v>8</v>
      </c>
      <c r="AQ22" s="3" t="n">
        <v>9</v>
      </c>
      <c r="AR22" s="10" t="n">
        <v>17</v>
      </c>
      <c r="AS22" s="20" t="n">
        <v>0</v>
      </c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838</v>
      </c>
      <c r="P23" s="87" t="inlineStr">
        <is>
          <t>ЧС/А2</t>
        </is>
      </c>
      <c r="Q23" s="87" t="inlineStr">
        <is>
          <t>3Б</t>
        </is>
      </c>
      <c r="R23" s="37" t="inlineStr">
        <is>
          <t>Вол/Пас</t>
        </is>
      </c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0</v>
      </c>
      <c r="AG23" s="2" t="n">
        <v>0</v>
      </c>
      <c r="AH23" s="2" t="n"/>
      <c r="AI23" s="3" t="n"/>
      <c r="AJ23" s="10" t="n"/>
      <c r="AK23" s="28" t="n">
        <v>12</v>
      </c>
      <c r="AL23" s="3" t="n">
        <v>6</v>
      </c>
      <c r="AM23" s="3" t="n">
        <v>7</v>
      </c>
      <c r="AN23" s="10" t="n">
        <v>17</v>
      </c>
      <c r="AO23" s="28" t="n">
        <v>0</v>
      </c>
      <c r="AP23" s="28" t="n"/>
      <c r="AQ23" s="3" t="n"/>
      <c r="AR23" s="10" t="n"/>
      <c r="AS23" s="20" t="n">
        <v>0</v>
      </c>
      <c r="AT23" s="28" t="n"/>
      <c r="AU23" s="3" t="n"/>
      <c r="AV23" s="10" t="n"/>
      <c r="AW23" s="20" t="n">
        <v>12</v>
      </c>
      <c r="AX23" s="28" t="n">
        <v>3</v>
      </c>
      <c r="AY23" s="3" t="n">
        <v>5</v>
      </c>
      <c r="AZ23" s="10" t="n">
        <v>15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839</v>
      </c>
      <c r="P24" s="88" t="inlineStr">
        <is>
          <t>ЧС/А2</t>
        </is>
      </c>
      <c r="Q24" s="88" t="inlineStr">
        <is>
          <t>3Б</t>
        </is>
      </c>
      <c r="R24" s="37" t="inlineStr">
        <is>
          <t>Вол/Пас</t>
        </is>
      </c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>
        <v>1</v>
      </c>
      <c r="AB24" s="2" t="n">
        <v>8</v>
      </c>
      <c r="AC24" s="3" t="n">
        <v>10</v>
      </c>
      <c r="AD24" s="37" t="n">
        <v>25</v>
      </c>
      <c r="AE24" s="9" t="n">
        <v>0</v>
      </c>
      <c r="AF24" s="2" t="n">
        <v>0</v>
      </c>
      <c r="AG24" s="2" t="n">
        <v>1</v>
      </c>
      <c r="AH24" s="2" t="n">
        <v>2.5</v>
      </c>
      <c r="AI24" s="3" t="n">
        <v>1.6</v>
      </c>
      <c r="AJ24" s="10" t="n">
        <v>16</v>
      </c>
      <c r="AK24" s="28" t="n">
        <v>4</v>
      </c>
      <c r="AL24" s="3" t="n">
        <v>8</v>
      </c>
      <c r="AM24" s="3" t="n">
        <v>9</v>
      </c>
      <c r="AN24" s="10" t="n">
        <v>18</v>
      </c>
      <c r="AO24" s="28" t="n">
        <v>0</v>
      </c>
      <c r="AP24" s="28" t="n"/>
      <c r="AQ24" s="3" t="n"/>
      <c r="AR24" s="10" t="n"/>
      <c r="AS24" s="20" t="n">
        <v>5</v>
      </c>
      <c r="AT24" s="28" t="n">
        <v>2</v>
      </c>
      <c r="AU24" s="3" t="n">
        <v>4.5</v>
      </c>
      <c r="AV24" s="10" t="n">
        <v>12</v>
      </c>
      <c r="AW24" s="20" t="n">
        <v>6</v>
      </c>
      <c r="AX24" s="28" t="n">
        <v>7</v>
      </c>
      <c r="AY24" s="3" t="n">
        <v>7</v>
      </c>
      <c r="AZ24" s="10" t="n">
        <v>17</v>
      </c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840</v>
      </c>
      <c r="P25" s="88" t="inlineStr">
        <is>
          <t>ЧС/А2</t>
        </is>
      </c>
      <c r="Q25" s="88" t="inlineStr">
        <is>
          <t>3Ос</t>
        </is>
      </c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>
        <v>0</v>
      </c>
      <c r="AI25" s="3" t="n"/>
      <c r="AJ25" s="10" t="n"/>
      <c r="AK25" s="28" t="n">
        <v>0</v>
      </c>
      <c r="AL25" s="3" t="n"/>
      <c r="AM25" s="3" t="n"/>
      <c r="AN25" s="10" t="n"/>
      <c r="AO25" s="28" t="n">
        <v>9</v>
      </c>
      <c r="AP25" s="28" t="n">
        <v>7</v>
      </c>
      <c r="AQ25" s="3" t="n">
        <v>10</v>
      </c>
      <c r="AR25" s="10" t="n">
        <v>19</v>
      </c>
      <c r="AS25" s="20" t="n">
        <v>6</v>
      </c>
      <c r="AT25" s="28" t="n">
        <v>5</v>
      </c>
      <c r="AU25" s="3" t="n">
        <v>5.5</v>
      </c>
      <c r="AV25" s="10" t="n">
        <v>15</v>
      </c>
      <c r="AW25" s="20" t="n">
        <v>9</v>
      </c>
      <c r="AX25" s="28" t="n">
        <v>1</v>
      </c>
      <c r="AY25" s="3" t="n">
        <v>4.1</v>
      </c>
      <c r="AZ25" s="10" t="n">
        <v>13</v>
      </c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841</v>
      </c>
      <c r="P26" s="87" t="inlineStr">
        <is>
          <t>ЧС/А2</t>
        </is>
      </c>
      <c r="Q26" s="87" t="inlineStr">
        <is>
          <t>2Е1Б</t>
        </is>
      </c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4</v>
      </c>
      <c r="AF26" s="2" t="n">
        <v>6</v>
      </c>
      <c r="AG26" s="2" t="n">
        <v>0</v>
      </c>
      <c r="AH26" s="2" t="n">
        <v>1</v>
      </c>
      <c r="AI26" s="3" t="n"/>
      <c r="AJ26" s="10" t="n">
        <v>10</v>
      </c>
      <c r="AK26" s="28" t="n">
        <v>6</v>
      </c>
      <c r="AL26" s="3" t="n">
        <v>5</v>
      </c>
      <c r="AM26" s="3" t="n">
        <v>6.5</v>
      </c>
      <c r="AN26" s="10" t="n">
        <v>16</v>
      </c>
      <c r="AO26" s="28" t="n">
        <v>0</v>
      </c>
      <c r="AP26" s="28" t="n"/>
      <c r="AQ26" s="3" t="n"/>
      <c r="AR26" s="10" t="n"/>
      <c r="AS26" s="20" t="n">
        <v>0</v>
      </c>
      <c r="AT26" s="28" t="n"/>
      <c r="AU26" s="3" t="n"/>
      <c r="AV26" s="10" t="n"/>
      <c r="AW26" s="20" t="n">
        <v>0</v>
      </c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842</v>
      </c>
      <c r="P27" s="88" t="inlineStr">
        <is>
          <t>ЧС/А2</t>
        </is>
      </c>
      <c r="Q27" s="88" t="inlineStr">
        <is>
          <t>3Е</t>
        </is>
      </c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5</v>
      </c>
      <c r="AF27" s="2" t="n">
        <v>1</v>
      </c>
      <c r="AG27" s="2" t="n">
        <v>0</v>
      </c>
      <c r="AH27" s="2" t="n">
        <v>1</v>
      </c>
      <c r="AI27" s="3" t="n"/>
      <c r="AJ27" s="10" t="n">
        <v>7</v>
      </c>
      <c r="AK27" s="28" t="n">
        <v>12</v>
      </c>
      <c r="AL27" s="3" t="n">
        <v>8</v>
      </c>
      <c r="AM27" s="3" t="n">
        <v>8</v>
      </c>
      <c r="AN27" s="10" t="n">
        <v>17</v>
      </c>
      <c r="AO27" s="28" t="n">
        <v>0</v>
      </c>
      <c r="AP27" s="28" t="n"/>
      <c r="AQ27" s="3" t="n"/>
      <c r="AR27" s="10" t="n"/>
      <c r="AS27" s="20" t="n">
        <v>0</v>
      </c>
      <c r="AT27" s="28" t="n"/>
      <c r="AU27" s="3" t="n"/>
      <c r="AV27" s="10" t="n"/>
      <c r="AW27" s="20" t="n">
        <v>3</v>
      </c>
      <c r="AX27" s="28" t="n">
        <v>2</v>
      </c>
      <c r="AY27" s="3" t="n">
        <v>2.5</v>
      </c>
      <c r="AZ27" s="10" t="n">
        <v>13</v>
      </c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843</v>
      </c>
      <c r="P28" s="88" t="inlineStr">
        <is>
          <t>ЧС/А2</t>
        </is>
      </c>
      <c r="Q28" s="88" t="inlineStr">
        <is>
          <t>12Ол.С</t>
        </is>
      </c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>
        <v>0</v>
      </c>
      <c r="AF28" s="2" t="n">
        <v>1</v>
      </c>
      <c r="AG28" s="2" t="n">
        <v>0</v>
      </c>
      <c r="AH28" s="2" t="n">
        <v>0.5</v>
      </c>
      <c r="AI28" s="3" t="n"/>
      <c r="AJ28" s="10" t="n">
        <v>7</v>
      </c>
      <c r="AK28" s="28" t="n">
        <v>0</v>
      </c>
      <c r="AL28" s="3" t="n"/>
      <c r="AM28" s="3" t="n"/>
      <c r="AN28" s="10" t="n"/>
      <c r="AO28" s="28" t="n">
        <v>0</v>
      </c>
      <c r="AP28" s="28" t="n"/>
      <c r="AQ28" s="3" t="n"/>
      <c r="AR28" s="10" t="n"/>
      <c r="AS28" s="20" t="n">
        <v>17</v>
      </c>
      <c r="AT28" s="28" t="n">
        <v>3</v>
      </c>
      <c r="AU28" s="3" t="n">
        <v>4.5</v>
      </c>
      <c r="AV28" s="10" t="n">
        <v>15</v>
      </c>
      <c r="AW28" s="20" t="n">
        <v>0</v>
      </c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W20" activePane="bottomRight" state="frozen"/>
      <selection pane="topRight" activeCell="Q1" sqref="Q1"/>
      <selection pane="bottomLeft" activeCell="A11" sqref="A11"/>
      <selection pane="bottomRight" activeCell="AZ25" sqref="AZ25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848</v>
      </c>
      <c r="P20" s="87" t="inlineStr">
        <is>
          <t>ЧС/А2</t>
        </is>
      </c>
      <c r="Q20" s="87" t="inlineStr">
        <is>
          <t>3Ос</t>
        </is>
      </c>
      <c r="R20" s="69" t="inlineStr">
        <is>
          <t>Вол/Пас</t>
        </is>
      </c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1e-06</v>
      </c>
      <c r="AL20" s="7" t="n"/>
      <c r="AM20" s="7" t="n"/>
      <c r="AN20" s="8" t="n"/>
      <c r="AO20" s="40" t="n">
        <v>13</v>
      </c>
      <c r="AP20" s="27" t="n">
        <v>3</v>
      </c>
      <c r="AQ20" s="40" t="n">
        <v>4.5</v>
      </c>
      <c r="AR20" s="24" t="n">
        <v>8</v>
      </c>
      <c r="AS20" s="40" t="n">
        <v>8</v>
      </c>
      <c r="AT20" s="27" t="n">
        <v>2</v>
      </c>
      <c r="AU20" s="40" t="n">
        <v>3.5</v>
      </c>
      <c r="AV20" s="24" t="n">
        <v>8</v>
      </c>
      <c r="AW20" s="40" t="n">
        <v>18</v>
      </c>
      <c r="AX20" s="27" t="n">
        <v>0.5</v>
      </c>
      <c r="AY20" s="40" t="n">
        <v>1.5</v>
      </c>
      <c r="AZ20" s="24" t="n">
        <v>8</v>
      </c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849</v>
      </c>
      <c r="P21" s="88" t="inlineStr">
        <is>
          <t>ЧС/А2</t>
        </is>
      </c>
      <c r="Q21" s="88" t="inlineStr">
        <is>
          <t>2Б</t>
        </is>
      </c>
      <c r="R21" s="37" t="inlineStr">
        <is>
          <t>Вол/Пас</t>
        </is>
      </c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2</v>
      </c>
      <c r="AL21" s="3" t="n">
        <v>0.5</v>
      </c>
      <c r="AM21" s="3" t="n">
        <v>3.2</v>
      </c>
      <c r="AN21" s="10" t="n">
        <v>8</v>
      </c>
      <c r="AO21" s="28" t="n">
        <v>0</v>
      </c>
      <c r="AP21" s="28" t="n"/>
      <c r="AQ21" s="3" t="n"/>
      <c r="AR21" s="10" t="n"/>
      <c r="AS21" s="20" t="n">
        <v>43</v>
      </c>
      <c r="AT21" s="28" t="n">
        <v>3</v>
      </c>
      <c r="AU21" s="3" t="n">
        <v>3.5</v>
      </c>
      <c r="AV21" s="10" t="n">
        <v>8</v>
      </c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850</v>
      </c>
      <c r="P22" s="88" t="inlineStr">
        <is>
          <t>ЧС/А2</t>
        </is>
      </c>
      <c r="Q22" s="88" t="inlineStr">
        <is>
          <t>3Б</t>
        </is>
      </c>
      <c r="R22" s="37" t="inlineStr">
        <is>
          <t>Пасека</t>
        </is>
      </c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2</v>
      </c>
      <c r="AG22" s="2" t="n">
        <v>0</v>
      </c>
      <c r="AH22" s="2" t="n"/>
      <c r="AI22" s="3" t="n"/>
      <c r="AJ22" s="10" t="n">
        <v>7</v>
      </c>
      <c r="AK22" s="28" t="n">
        <v>3</v>
      </c>
      <c r="AL22" s="3" t="n">
        <v>1.5</v>
      </c>
      <c r="AM22" s="3" t="n">
        <v>2.5</v>
      </c>
      <c r="AN22" s="10" t="n">
        <v>8</v>
      </c>
      <c r="AO22" s="28" t="n">
        <v>0</v>
      </c>
      <c r="AP22" s="28" t="n"/>
      <c r="AQ22" s="3" t="n"/>
      <c r="AR22" s="10" t="n"/>
      <c r="AS22" s="20" t="n">
        <v>0</v>
      </c>
      <c r="AT22" s="28" t="n"/>
      <c r="AU22" s="3" t="n"/>
      <c r="AV22" s="10" t="n"/>
      <c r="AW22" s="20" t="n">
        <v>8</v>
      </c>
      <c r="AX22" s="28" t="n">
        <v>0.5</v>
      </c>
      <c r="AY22" s="3" t="n">
        <v>1.5</v>
      </c>
      <c r="AZ22" s="10" t="n">
        <v>8</v>
      </c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851</v>
      </c>
      <c r="P23" s="87" t="inlineStr">
        <is>
          <t>ЧС/А2</t>
        </is>
      </c>
      <c r="Q23" s="87" t="inlineStr">
        <is>
          <t>3Б</t>
        </is>
      </c>
      <c r="R23" s="37" t="inlineStr">
        <is>
          <t>Вол/Пас</t>
        </is>
      </c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1</v>
      </c>
      <c r="AG23" s="2" t="n">
        <v>0</v>
      </c>
      <c r="AH23" s="2" t="n"/>
      <c r="AI23" s="3" t="n"/>
      <c r="AJ23" s="10" t="n">
        <v>7</v>
      </c>
      <c r="AK23" s="28" t="n">
        <v>9</v>
      </c>
      <c r="AL23" s="3" t="n">
        <v>2.5</v>
      </c>
      <c r="AM23" s="3" t="n">
        <v>3</v>
      </c>
      <c r="AN23" s="10" t="n">
        <v>8</v>
      </c>
      <c r="AO23" s="28" t="n">
        <v>0</v>
      </c>
      <c r="AP23" s="28" t="n"/>
      <c r="AQ23" s="3" t="n"/>
      <c r="AR23" s="10" t="n"/>
      <c r="AS23" s="20" t="n">
        <v>6</v>
      </c>
      <c r="AT23" s="28" t="n">
        <v>2.5</v>
      </c>
      <c r="AU23" s="3" t="n">
        <v>3.5</v>
      </c>
      <c r="AV23" s="10" t="n">
        <v>8</v>
      </c>
      <c r="AW23" s="20" t="n">
        <v>5</v>
      </c>
      <c r="AX23" s="28" t="n">
        <v>2</v>
      </c>
      <c r="AY23" s="3" t="n">
        <v>3.5</v>
      </c>
      <c r="AZ23" s="10" t="n">
        <v>8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852</v>
      </c>
      <c r="P24" s="88" t="inlineStr">
        <is>
          <t>ЧС/А2</t>
        </is>
      </c>
      <c r="Q24" s="88" t="inlineStr">
        <is>
          <t>3Б</t>
        </is>
      </c>
      <c r="R24" s="37" t="inlineStr">
        <is>
          <t>Вол/Пас</t>
        </is>
      </c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0</v>
      </c>
      <c r="AG24" s="2" t="n">
        <v>0</v>
      </c>
      <c r="AH24" s="2" t="n"/>
      <c r="AI24" s="3" t="n"/>
      <c r="AJ24" s="10" t="n"/>
      <c r="AK24" s="28" t="n">
        <v>3</v>
      </c>
      <c r="AL24" s="3" t="n">
        <v>4.5</v>
      </c>
      <c r="AM24" s="3" t="n">
        <v>5</v>
      </c>
      <c r="AN24" s="10" t="n">
        <v>9</v>
      </c>
      <c r="AO24" s="28" t="n">
        <v>0</v>
      </c>
      <c r="AP24" s="28" t="n"/>
      <c r="AQ24" s="3" t="n"/>
      <c r="AR24" s="10" t="n"/>
      <c r="AS24" s="20" t="n">
        <v>5</v>
      </c>
      <c r="AT24" s="28" t="n">
        <v>1.5</v>
      </c>
      <c r="AU24" s="3" t="n">
        <v>2.5</v>
      </c>
      <c r="AV24" s="10" t="n">
        <v>8</v>
      </c>
      <c r="AW24" s="20" t="n">
        <v>11</v>
      </c>
      <c r="AX24" s="28" t="n">
        <v>0.5</v>
      </c>
      <c r="AY24" s="3" t="n">
        <v>1.5</v>
      </c>
      <c r="AZ24" s="10" t="n">
        <v>8</v>
      </c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853</v>
      </c>
      <c r="P25" s="88" t="inlineStr">
        <is>
          <t>ЧС/А2</t>
        </is>
      </c>
      <c r="Q25" s="88" t="inlineStr">
        <is>
          <t>1Б</t>
        </is>
      </c>
      <c r="R25" s="37" t="inlineStr">
        <is>
          <t>Пасека</t>
        </is>
      </c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1</v>
      </c>
      <c r="AL25" s="3" t="n">
        <v>2.5</v>
      </c>
      <c r="AM25" s="3" t="n">
        <v>3.5</v>
      </c>
      <c r="AN25" s="10" t="n">
        <v>8</v>
      </c>
      <c r="AO25" s="28" t="n">
        <v>0</v>
      </c>
      <c r="AP25" s="28" t="n"/>
      <c r="AQ25" s="3" t="n"/>
      <c r="AR25" s="10" t="n"/>
      <c r="AS25" s="20" t="n">
        <v>10</v>
      </c>
      <c r="AT25" s="28" t="n">
        <v>0.1</v>
      </c>
      <c r="AU25" s="3" t="n">
        <v>1.5</v>
      </c>
      <c r="AV25" s="10" t="n">
        <v>8</v>
      </c>
      <c r="AW25" s="20" t="n">
        <v>0</v>
      </c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854</v>
      </c>
      <c r="P26" s="87" t="inlineStr">
        <is>
          <t>ЧС/А2</t>
        </is>
      </c>
      <c r="Q26" s="87" t="inlineStr">
        <is>
          <t>3Б</t>
        </is>
      </c>
      <c r="R26" s="37" t="inlineStr">
        <is>
          <t>Пасека</t>
        </is>
      </c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1</v>
      </c>
      <c r="AF26" s="2" t="n">
        <v>2</v>
      </c>
      <c r="AG26" s="2" t="n">
        <v>0</v>
      </c>
      <c r="AH26" s="2" t="n"/>
      <c r="AI26" s="3" t="n"/>
      <c r="AJ26" s="10" t="n">
        <v>7</v>
      </c>
      <c r="AK26" s="28" t="n">
        <v>4</v>
      </c>
      <c r="AL26" s="3" t="n">
        <v>2.5</v>
      </c>
      <c r="AM26" s="3" t="n">
        <v>3.5</v>
      </c>
      <c r="AN26" s="10" t="n">
        <v>8</v>
      </c>
      <c r="AO26" s="28" t="n">
        <v>21</v>
      </c>
      <c r="AP26" s="28" t="n">
        <v>3.5</v>
      </c>
      <c r="AQ26" s="3" t="n">
        <v>5.7</v>
      </c>
      <c r="AR26" s="10" t="n">
        <v>8</v>
      </c>
      <c r="AS26" s="20" t="n">
        <v>11</v>
      </c>
      <c r="AT26" s="28" t="n">
        <v>0.2</v>
      </c>
      <c r="AU26" s="3" t="n">
        <v>2.1</v>
      </c>
      <c r="AV26" s="10" t="n">
        <v>8</v>
      </c>
      <c r="AW26" s="20" t="n">
        <v>0</v>
      </c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855</v>
      </c>
      <c r="P27" s="88" t="inlineStr">
        <is>
          <t>ЧС/А2</t>
        </is>
      </c>
      <c r="Q27" s="88" t="inlineStr">
        <is>
          <t>3Б</t>
        </is>
      </c>
      <c r="R27" s="37" t="inlineStr">
        <is>
          <t>Пасека</t>
        </is>
      </c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0</v>
      </c>
      <c r="AF27" s="2" t="n">
        <v>0</v>
      </c>
      <c r="AG27" s="2" t="n">
        <v>0</v>
      </c>
      <c r="AH27" s="2" t="n"/>
      <c r="AI27" s="3" t="n"/>
      <c r="AJ27" s="10" t="n"/>
      <c r="AK27" s="28" t="n">
        <v>7</v>
      </c>
      <c r="AL27" s="3" t="n">
        <v>4</v>
      </c>
      <c r="AM27" s="3" t="n">
        <v>5</v>
      </c>
      <c r="AN27" s="10" t="n">
        <v>8</v>
      </c>
      <c r="AO27" s="28" t="n">
        <v>3</v>
      </c>
      <c r="AP27" s="28" t="n">
        <v>2.5</v>
      </c>
      <c r="AQ27" s="3" t="n">
        <v>3.7</v>
      </c>
      <c r="AR27" s="10" t="n">
        <v>8</v>
      </c>
      <c r="AS27" s="20" t="n">
        <v>10</v>
      </c>
      <c r="AT27" s="28" t="n">
        <v>0.2</v>
      </c>
      <c r="AU27" s="3" t="n">
        <v>2.3</v>
      </c>
      <c r="AV27" s="10" t="n">
        <v>8</v>
      </c>
      <c r="AW27" s="20" t="n">
        <v>0</v>
      </c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BJ30" sqref="BJ30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814</v>
      </c>
      <c r="P20" s="87" t="inlineStr">
        <is>
          <t>ЧС/А2</t>
        </is>
      </c>
      <c r="Q20" s="87" t="inlineStr">
        <is>
          <t>3Б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12</v>
      </c>
      <c r="AL20" s="7" t="n">
        <v>7</v>
      </c>
      <c r="AM20" s="7" t="n">
        <v>6.5</v>
      </c>
      <c r="AN20" s="8" t="n">
        <v>15</v>
      </c>
      <c r="AO20" s="40" t="n">
        <v>1e-06</v>
      </c>
      <c r="AP20" s="27" t="n"/>
      <c r="AQ20" s="40" t="n"/>
      <c r="AR20" s="24" t="n"/>
      <c r="AS20" s="40" t="n">
        <v>1</v>
      </c>
      <c r="AT20" s="27" t="n">
        <v>4.5</v>
      </c>
      <c r="AU20" s="40" t="n">
        <v>4.5</v>
      </c>
      <c r="AV20" s="24" t="n">
        <v>15</v>
      </c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816</v>
      </c>
      <c r="P21" s="88" t="inlineStr">
        <is>
          <t>ЧС/А2</t>
        </is>
      </c>
      <c r="Q21" s="88" t="inlineStr">
        <is>
          <t>3Б</t>
        </is>
      </c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/>
      <c r="AF21" s="2" t="n"/>
      <c r="AG21" s="2" t="n"/>
      <c r="AH21" s="2" t="n"/>
      <c r="AI21" s="3" t="n"/>
      <c r="AJ21" s="10" t="n"/>
      <c r="AK21" s="28" t="n">
        <v>7</v>
      </c>
      <c r="AL21" s="3" t="n">
        <v>10</v>
      </c>
      <c r="AM21" s="3" t="n">
        <v>10.5</v>
      </c>
      <c r="AN21" s="10" t="n">
        <v>17</v>
      </c>
      <c r="AO21" s="28" t="n">
        <v>0</v>
      </c>
      <c r="AP21" s="28" t="n"/>
      <c r="AQ21" s="3" t="n"/>
      <c r="AR21" s="10" t="n"/>
      <c r="AS21" s="20" t="n">
        <v>5</v>
      </c>
      <c r="AT21" s="28" t="n">
        <v>3</v>
      </c>
      <c r="AU21" s="3" t="n">
        <v>6</v>
      </c>
      <c r="AV21" s="10" t="n">
        <v>15</v>
      </c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817</v>
      </c>
      <c r="P22" s="88" t="inlineStr">
        <is>
          <t>ЧС/А2</t>
        </is>
      </c>
      <c r="Q22" s="88" t="inlineStr">
        <is>
          <t>3Б</t>
        </is>
      </c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/>
      <c r="AF22" s="2" t="n"/>
      <c r="AG22" s="2" t="n"/>
      <c r="AH22" s="2" t="n"/>
      <c r="AI22" s="3" t="n"/>
      <c r="AJ22" s="10" t="n"/>
      <c r="AK22" s="28" t="n">
        <v>9</v>
      </c>
      <c r="AL22" s="3" t="n">
        <v>10</v>
      </c>
      <c r="AM22" s="3" t="n">
        <v>12</v>
      </c>
      <c r="AN22" s="10" t="n">
        <v>17</v>
      </c>
      <c r="AO22" s="28" t="n">
        <v>1</v>
      </c>
      <c r="AP22" s="28" t="n">
        <v>3</v>
      </c>
      <c r="AQ22" s="3" t="n">
        <v>6.5</v>
      </c>
      <c r="AR22" s="10" t="n">
        <v>10</v>
      </c>
      <c r="AS22" s="20" t="n">
        <v>7</v>
      </c>
      <c r="AT22" s="28" t="n">
        <v>1.5</v>
      </c>
      <c r="AU22" s="3" t="n">
        <v>3</v>
      </c>
      <c r="AV22" s="10" t="n">
        <v>11</v>
      </c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818</v>
      </c>
      <c r="P23" s="87" t="inlineStr">
        <is>
          <t>ЧС/А2</t>
        </is>
      </c>
      <c r="Q23" s="87" t="inlineStr">
        <is>
          <t>2Б1Ос</t>
        </is>
      </c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/>
      <c r="AF23" s="2" t="n"/>
      <c r="AG23" s="2" t="n"/>
      <c r="AH23" s="2" t="n"/>
      <c r="AI23" s="3" t="n"/>
      <c r="AJ23" s="10" t="n"/>
      <c r="AK23" s="28" t="n">
        <v>4</v>
      </c>
      <c r="AL23" s="3" t="n">
        <v>8.5</v>
      </c>
      <c r="AM23" s="3" t="n">
        <v>10</v>
      </c>
      <c r="AN23" s="10" t="n">
        <v>15</v>
      </c>
      <c r="AO23" s="28" t="n">
        <v>1</v>
      </c>
      <c r="AP23" s="28" t="n">
        <v>3</v>
      </c>
      <c r="AQ23" s="3" t="n">
        <v>6.5</v>
      </c>
      <c r="AR23" s="10" t="n">
        <v>10</v>
      </c>
      <c r="AS23" s="20" t="n">
        <v>0</v>
      </c>
      <c r="AT23" s="28" t="n"/>
      <c r="AU23" s="3" t="n"/>
      <c r="AV23" s="10" t="n"/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819</v>
      </c>
      <c r="P24" s="88" t="inlineStr">
        <is>
          <t>ЧС/А2</t>
        </is>
      </c>
      <c r="Q24" s="88" t="inlineStr">
        <is>
          <t>3Б</t>
        </is>
      </c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/>
      <c r="AF24" s="2" t="n"/>
      <c r="AG24" s="2" t="n"/>
      <c r="AH24" s="2" t="n"/>
      <c r="AI24" s="3" t="n"/>
      <c r="AJ24" s="10" t="n"/>
      <c r="AK24" s="28" t="n">
        <v>4</v>
      </c>
      <c r="AL24" s="3" t="n">
        <v>6</v>
      </c>
      <c r="AM24" s="3" t="n">
        <v>10</v>
      </c>
      <c r="AN24" s="10" t="n">
        <v>15</v>
      </c>
      <c r="AO24" s="28" t="n">
        <v>10</v>
      </c>
      <c r="AP24" s="28" t="n">
        <v>8</v>
      </c>
      <c r="AQ24" s="3" t="n">
        <v>12</v>
      </c>
      <c r="AR24" s="10" t="n">
        <v>17</v>
      </c>
      <c r="AS24" s="20" t="n">
        <v>0</v>
      </c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2</v>
      </c>
      <c r="BJ24" s="28" t="n">
        <v>5</v>
      </c>
      <c r="BK24" s="3" t="n">
        <v>7</v>
      </c>
      <c r="BL24" s="10" t="n">
        <v>15</v>
      </c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820</v>
      </c>
      <c r="P25" s="88" t="inlineStr">
        <is>
          <t>ЧС/А2</t>
        </is>
      </c>
      <c r="Q25" s="88" t="inlineStr">
        <is>
          <t>1Б</t>
        </is>
      </c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/>
      <c r="AF25" s="2" t="n"/>
      <c r="AG25" s="2" t="n"/>
      <c r="AH25" s="2" t="n"/>
      <c r="AI25" s="3" t="n"/>
      <c r="AJ25" s="10" t="n"/>
      <c r="AK25" s="28" t="n">
        <v>1</v>
      </c>
      <c r="AL25" s="3" t="n">
        <v>6</v>
      </c>
      <c r="AM25" s="3" t="n">
        <v>7</v>
      </c>
      <c r="AN25" s="10" t="n">
        <v>15</v>
      </c>
      <c r="AO25" s="28" t="n">
        <v>0</v>
      </c>
      <c r="AP25" s="28" t="n"/>
      <c r="AQ25" s="3" t="n"/>
      <c r="AR25" s="10" t="n"/>
      <c r="AS25" s="20" t="n">
        <v>3</v>
      </c>
      <c r="AT25" s="28" t="n">
        <v>2.5</v>
      </c>
      <c r="AU25" s="3" t="n">
        <v>4.5</v>
      </c>
      <c r="AV25" s="10" t="n">
        <v>12</v>
      </c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821</v>
      </c>
      <c r="P26" s="87" t="inlineStr">
        <is>
          <t>ЧС/А2</t>
        </is>
      </c>
      <c r="Q26" s="87" t="inlineStr">
        <is>
          <t>1Б2Ос</t>
        </is>
      </c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>
        <v>1</v>
      </c>
      <c r="AL26" s="3" t="n">
        <v>3</v>
      </c>
      <c r="AM26" s="3" t="n">
        <v>4.5</v>
      </c>
      <c r="AN26" s="10" t="n">
        <v>12</v>
      </c>
      <c r="AO26" s="28" t="n">
        <v>2</v>
      </c>
      <c r="AP26" s="28" t="n">
        <v>6</v>
      </c>
      <c r="AQ26" s="3" t="n">
        <v>7</v>
      </c>
      <c r="AR26" s="10" t="n">
        <v>15</v>
      </c>
      <c r="AS26" s="20" t="n">
        <v>22</v>
      </c>
      <c r="AT26" s="28" t="n">
        <v>4</v>
      </c>
      <c r="AU26" s="3" t="n">
        <v>6</v>
      </c>
      <c r="AV26" s="10" t="n">
        <v>13</v>
      </c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>
        <v>0</v>
      </c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844</v>
      </c>
      <c r="P27" s="88" t="inlineStr">
        <is>
          <t>ЧС/А2</t>
        </is>
      </c>
      <c r="Q27" s="88" t="inlineStr">
        <is>
          <t>3Б</t>
        </is>
      </c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>
        <v>7</v>
      </c>
      <c r="AL27" s="3" t="n">
        <v>8</v>
      </c>
      <c r="AM27" s="3" t="n">
        <v>10</v>
      </c>
      <c r="AN27" s="10" t="n">
        <v>19</v>
      </c>
      <c r="AO27" s="28" t="n">
        <v>4</v>
      </c>
      <c r="AP27" s="28" t="n">
        <v>6</v>
      </c>
      <c r="AQ27" s="3" t="n">
        <v>8</v>
      </c>
      <c r="AR27" s="10" t="n">
        <v>17</v>
      </c>
      <c r="AS27" s="20" t="n">
        <v>6</v>
      </c>
      <c r="AT27" s="28" t="n">
        <v>1.5</v>
      </c>
      <c r="AU27" s="3" t="n">
        <v>3</v>
      </c>
      <c r="AV27" s="10" t="n">
        <v>15</v>
      </c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>
        <v>0</v>
      </c>
      <c r="BJ27" s="28" t="n"/>
      <c r="BK27" s="3" t="n"/>
      <c r="BL27" s="10" t="n"/>
    </row>
    <row r="28" ht="26.4" customHeight="1" s="141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845</v>
      </c>
      <c r="P28" s="88" t="inlineStr">
        <is>
          <t>ЧС/А2</t>
        </is>
      </c>
      <c r="Q28" s="88" t="inlineStr">
        <is>
          <t>2Б</t>
        </is>
      </c>
      <c r="R28" s="37" t="inlineStr">
        <is>
          <t>Пройдено Рубкой</t>
        </is>
      </c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>
        <v>2</v>
      </c>
      <c r="AL28" s="3" t="n">
        <v>10</v>
      </c>
      <c r="AM28" s="3" t="n">
        <v>11</v>
      </c>
      <c r="AN28" s="10" t="n">
        <v>19</v>
      </c>
      <c r="AO28" s="28" t="n">
        <v>0</v>
      </c>
      <c r="AP28" s="28" t="n"/>
      <c r="AQ28" s="3" t="n"/>
      <c r="AR28" s="10" t="n"/>
      <c r="AS28" s="20" t="n">
        <v>0</v>
      </c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>
        <v>0</v>
      </c>
      <c r="BJ28" s="28" t="n"/>
      <c r="BK28" s="3" t="n"/>
      <c r="BL28" s="10" t="n"/>
    </row>
    <row r="29" ht="26.4" customHeight="1" s="141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>
        <v>846</v>
      </c>
      <c r="P29" s="87" t="inlineStr">
        <is>
          <t>П/С5</t>
        </is>
      </c>
      <c r="Q29" s="87" t="n"/>
      <c r="R29" s="37" t="inlineStr">
        <is>
          <t>Пройдено Рубкой</t>
        </is>
      </c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>
        <v>0</v>
      </c>
      <c r="AL29" s="3" t="n"/>
      <c r="AM29" s="3" t="n"/>
      <c r="AN29" s="10" t="n"/>
      <c r="AO29" s="28" t="n">
        <v>0</v>
      </c>
      <c r="AP29" s="28" t="n"/>
      <c r="AQ29" s="3" t="n"/>
      <c r="AR29" s="10" t="n"/>
      <c r="AS29" s="20" t="n">
        <v>8</v>
      </c>
      <c r="AT29" s="28" t="n">
        <v>8</v>
      </c>
      <c r="AU29" s="3" t="n">
        <v>9</v>
      </c>
      <c r="AV29" s="10" t="n">
        <v>17</v>
      </c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>
        <v>0</v>
      </c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>
        <v>847</v>
      </c>
      <c r="P30" s="88" t="inlineStr">
        <is>
          <t>ЧС/А2</t>
        </is>
      </c>
      <c r="Q30" s="88" t="inlineStr">
        <is>
          <t>3Б</t>
        </is>
      </c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>
        <v>12</v>
      </c>
      <c r="AL30" s="3" t="n">
        <v>6</v>
      </c>
      <c r="AM30" s="3" t="n">
        <v>6.5</v>
      </c>
      <c r="AN30" s="10" t="n">
        <v>17</v>
      </c>
      <c r="AO30" s="28" t="n">
        <v>0</v>
      </c>
      <c r="AP30" s="28" t="n"/>
      <c r="AQ30" s="3" t="n"/>
      <c r="AR30" s="10" t="n"/>
      <c r="AS30" s="20" t="n">
        <v>0</v>
      </c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>
        <v>0</v>
      </c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Z15" sqref="Z15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163</v>
      </c>
      <c r="W16" s="45" t="n"/>
      <c r="X16" s="45" t="inlineStr">
        <is>
          <t>Выд</t>
        </is>
      </c>
      <c r="Y16" s="45" t="n">
        <v>3</v>
      </c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856</v>
      </c>
      <c r="P20" s="87" t="inlineStr">
        <is>
          <t>ЧС/В2</t>
        </is>
      </c>
      <c r="Q20" s="87" t="inlineStr">
        <is>
          <t>3Б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22</v>
      </c>
      <c r="AL20" s="7" t="n">
        <v>7</v>
      </c>
      <c r="AM20" s="7" t="n">
        <v>9.5</v>
      </c>
      <c r="AN20" s="8" t="n">
        <v>18</v>
      </c>
      <c r="AO20" s="40" t="n">
        <v>1e-06</v>
      </c>
      <c r="AP20" s="27" t="n"/>
      <c r="AQ20" s="40" t="n"/>
      <c r="AR20" s="24" t="n"/>
      <c r="AS20" s="40" t="n">
        <v>1</v>
      </c>
      <c r="AT20" s="27" t="n">
        <v>2.5</v>
      </c>
      <c r="AU20" s="40" t="n">
        <v>6</v>
      </c>
      <c r="AV20" s="24" t="n">
        <v>15</v>
      </c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857</v>
      </c>
      <c r="P21" s="88" t="inlineStr">
        <is>
          <t>ЧС/В2</t>
        </is>
      </c>
      <c r="Q21" s="88" t="inlineStr">
        <is>
          <t>2Е1Б</t>
        </is>
      </c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0</v>
      </c>
      <c r="AG21" s="2" t="n">
        <v>2</v>
      </c>
      <c r="AH21" s="2" t="n">
        <v>5</v>
      </c>
      <c r="AI21" s="3" t="n">
        <v>5</v>
      </c>
      <c r="AJ21" s="10" t="n">
        <v>17</v>
      </c>
      <c r="AK21" s="28" t="n">
        <v>12</v>
      </c>
      <c r="AL21" s="3" t="n">
        <v>8</v>
      </c>
      <c r="AM21" s="3" t="n">
        <v>9</v>
      </c>
      <c r="AN21" s="10" t="n">
        <v>19</v>
      </c>
      <c r="AO21" s="28" t="n">
        <v>11</v>
      </c>
      <c r="AP21" s="28" t="n">
        <v>4.5</v>
      </c>
      <c r="AQ21" s="3" t="n">
        <v>7.5</v>
      </c>
      <c r="AR21" s="10" t="n">
        <v>17</v>
      </c>
      <c r="AS21" s="20" t="n">
        <v>0</v>
      </c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858</v>
      </c>
      <c r="P22" s="88" t="inlineStr">
        <is>
          <t>ЧС/В2</t>
        </is>
      </c>
      <c r="Q22" s="88" t="inlineStr">
        <is>
          <t>3Е</t>
        </is>
      </c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2</v>
      </c>
      <c r="AF22" s="2" t="n">
        <v>20</v>
      </c>
      <c r="AG22" s="2" t="n">
        <v>2</v>
      </c>
      <c r="AH22" s="2" t="n">
        <v>2.5</v>
      </c>
      <c r="AI22" s="3" t="n">
        <v>2.5</v>
      </c>
      <c r="AJ22" s="10" t="n">
        <v>17</v>
      </c>
      <c r="AK22" s="28" t="n">
        <v>0</v>
      </c>
      <c r="AL22" s="3" t="n"/>
      <c r="AM22" s="3" t="n"/>
      <c r="AN22" s="10" t="n"/>
      <c r="AO22" s="28" t="n">
        <v>0</v>
      </c>
      <c r="AP22" s="28" t="n"/>
      <c r="AQ22" s="3" t="n"/>
      <c r="AR22" s="10" t="n"/>
      <c r="AS22" s="20" t="n">
        <v>0</v>
      </c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2</v>
      </c>
      <c r="BJ22" s="28" t="n"/>
      <c r="BK22" s="3" t="n">
        <v>5.5</v>
      </c>
      <c r="BL22" s="10" t="n">
        <v>13</v>
      </c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859</v>
      </c>
      <c r="P23" s="87" t="inlineStr">
        <is>
          <t>ЧС/В2</t>
        </is>
      </c>
      <c r="Q23" s="87" t="inlineStr">
        <is>
          <t>3Е</t>
        </is>
      </c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2</v>
      </c>
      <c r="AG23" s="2" t="n">
        <v>11</v>
      </c>
      <c r="AH23" s="2" t="n">
        <v>4.5</v>
      </c>
      <c r="AI23" s="3" t="n">
        <v>4.5</v>
      </c>
      <c r="AJ23" s="10" t="n">
        <v>18</v>
      </c>
      <c r="AK23" s="28" t="n">
        <v>3</v>
      </c>
      <c r="AL23" s="3" t="n">
        <v>5</v>
      </c>
      <c r="AM23" s="3" t="n">
        <v>8</v>
      </c>
      <c r="AN23" s="10" t="n">
        <v>18</v>
      </c>
      <c r="AO23" s="28" t="n">
        <v>0</v>
      </c>
      <c r="AP23" s="28" t="n"/>
      <c r="AQ23" s="3" t="n"/>
      <c r="AR23" s="10" t="n"/>
      <c r="AS23" s="20" t="n">
        <v>0</v>
      </c>
      <c r="AT23" s="28" t="n"/>
      <c r="AU23" s="3" t="n"/>
      <c r="AV23" s="10" t="n"/>
      <c r="AW23" s="20" t="n">
        <v>2</v>
      </c>
      <c r="AX23" s="28" t="n">
        <v>0.5</v>
      </c>
      <c r="AY23" s="3" t="n">
        <v>2.7</v>
      </c>
      <c r="AZ23" s="10" t="n">
        <v>13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860</v>
      </c>
      <c r="P24" s="88" t="inlineStr">
        <is>
          <t>ЧС/В2</t>
        </is>
      </c>
      <c r="Q24" s="88" t="inlineStr">
        <is>
          <t>1Е1Б1Ос</t>
        </is>
      </c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0</v>
      </c>
      <c r="AG24" s="2" t="n">
        <v>1</v>
      </c>
      <c r="AH24" s="2" t="n">
        <v>4</v>
      </c>
      <c r="AI24" s="3" t="n">
        <v>4</v>
      </c>
      <c r="AJ24" s="10" t="n">
        <v>18</v>
      </c>
      <c r="AK24" s="28" t="n">
        <v>2</v>
      </c>
      <c r="AL24" s="3" t="n">
        <v>2.5</v>
      </c>
      <c r="AM24" s="3" t="n">
        <v>4.9</v>
      </c>
      <c r="AN24" s="10" t="n">
        <v>17</v>
      </c>
      <c r="AO24" s="28" t="n">
        <v>14</v>
      </c>
      <c r="AP24" s="28" t="n">
        <v>6</v>
      </c>
      <c r="AQ24" s="3" t="n">
        <v>7.5</v>
      </c>
      <c r="AR24" s="10" t="n">
        <v>18</v>
      </c>
      <c r="AS24" s="20" t="n">
        <v>0</v>
      </c>
      <c r="AT24" s="28" t="n"/>
      <c r="AU24" s="3" t="n"/>
      <c r="AV24" s="10" t="n"/>
      <c r="AW24" s="20" t="n">
        <v>0</v>
      </c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861</v>
      </c>
      <c r="P25" s="88" t="inlineStr">
        <is>
          <t>ЧС/В2</t>
        </is>
      </c>
      <c r="Q25" s="88" t="inlineStr">
        <is>
          <t>1Е2Б</t>
        </is>
      </c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2</v>
      </c>
      <c r="AF25" s="2" t="n">
        <v>1</v>
      </c>
      <c r="AG25" s="2" t="n">
        <v>1</v>
      </c>
      <c r="AH25" s="2" t="n">
        <v>0.5</v>
      </c>
      <c r="AI25" s="3" t="n">
        <v>0.5</v>
      </c>
      <c r="AJ25" s="10" t="n">
        <v>15</v>
      </c>
      <c r="AK25" s="28" t="n">
        <v>5</v>
      </c>
      <c r="AL25" s="3" t="n">
        <v>6</v>
      </c>
      <c r="AM25" s="3" t="n">
        <v>8.5</v>
      </c>
      <c r="AN25" s="10" t="n">
        <v>18</v>
      </c>
      <c r="AO25" s="28" t="n">
        <v>6</v>
      </c>
      <c r="AP25" s="28" t="n">
        <v>5</v>
      </c>
      <c r="AQ25" s="3" t="n">
        <v>6</v>
      </c>
      <c r="AR25" s="10" t="n">
        <v>17</v>
      </c>
      <c r="AS25" s="20" t="n">
        <v>0</v>
      </c>
      <c r="AT25" s="28" t="n"/>
      <c r="AU25" s="3" t="n"/>
      <c r="AV25" s="10" t="n"/>
      <c r="AW25" s="20" t="n">
        <v>0</v>
      </c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862</v>
      </c>
      <c r="P26" s="87" t="inlineStr">
        <is>
          <t>ЧС/В2</t>
        </is>
      </c>
      <c r="Q26" s="87" t="inlineStr">
        <is>
          <t>2Е1Б</t>
        </is>
      </c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0</v>
      </c>
      <c r="AG26" s="2" t="n">
        <v>9</v>
      </c>
      <c r="AH26" s="2" t="n">
        <v>1.5</v>
      </c>
      <c r="AI26" s="3" t="n">
        <v>1.5</v>
      </c>
      <c r="AJ26" s="10" t="n">
        <v>17</v>
      </c>
      <c r="AK26" s="28" t="n">
        <v>19</v>
      </c>
      <c r="AL26" s="3" t="n">
        <v>4.5</v>
      </c>
      <c r="AM26" s="3" t="n">
        <v>9</v>
      </c>
      <c r="AN26" s="10" t="n">
        <v>17</v>
      </c>
      <c r="AO26" s="28" t="n">
        <v>5</v>
      </c>
      <c r="AP26" s="28" t="n">
        <v>6</v>
      </c>
      <c r="AQ26" s="3" t="n">
        <v>8.5</v>
      </c>
      <c r="AR26" s="10" t="n">
        <v>15</v>
      </c>
      <c r="AS26" s="20" t="n">
        <v>1</v>
      </c>
      <c r="AT26" s="28" t="n">
        <v>2.5</v>
      </c>
      <c r="AU26" s="3" t="n">
        <v>6</v>
      </c>
      <c r="AV26" s="10" t="n">
        <v>15</v>
      </c>
      <c r="AW26" s="20" t="n">
        <v>0</v>
      </c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863</v>
      </c>
      <c r="P27" s="88" t="inlineStr">
        <is>
          <t>ЧС/В2</t>
        </is>
      </c>
      <c r="Q27" s="88" t="inlineStr">
        <is>
          <t>3Б</t>
        </is>
      </c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0</v>
      </c>
      <c r="AF27" s="2" t="n">
        <v>0</v>
      </c>
      <c r="AG27" s="2" t="n">
        <v>0</v>
      </c>
      <c r="AH27" s="2" t="n"/>
      <c r="AI27" s="3" t="n"/>
      <c r="AJ27" s="10" t="n"/>
      <c r="AK27" s="28" t="n">
        <v>10</v>
      </c>
      <c r="AL27" s="3" t="n">
        <v>9.5</v>
      </c>
      <c r="AM27" s="3" t="n">
        <v>9</v>
      </c>
      <c r="AN27" s="10" t="n">
        <v>18</v>
      </c>
      <c r="AO27" s="28" t="n">
        <v>6</v>
      </c>
      <c r="AP27" s="28" t="n">
        <v>4</v>
      </c>
      <c r="AQ27" s="3" t="n">
        <v>5.5</v>
      </c>
      <c r="AR27" s="10" t="n">
        <v>17</v>
      </c>
      <c r="AS27" s="20" t="n">
        <v>11</v>
      </c>
      <c r="AT27" s="28" t="n">
        <v>2</v>
      </c>
      <c r="AU27" s="3" t="n">
        <v>3.5</v>
      </c>
      <c r="AV27" s="10" t="n">
        <v>16</v>
      </c>
      <c r="AW27" s="20" t="n">
        <v>0</v>
      </c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864</v>
      </c>
      <c r="P28" s="88" t="inlineStr">
        <is>
          <t>ЧС/В2</t>
        </is>
      </c>
      <c r="Q28" s="88" t="inlineStr">
        <is>
          <t>3Е</t>
        </is>
      </c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>
        <v>3</v>
      </c>
      <c r="AF28" s="2" t="n">
        <v>7</v>
      </c>
      <c r="AG28" s="2" t="n">
        <v>5</v>
      </c>
      <c r="AH28" s="2" t="n">
        <v>1.5</v>
      </c>
      <c r="AI28" s="3" t="n">
        <v>1.5</v>
      </c>
      <c r="AJ28" s="10" t="n">
        <v>16</v>
      </c>
      <c r="AK28" s="28" t="n">
        <v>0</v>
      </c>
      <c r="AL28" s="3" t="n"/>
      <c r="AM28" s="3" t="n"/>
      <c r="AN28" s="10" t="n"/>
      <c r="AO28" s="28" t="n">
        <v>0</v>
      </c>
      <c r="AP28" s="28" t="n"/>
      <c r="AQ28" s="3" t="n"/>
      <c r="AR28" s="10" t="n"/>
      <c r="AS28" s="20" t="n">
        <v>4</v>
      </c>
      <c r="AT28" s="28" t="n">
        <v>1</v>
      </c>
      <c r="AU28" s="3" t="n">
        <v>2.5</v>
      </c>
      <c r="AV28" s="10" t="n">
        <v>17</v>
      </c>
      <c r="AW28" s="20" t="n">
        <v>0</v>
      </c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>
        <v>865</v>
      </c>
      <c r="P29" s="87" t="inlineStr">
        <is>
          <t>ЧС/В2</t>
        </is>
      </c>
      <c r="Q29" s="87" t="inlineStr">
        <is>
          <t>3Е</t>
        </is>
      </c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>
        <v>2</v>
      </c>
      <c r="AF29" s="2" t="n">
        <v>3</v>
      </c>
      <c r="AG29" s="2" t="n">
        <v>4</v>
      </c>
      <c r="AH29" s="2" t="n">
        <v>1.5</v>
      </c>
      <c r="AI29" s="3" t="n">
        <v>1.5</v>
      </c>
      <c r="AJ29" s="10" t="n">
        <v>17</v>
      </c>
      <c r="AK29" s="28" t="n">
        <v>2</v>
      </c>
      <c r="AL29" s="3" t="n">
        <v>2</v>
      </c>
      <c r="AM29" s="3" t="n">
        <v>2.7</v>
      </c>
      <c r="AN29" s="10" t="n">
        <v>17</v>
      </c>
      <c r="AO29" s="28" t="n">
        <v>0</v>
      </c>
      <c r="AP29" s="28" t="n"/>
      <c r="AQ29" s="3" t="n"/>
      <c r="AR29" s="10" t="n"/>
      <c r="AS29" s="20" t="n">
        <v>13</v>
      </c>
      <c r="AT29" s="28" t="n">
        <v>1.5</v>
      </c>
      <c r="AU29" s="3" t="n">
        <v>2.7</v>
      </c>
      <c r="AV29" s="10" t="n">
        <v>17</v>
      </c>
      <c r="AW29" s="20" t="n">
        <v>0</v>
      </c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R22" sqref="R22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135</v>
      </c>
      <c r="W16" s="45" t="n"/>
      <c r="X16" s="45" t="inlineStr">
        <is>
          <t>Выд</t>
        </is>
      </c>
      <c r="Y16" s="45" t="n">
        <v>34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957</v>
      </c>
      <c r="P20" s="87" t="inlineStr">
        <is>
          <t>БР/A2</t>
        </is>
      </c>
      <c r="Q20" s="87" t="inlineStr">
        <is>
          <t>1Е2Б</t>
        </is>
      </c>
      <c r="R20" s="69" t="inlineStr">
        <is>
          <t>вол/пас</t>
        </is>
      </c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</v>
      </c>
      <c r="AF20" s="40" t="n">
        <v>1</v>
      </c>
      <c r="AG20" s="40" t="n">
        <v>1e-06</v>
      </c>
      <c r="AH20" s="6" t="n"/>
      <c r="AI20" s="7" t="n"/>
      <c r="AJ20" s="8" t="n">
        <v>10</v>
      </c>
      <c r="AK20" s="40" t="n">
        <v>4</v>
      </c>
      <c r="AL20" s="7" t="n"/>
      <c r="AM20" s="7" t="n">
        <v>2.9</v>
      </c>
      <c r="AN20" s="8" t="n">
        <v>10</v>
      </c>
      <c r="AO20" s="40" t="n">
        <v>15</v>
      </c>
      <c r="AP20" s="27" t="n"/>
      <c r="AQ20" s="40" t="n">
        <v>3</v>
      </c>
      <c r="AR20" s="24" t="n">
        <v>10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4</v>
      </c>
      <c r="BJ20" s="27" t="n"/>
      <c r="BK20" s="40" t="n">
        <v>2</v>
      </c>
      <c r="BL20" s="24" t="n">
        <v>9</v>
      </c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958</v>
      </c>
      <c r="P21" s="88" t="inlineStr">
        <is>
          <t>БР/A2</t>
        </is>
      </c>
      <c r="Q21" s="88" t="inlineStr">
        <is>
          <t>2Е1Ос</t>
        </is>
      </c>
      <c r="R21" s="37" t="inlineStr">
        <is>
          <t>волок</t>
        </is>
      </c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2</v>
      </c>
      <c r="AG21" s="2" t="n">
        <v>0</v>
      </c>
      <c r="AH21" s="2" t="n"/>
      <c r="AI21" s="3" t="n"/>
      <c r="AJ21" s="10" t="n">
        <v>9</v>
      </c>
      <c r="AK21" s="28" t="n">
        <v>0</v>
      </c>
      <c r="AL21" s="3" t="n"/>
      <c r="AM21" s="3" t="n"/>
      <c r="AN21" s="10" t="n"/>
      <c r="AO21" s="28" t="n">
        <v>13</v>
      </c>
      <c r="AP21" s="28" t="n"/>
      <c r="AQ21" s="3" t="n">
        <v>4</v>
      </c>
      <c r="AR21" s="10" t="n">
        <v>10</v>
      </c>
      <c r="AS21" s="20" t="n"/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959</v>
      </c>
      <c r="P22" s="88" t="inlineStr">
        <is>
          <t>БР/A2</t>
        </is>
      </c>
      <c r="Q22" s="88" t="inlineStr">
        <is>
          <t>5Е3Б</t>
        </is>
      </c>
      <c r="R22" s="37" t="n"/>
      <c r="S22" s="20" t="n">
        <v>0</v>
      </c>
      <c r="T22" s="3" t="n">
        <v>0</v>
      </c>
      <c r="U22" s="3" t="n">
        <v>1</v>
      </c>
      <c r="V22" s="3" t="n">
        <v>2.3</v>
      </c>
      <c r="W22" s="3" t="n"/>
      <c r="X22" s="10" t="n">
        <v>8</v>
      </c>
      <c r="Y22" s="17" t="n"/>
      <c r="Z22" s="2" t="n"/>
      <c r="AA22" s="2" t="n"/>
      <c r="AB22" s="2" t="n"/>
      <c r="AC22" s="3" t="n"/>
      <c r="AD22" s="37" t="n"/>
      <c r="AE22" s="9" t="n">
        <v>5</v>
      </c>
      <c r="AF22" s="2" t="n">
        <v>0</v>
      </c>
      <c r="AG22" s="2" t="n">
        <v>0</v>
      </c>
      <c r="AH22" s="2" t="n"/>
      <c r="AI22" s="3" t="n"/>
      <c r="AJ22" s="10" t="n">
        <v>6</v>
      </c>
      <c r="AK22" s="28" t="n">
        <v>3</v>
      </c>
      <c r="AL22" s="3" t="n"/>
      <c r="AM22" s="3" t="n">
        <v>0.5</v>
      </c>
      <c r="AN22" s="10" t="n">
        <v>3</v>
      </c>
      <c r="AO22" s="28" t="n">
        <v>0</v>
      </c>
      <c r="AP22" s="28" t="n"/>
      <c r="AQ22" s="3" t="n"/>
      <c r="AR22" s="10" t="n"/>
      <c r="AS22" s="20" t="n"/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9</v>
      </c>
      <c r="BJ22" s="28" t="n"/>
      <c r="BK22" s="3" t="n">
        <v>0.5</v>
      </c>
      <c r="BL22" s="10" t="n">
        <v>3</v>
      </c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960</v>
      </c>
      <c r="P23" s="87" t="inlineStr">
        <is>
          <t>БР/A2</t>
        </is>
      </c>
      <c r="Q23" s="87" t="inlineStr">
        <is>
          <t>1Е3Б</t>
        </is>
      </c>
      <c r="R23" s="37" t="n"/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1</v>
      </c>
      <c r="AG23" s="2" t="n">
        <v>0</v>
      </c>
      <c r="AH23" s="2" t="n"/>
      <c r="AI23" s="3" t="n"/>
      <c r="AJ23" s="10" t="n">
        <v>8</v>
      </c>
      <c r="AK23" s="28" t="n">
        <v>5</v>
      </c>
      <c r="AL23" s="3" t="n"/>
      <c r="AM23" s="3" t="n">
        <v>3.5</v>
      </c>
      <c r="AN23" s="10" t="n">
        <v>9</v>
      </c>
      <c r="AO23" s="28" t="n">
        <v>6</v>
      </c>
      <c r="AP23" s="28" t="n"/>
      <c r="AQ23" s="3" t="n">
        <v>2.7</v>
      </c>
      <c r="AR23" s="10" t="n">
        <v>9</v>
      </c>
      <c r="AS23" s="20" t="n"/>
      <c r="AT23" s="28" t="n"/>
      <c r="AU23" s="3" t="n"/>
      <c r="AV23" s="10" t="n"/>
      <c r="AW23" s="20" t="n">
        <v>3</v>
      </c>
      <c r="AX23" s="28" t="n">
        <v>2.3</v>
      </c>
      <c r="AY23" s="3" t="n"/>
      <c r="AZ23" s="10" t="n">
        <v>9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961</v>
      </c>
      <c r="P24" s="88" t="inlineStr">
        <is>
          <t>БР/A2</t>
        </is>
      </c>
      <c r="Q24" s="88" t="inlineStr">
        <is>
          <t>3Е3Б</t>
        </is>
      </c>
      <c r="R24" s="37" t="n"/>
      <c r="S24" s="20" t="n">
        <v>0</v>
      </c>
      <c r="T24" s="3" t="n">
        <v>0</v>
      </c>
      <c r="U24" s="3" t="n">
        <v>0</v>
      </c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3</v>
      </c>
      <c r="AG24" s="2" t="n">
        <v>0</v>
      </c>
      <c r="AH24" s="2" t="n"/>
      <c r="AI24" s="3" t="n"/>
      <c r="AJ24" s="10" t="n">
        <v>9</v>
      </c>
      <c r="AK24" s="28" t="n">
        <v>24</v>
      </c>
      <c r="AL24" s="3" t="n"/>
      <c r="AM24" s="3" t="n">
        <v>2.5</v>
      </c>
      <c r="AN24" s="10" t="n">
        <v>7</v>
      </c>
      <c r="AO24" s="28" t="n">
        <v>1</v>
      </c>
      <c r="AP24" s="28" t="n"/>
      <c r="AQ24" s="3" t="n">
        <v>2.3</v>
      </c>
      <c r="AR24" s="10" t="n">
        <v>6</v>
      </c>
      <c r="AS24" s="20" t="n"/>
      <c r="AT24" s="28" t="n"/>
      <c r="AU24" s="3" t="n"/>
      <c r="AV24" s="10" t="n"/>
      <c r="AW24" s="20" t="n">
        <v>12</v>
      </c>
      <c r="AX24" s="28" t="n">
        <v>2.5</v>
      </c>
      <c r="AY24" s="3" t="n"/>
      <c r="AZ24" s="10" t="n">
        <v>7</v>
      </c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4</v>
      </c>
      <c r="BJ24" s="28" t="n"/>
      <c r="BK24" s="3" t="n">
        <v>1.2</v>
      </c>
      <c r="BL24" s="10" t="n">
        <v>5</v>
      </c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962</v>
      </c>
      <c r="P25" s="88" t="inlineStr">
        <is>
          <t>БР/A2</t>
        </is>
      </c>
      <c r="Q25" s="88" t="inlineStr">
        <is>
          <t>3Е</t>
        </is>
      </c>
      <c r="R25" s="37" t="n"/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3</v>
      </c>
      <c r="AG25" s="2" t="n">
        <v>3</v>
      </c>
      <c r="AH25" s="2" t="n"/>
      <c r="AI25" s="3" t="n">
        <v>2.5</v>
      </c>
      <c r="AJ25" s="10" t="n">
        <v>10</v>
      </c>
      <c r="AK25" s="28" t="n">
        <v>19</v>
      </c>
      <c r="AL25" s="3" t="n"/>
      <c r="AM25" s="3" t="n">
        <v>2.7</v>
      </c>
      <c r="AN25" s="10" t="n">
        <v>9</v>
      </c>
      <c r="AO25" s="28" t="n">
        <v>3</v>
      </c>
      <c r="AP25" s="28" t="n"/>
      <c r="AQ25" s="3" t="n">
        <v>2.1</v>
      </c>
      <c r="AR25" s="10" t="n">
        <v>7</v>
      </c>
      <c r="AS25" s="20" t="n"/>
      <c r="AT25" s="28" t="n"/>
      <c r="AU25" s="3" t="n"/>
      <c r="AV25" s="10" t="n"/>
      <c r="AW25" s="20" t="n">
        <v>0</v>
      </c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R25" sqref="R25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936</v>
      </c>
      <c r="P20" s="87" t="inlineStr">
        <is>
          <t>БР/А2</t>
        </is>
      </c>
      <c r="Q20" s="87" t="inlineStr">
        <is>
          <t>1Е2Б</t>
        </is>
      </c>
      <c r="R20" s="69" t="inlineStr">
        <is>
          <t>вол/пас</t>
        </is>
      </c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</v>
      </c>
      <c r="AH20" s="6" t="n"/>
      <c r="AI20" s="7" t="n">
        <v>1.9</v>
      </c>
      <c r="AJ20" s="8" t="n">
        <v>10</v>
      </c>
      <c r="AK20" s="40" t="n">
        <v>9</v>
      </c>
      <c r="AL20" s="7" t="n"/>
      <c r="AM20" s="7" t="n">
        <v>3.5</v>
      </c>
      <c r="AN20" s="8" t="n">
        <v>9</v>
      </c>
      <c r="AO20" s="40" t="n">
        <v>9</v>
      </c>
      <c r="AP20" s="27" t="n"/>
      <c r="AQ20" s="40" t="n">
        <v>4</v>
      </c>
      <c r="AR20" s="24" t="n">
        <v>10</v>
      </c>
      <c r="AS20" s="40" t="n">
        <v>3</v>
      </c>
      <c r="AT20" s="27" t="n"/>
      <c r="AU20" s="40" t="n">
        <v>1.8</v>
      </c>
      <c r="AV20" s="24" t="n">
        <v>9</v>
      </c>
      <c r="AW20" s="40" t="n">
        <v>4</v>
      </c>
      <c r="AX20" s="27" t="n"/>
      <c r="AY20" s="40" t="n">
        <v>0.7</v>
      </c>
      <c r="AZ20" s="24" t="n">
        <v>5</v>
      </c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4</v>
      </c>
      <c r="BJ20" s="27" t="n"/>
      <c r="BK20" s="40" t="n">
        <v>1.7</v>
      </c>
      <c r="BL20" s="24" t="n">
        <v>9</v>
      </c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937</v>
      </c>
      <c r="P21" s="88" t="inlineStr">
        <is>
          <t>БР/А2</t>
        </is>
      </c>
      <c r="Q21" s="88" t="inlineStr">
        <is>
          <t>2Е1Б</t>
        </is>
      </c>
      <c r="R21" s="37" t="inlineStr">
        <is>
          <t>вол/пас</t>
        </is>
      </c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0</v>
      </c>
      <c r="AG21" s="2" t="n">
        <v>2</v>
      </c>
      <c r="AH21" s="2" t="n"/>
      <c r="AI21" s="3" t="n">
        <v>0</v>
      </c>
      <c r="AJ21" s="10" t="n">
        <v>9</v>
      </c>
      <c r="AK21" s="28" t="n">
        <v>9</v>
      </c>
      <c r="AL21" s="3" t="n"/>
      <c r="AM21" s="3" t="n">
        <v>1.5</v>
      </c>
      <c r="AN21" s="10" t="n">
        <v>5</v>
      </c>
      <c r="AO21" s="28" t="n">
        <v>3</v>
      </c>
      <c r="AP21" s="28" t="n"/>
      <c r="AQ21" s="3" t="n">
        <v>3.5</v>
      </c>
      <c r="AR21" s="10" t="n">
        <v>9</v>
      </c>
      <c r="AS21" s="20" t="n">
        <v>0</v>
      </c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12</v>
      </c>
      <c r="BJ21" s="28" t="n"/>
      <c r="BK21" s="3" t="n">
        <v>1.5</v>
      </c>
      <c r="BL21" s="10" t="n">
        <v>7</v>
      </c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938</v>
      </c>
      <c r="P22" s="88" t="inlineStr">
        <is>
          <t>БР/А2</t>
        </is>
      </c>
      <c r="Q22" s="88" t="inlineStr">
        <is>
          <t>1Е3Б</t>
        </is>
      </c>
      <c r="R22" s="37" t="n"/>
      <c r="S22" s="20" t="n">
        <v>0</v>
      </c>
      <c r="T22" s="3" t="n">
        <v>0</v>
      </c>
      <c r="U22" s="3" t="n">
        <v>0</v>
      </c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1</v>
      </c>
      <c r="AG22" s="2" t="n">
        <v>0</v>
      </c>
      <c r="AH22" s="2" t="n"/>
      <c r="AI22" s="3" t="n">
        <v>0</v>
      </c>
      <c r="AJ22" s="10" t="n">
        <v>9</v>
      </c>
      <c r="AK22" s="28" t="n">
        <v>14</v>
      </c>
      <c r="AL22" s="3" t="n"/>
      <c r="AM22" s="3" t="n">
        <v>3.5</v>
      </c>
      <c r="AN22" s="10" t="n">
        <v>9</v>
      </c>
      <c r="AO22" s="28" t="n">
        <v>8</v>
      </c>
      <c r="AP22" s="28" t="n"/>
      <c r="AQ22" s="3" t="n">
        <v>3.7</v>
      </c>
      <c r="AR22" s="10" t="n">
        <v>10</v>
      </c>
      <c r="AS22" s="20" t="n">
        <v>0</v>
      </c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7</v>
      </c>
      <c r="BJ22" s="28" t="n"/>
      <c r="BK22" s="3" t="n">
        <v>2.5</v>
      </c>
      <c r="BL22" s="10" t="n">
        <v>9</v>
      </c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939</v>
      </c>
      <c r="P23" s="87" t="inlineStr">
        <is>
          <t>БР/А2</t>
        </is>
      </c>
      <c r="Q23" s="87" t="inlineStr">
        <is>
          <t>1Е</t>
        </is>
      </c>
      <c r="R23" s="37" t="inlineStr">
        <is>
          <t>вол/пас</t>
        </is>
      </c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0</v>
      </c>
      <c r="AG23" s="2" t="n">
        <v>1</v>
      </c>
      <c r="AH23" s="2" t="n"/>
      <c r="AI23" s="3" t="n">
        <v>1.7</v>
      </c>
      <c r="AJ23" s="10" t="n">
        <v>10</v>
      </c>
      <c r="AK23" s="28" t="n">
        <v>0</v>
      </c>
      <c r="AL23" s="3" t="n"/>
      <c r="AM23" s="3" t="n"/>
      <c r="AN23" s="10" t="n"/>
      <c r="AO23" s="28" t="n">
        <v>0</v>
      </c>
      <c r="AP23" s="28" t="n"/>
      <c r="AQ23" s="3" t="n">
        <v>0</v>
      </c>
      <c r="AR23" s="10" t="n"/>
      <c r="AS23" s="20" t="n">
        <v>0</v>
      </c>
      <c r="AT23" s="28" t="n"/>
      <c r="AU23" s="3" t="n"/>
      <c r="AV23" s="10" t="n"/>
      <c r="AW23" s="20" t="n">
        <v>8</v>
      </c>
      <c r="AX23" s="28" t="n"/>
      <c r="AY23" s="3" t="n">
        <v>1.1</v>
      </c>
      <c r="AZ23" s="10" t="n">
        <v>5</v>
      </c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12</v>
      </c>
      <c r="BJ23" s="28" t="n"/>
      <c r="BK23" s="3" t="n">
        <v>2.1</v>
      </c>
      <c r="BL23" s="10" t="n">
        <v>9</v>
      </c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940</v>
      </c>
      <c r="P24" s="88" t="inlineStr">
        <is>
          <t>БР/А2</t>
        </is>
      </c>
      <c r="Q24" s="88" t="inlineStr">
        <is>
          <t>2Е1Б</t>
        </is>
      </c>
      <c r="R24" s="37" t="inlineStr">
        <is>
          <t>вол/пас</t>
        </is>
      </c>
      <c r="S24" s="20" t="n">
        <v>0</v>
      </c>
      <c r="T24" s="3" t="n">
        <v>2</v>
      </c>
      <c r="U24" s="3" t="n">
        <v>0</v>
      </c>
      <c r="V24" s="3" t="n"/>
      <c r="W24" s="3" t="n">
        <v>2</v>
      </c>
      <c r="X24" s="10" t="n">
        <v>7</v>
      </c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2</v>
      </c>
      <c r="AG24" s="2" t="n">
        <v>2</v>
      </c>
      <c r="AH24" s="2" t="n"/>
      <c r="AI24" s="3" t="n">
        <v>1.8</v>
      </c>
      <c r="AJ24" s="10" t="n">
        <v>9</v>
      </c>
      <c r="AK24" s="28" t="n">
        <v>8</v>
      </c>
      <c r="AL24" s="3" t="n"/>
      <c r="AM24" s="3" t="n">
        <v>1.7</v>
      </c>
      <c r="AN24" s="10" t="n">
        <v>8</v>
      </c>
      <c r="AO24" s="28" t="n">
        <v>7</v>
      </c>
      <c r="AP24" s="28" t="n"/>
      <c r="AQ24" s="3" t="n">
        <v>1.2</v>
      </c>
      <c r="AR24" s="10" t="n">
        <v>5</v>
      </c>
      <c r="AS24" s="20" t="n">
        <v>0</v>
      </c>
      <c r="AT24" s="28" t="n"/>
      <c r="AU24" s="3" t="n"/>
      <c r="AV24" s="10" t="n"/>
      <c r="AW24" s="20" t="n">
        <v>3</v>
      </c>
      <c r="AX24" s="28" t="n"/>
      <c r="AY24" s="3" t="n">
        <v>1.2</v>
      </c>
      <c r="AZ24" s="10" t="n">
        <v>5</v>
      </c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3</v>
      </c>
      <c r="BJ24" s="28" t="n"/>
      <c r="BK24" s="3" t="n">
        <v>1.5</v>
      </c>
      <c r="BL24" s="10" t="n">
        <v>6</v>
      </c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941</v>
      </c>
      <c r="P25" s="88" t="inlineStr">
        <is>
          <t>БР/А2</t>
        </is>
      </c>
      <c r="Q25" s="88" t="inlineStr">
        <is>
          <t>3Е1Б</t>
        </is>
      </c>
      <c r="R25" s="37" t="inlineStr">
        <is>
          <t>пасека</t>
        </is>
      </c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1</v>
      </c>
      <c r="AF25" s="2" t="n">
        <v>1</v>
      </c>
      <c r="AG25" s="2" t="n">
        <v>1</v>
      </c>
      <c r="AH25" s="2" t="n"/>
      <c r="AI25" s="3" t="n">
        <v>1.8</v>
      </c>
      <c r="AJ25" s="10" t="n">
        <v>10</v>
      </c>
      <c r="AK25" s="28" t="n">
        <v>4</v>
      </c>
      <c r="AL25" s="3" t="n"/>
      <c r="AM25" s="3" t="n">
        <v>2.1</v>
      </c>
      <c r="AN25" s="10" t="n">
        <v>8</v>
      </c>
      <c r="AO25" s="28" t="n">
        <v>11</v>
      </c>
      <c r="AP25" s="28" t="n"/>
      <c r="AQ25" s="3" t="n">
        <v>3.7</v>
      </c>
      <c r="AR25" s="10" t="n">
        <v>10</v>
      </c>
      <c r="AS25" s="20" t="n">
        <v>0</v>
      </c>
      <c r="AT25" s="28" t="n"/>
      <c r="AU25" s="3" t="n"/>
      <c r="AV25" s="10" t="n"/>
      <c r="AW25" s="20" t="n">
        <v>0</v>
      </c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14</v>
      </c>
      <c r="BJ25" s="28" t="n"/>
      <c r="BK25" s="3" t="n">
        <v>2.5</v>
      </c>
      <c r="BL25" s="10" t="n">
        <v>9</v>
      </c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942</v>
      </c>
      <c r="P26" s="87" t="inlineStr">
        <is>
          <t>БР/А2</t>
        </is>
      </c>
      <c r="Q26" s="87" t="inlineStr">
        <is>
          <t>4Е</t>
        </is>
      </c>
      <c r="R26" s="37" t="n"/>
      <c r="S26" s="20" t="n">
        <v>0</v>
      </c>
      <c r="T26" s="3" t="n">
        <v>0</v>
      </c>
      <c r="U26" s="3" t="n">
        <v>0</v>
      </c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4</v>
      </c>
      <c r="AG26" s="2" t="n">
        <v>0</v>
      </c>
      <c r="AH26" s="2" t="n"/>
      <c r="AI26" s="3" t="n">
        <v>0</v>
      </c>
      <c r="AJ26" s="10" t="n">
        <v>10</v>
      </c>
      <c r="AK26" s="28" t="n">
        <v>0</v>
      </c>
      <c r="AL26" s="3" t="n"/>
      <c r="AM26" s="3" t="n"/>
      <c r="AN26" s="10" t="n"/>
      <c r="AO26" s="28" t="n">
        <v>0</v>
      </c>
      <c r="AP26" s="28" t="n"/>
      <c r="AQ26" s="3" t="n"/>
      <c r="AR26" s="10" t="n"/>
      <c r="AS26" s="20" t="n">
        <v>0</v>
      </c>
      <c r="AT26" s="28" t="n"/>
      <c r="AU26" s="3" t="n"/>
      <c r="AV26" s="10" t="n"/>
      <c r="AW26" s="20" t="n">
        <v>1</v>
      </c>
      <c r="AX26" s="28" t="n"/>
      <c r="AY26" s="3" t="n">
        <v>0.3</v>
      </c>
      <c r="AZ26" s="10" t="n">
        <v>2</v>
      </c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>
        <v>1</v>
      </c>
      <c r="BJ26" s="28" t="n"/>
      <c r="BK26" s="3" t="n">
        <v>1</v>
      </c>
      <c r="BL26" s="10" t="n">
        <v>5</v>
      </c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62" activePane="bottomRight" state="frozen"/>
      <selection pane="topRight" activeCell="Q1" sqref="Q1"/>
      <selection pane="bottomLeft" activeCell="A11" sqref="A11"/>
      <selection pane="bottomRight" activeCell="BL27" sqref="BL27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151</v>
      </c>
      <c r="W16" s="45" t="n"/>
      <c r="X16" s="45" t="inlineStr">
        <is>
          <t>Выд</t>
        </is>
      </c>
      <c r="Y16" s="45" t="n">
        <v>8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950</v>
      </c>
      <c r="P20" s="87" t="inlineStr">
        <is>
          <t>БР/А2</t>
        </is>
      </c>
      <c r="Q20" s="87" t="inlineStr">
        <is>
          <t>1Е2Б</t>
        </is>
      </c>
      <c r="R20" s="69" t="inlineStr">
        <is>
          <t>пасека</t>
        </is>
      </c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</v>
      </c>
      <c r="AG20" s="40" t="n">
        <v>1e-06</v>
      </c>
      <c r="AH20" s="6" t="n"/>
      <c r="AI20" s="7" t="n"/>
      <c r="AJ20" s="8" t="n">
        <v>8</v>
      </c>
      <c r="AK20" s="40" t="n">
        <v>24</v>
      </c>
      <c r="AL20" s="7" t="n"/>
      <c r="AM20" s="7" t="n">
        <v>1.5</v>
      </c>
      <c r="AN20" s="8" t="n">
        <v>6</v>
      </c>
      <c r="AO20" s="40" t="n">
        <v>4</v>
      </c>
      <c r="AP20" s="27" t="n"/>
      <c r="AQ20" s="40" t="n">
        <v>1.7</v>
      </c>
      <c r="AR20" s="24" t="n">
        <v>6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4</v>
      </c>
      <c r="BJ20" s="27" t="n"/>
      <c r="BK20" s="40" t="n">
        <v>0.9</v>
      </c>
      <c r="BL20" s="24" t="n">
        <v>4</v>
      </c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95</v>
      </c>
      <c r="P21" s="88" t="inlineStr">
        <is>
          <t>БР/А2</t>
        </is>
      </c>
      <c r="Q21" s="88" t="inlineStr">
        <is>
          <t>1Е1Б1Ос</t>
        </is>
      </c>
      <c r="R21" s="37" t="inlineStr">
        <is>
          <t>пасека</t>
        </is>
      </c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1</v>
      </c>
      <c r="AG21" s="2" t="n">
        <v>0</v>
      </c>
      <c r="AH21" s="2" t="n"/>
      <c r="AI21" s="3" t="n"/>
      <c r="AJ21" s="10" t="n">
        <v>8</v>
      </c>
      <c r="AK21" s="28" t="n">
        <v>1</v>
      </c>
      <c r="AL21" s="3" t="n"/>
      <c r="AM21" s="3" t="n">
        <v>1.8</v>
      </c>
      <c r="AN21" s="10" t="n">
        <v>8</v>
      </c>
      <c r="AO21" s="28" t="n">
        <v>10</v>
      </c>
      <c r="AP21" s="28" t="n"/>
      <c r="AQ21" s="3" t="n">
        <v>4.9</v>
      </c>
      <c r="AR21" s="10" t="n">
        <v>9</v>
      </c>
      <c r="AS21" s="20" t="n"/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952</v>
      </c>
      <c r="P22" s="88" t="inlineStr">
        <is>
          <t>БР/А2</t>
        </is>
      </c>
      <c r="Q22" s="88" t="inlineStr">
        <is>
          <t>1Е2Б</t>
        </is>
      </c>
      <c r="R22" s="37" t="inlineStr">
        <is>
          <t>вол/пас</t>
        </is>
      </c>
      <c r="S22" s="20" t="n">
        <v>0</v>
      </c>
      <c r="T22" s="3" t="n">
        <v>0</v>
      </c>
      <c r="U22" s="3" t="n">
        <v>0</v>
      </c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1</v>
      </c>
      <c r="AG22" s="2" t="n">
        <v>0</v>
      </c>
      <c r="AH22" s="2" t="n"/>
      <c r="AI22" s="3" t="n"/>
      <c r="AJ22" s="10" t="n">
        <v>8</v>
      </c>
      <c r="AK22" s="28" t="n">
        <v>4</v>
      </c>
      <c r="AL22" s="3" t="n"/>
      <c r="AM22" s="3" t="n">
        <v>1</v>
      </c>
      <c r="AN22" s="10" t="n">
        <v>4</v>
      </c>
      <c r="AO22" s="28" t="n">
        <v>5</v>
      </c>
      <c r="AP22" s="28" t="n"/>
      <c r="AQ22" s="3" t="n">
        <v>2</v>
      </c>
      <c r="AR22" s="10" t="n">
        <v>8</v>
      </c>
      <c r="AS22" s="20" t="n"/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953</v>
      </c>
      <c r="P23" s="87" t="inlineStr">
        <is>
          <t>БР/А2</t>
        </is>
      </c>
      <c r="Q23" s="87" t="inlineStr">
        <is>
          <t>2Е1Б</t>
        </is>
      </c>
      <c r="R23" s="37" t="inlineStr">
        <is>
          <t>вол/пас</t>
        </is>
      </c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2</v>
      </c>
      <c r="AG23" s="2" t="n">
        <v>0</v>
      </c>
      <c r="AH23" s="2" t="n"/>
      <c r="AI23" s="3" t="n"/>
      <c r="AJ23" s="10" t="n">
        <v>8</v>
      </c>
      <c r="AK23" s="28" t="n">
        <v>6</v>
      </c>
      <c r="AL23" s="3" t="n"/>
      <c r="AM23" s="3" t="n">
        <v>2.5</v>
      </c>
      <c r="AN23" s="10" t="n">
        <v>7</v>
      </c>
      <c r="AO23" s="28" t="n">
        <v>9</v>
      </c>
      <c r="AP23" s="28" t="n"/>
      <c r="AQ23" s="3" t="n">
        <v>2</v>
      </c>
      <c r="AR23" s="10" t="n">
        <v>7</v>
      </c>
      <c r="AS23" s="20" t="n"/>
      <c r="AT23" s="28" t="n"/>
      <c r="AU23" s="3" t="n"/>
      <c r="AV23" s="10" t="n"/>
      <c r="AW23" s="20" t="n">
        <v>0</v>
      </c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5</v>
      </c>
      <c r="BJ23" s="28" t="n"/>
      <c r="BK23" s="3" t="n">
        <v>0.6</v>
      </c>
      <c r="BL23" s="10" t="n">
        <v>3</v>
      </c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954</v>
      </c>
      <c r="P24" s="88" t="inlineStr">
        <is>
          <t>БР/А2</t>
        </is>
      </c>
      <c r="Q24" s="88" t="inlineStr">
        <is>
          <t>1Е2Б</t>
        </is>
      </c>
      <c r="R24" s="37" t="n"/>
      <c r="S24" s="20" t="n">
        <v>0</v>
      </c>
      <c r="T24" s="3" t="n">
        <v>0</v>
      </c>
      <c r="U24" s="3" t="n">
        <v>1</v>
      </c>
      <c r="V24" s="3" t="n"/>
      <c r="W24" s="3" t="n">
        <v>1.8</v>
      </c>
      <c r="X24" s="10" t="n">
        <v>7</v>
      </c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2</v>
      </c>
      <c r="AG24" s="2" t="n">
        <v>0</v>
      </c>
      <c r="AH24" s="2" t="n"/>
      <c r="AI24" s="3" t="n"/>
      <c r="AJ24" s="10" t="n">
        <v>7</v>
      </c>
      <c r="AK24" s="28" t="n">
        <v>5</v>
      </c>
      <c r="AL24" s="3" t="n"/>
      <c r="AM24" s="3" t="n">
        <v>2.7</v>
      </c>
      <c r="AN24" s="10" t="n">
        <v>8</v>
      </c>
      <c r="AO24" s="28" t="n">
        <v>2</v>
      </c>
      <c r="AP24" s="28" t="n"/>
      <c r="AQ24" s="3" t="n">
        <v>1.6</v>
      </c>
      <c r="AR24" s="10" t="n">
        <v>7</v>
      </c>
      <c r="AS24" s="20" t="n"/>
      <c r="AT24" s="28" t="n"/>
      <c r="AU24" s="3" t="n"/>
      <c r="AV24" s="10" t="n"/>
      <c r="AW24" s="20" t="n">
        <v>0</v>
      </c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0</v>
      </c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955</v>
      </c>
      <c r="P25" s="88" t="inlineStr">
        <is>
          <t>БР/А2</t>
        </is>
      </c>
      <c r="Q25" s="88" t="inlineStr">
        <is>
          <t>3Б</t>
        </is>
      </c>
      <c r="R25" s="37" t="inlineStr">
        <is>
          <t>волок</t>
        </is>
      </c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6</v>
      </c>
      <c r="AL25" s="3" t="n"/>
      <c r="AM25" s="3" t="n">
        <v>2.7</v>
      </c>
      <c r="AN25" s="10" t="n">
        <v>8</v>
      </c>
      <c r="AO25" s="28" t="n">
        <v>0</v>
      </c>
      <c r="AP25" s="28" t="n"/>
      <c r="AQ25" s="3" t="n"/>
      <c r="AR25" s="10" t="n"/>
      <c r="AS25" s="20" t="n"/>
      <c r="AT25" s="28" t="n"/>
      <c r="AU25" s="3" t="n"/>
      <c r="AV25" s="10" t="n"/>
      <c r="AW25" s="20" t="n">
        <v>10</v>
      </c>
      <c r="AX25" s="28" t="n"/>
      <c r="AY25" s="3" t="n">
        <v>2.7</v>
      </c>
      <c r="AZ25" s="10" t="n">
        <v>8</v>
      </c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2</v>
      </c>
      <c r="BJ25" s="28" t="n"/>
      <c r="BK25" s="3" t="n">
        <v>1.2</v>
      </c>
      <c r="BL25" s="10" t="n">
        <v>4</v>
      </c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956</v>
      </c>
      <c r="P26" s="87" t="inlineStr">
        <is>
          <t>БР/А2</t>
        </is>
      </c>
      <c r="Q26" s="87" t="inlineStr">
        <is>
          <t>1Е2Б</t>
        </is>
      </c>
      <c r="R26" s="37" t="inlineStr">
        <is>
          <t>пасека</t>
        </is>
      </c>
      <c r="S26" s="20" t="n">
        <v>0</v>
      </c>
      <c r="T26" s="3" t="n">
        <v>0</v>
      </c>
      <c r="U26" s="3" t="n">
        <v>0</v>
      </c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0</v>
      </c>
      <c r="AG26" s="2" t="n">
        <v>1</v>
      </c>
      <c r="AH26" s="2" t="n"/>
      <c r="AI26" s="3" t="n">
        <v>1.6</v>
      </c>
      <c r="AJ26" s="10" t="n">
        <v>8</v>
      </c>
      <c r="AK26" s="28" t="n">
        <v>4</v>
      </c>
      <c r="AL26" s="3" t="n"/>
      <c r="AM26" s="3" t="n">
        <v>3.1</v>
      </c>
      <c r="AN26" s="10" t="n">
        <v>8</v>
      </c>
      <c r="AO26" s="28" t="n">
        <v>13</v>
      </c>
      <c r="AP26" s="28" t="n"/>
      <c r="AQ26" s="3" t="n">
        <v>3.7</v>
      </c>
      <c r="AR26" s="10" t="n">
        <v>8</v>
      </c>
      <c r="AS26" s="20" t="n"/>
      <c r="AT26" s="28" t="n"/>
      <c r="AU26" s="3" t="n"/>
      <c r="AV26" s="10" t="n"/>
      <c r="AW26" s="20" t="n">
        <v>1</v>
      </c>
      <c r="AX26" s="28" t="n"/>
      <c r="AY26" s="3" t="n">
        <v>2</v>
      </c>
      <c r="AZ26" s="10" t="n">
        <v>6</v>
      </c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>
        <v>0</v>
      </c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BL77"/>
  <sheetViews>
    <sheetView tabSelected="1"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AA34" sqref="AA34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A20" t="inlineStr">
        <is>
          <t>1</t>
        </is>
      </c>
      <c r="B20" s="62" t="inlineStr">
        <is>
          <t>685</t>
        </is>
      </c>
      <c r="C20" t="inlineStr">
        <is>
          <t>3Е1Б</t>
        </is>
      </c>
      <c r="D20" t="inlineStr">
        <is>
          <t>{"do_05": 1.0, "05_15": 2.0, "bolee_15": 1.0, "height": 5.0, "age": 5}</t>
        </is>
      </c>
      <c r="E20" t="inlineStr">
        <is>
          <t>Почвенная прикопка</t>
        </is>
      </c>
      <c r="F20" t="inlineStr">
        <is>
          <t>Брусничник</t>
        </is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926</v>
      </c>
      <c r="P20" s="87" t="inlineStr">
        <is>
          <t>БР/А2</t>
        </is>
      </c>
      <c r="Q20" s="87" t="n"/>
      <c r="R20" s="69" t="n"/>
      <c r="S20" s="40" t="n">
        <v>1e-06</v>
      </c>
      <c r="T20" s="40" t="n">
        <v>1e-06</v>
      </c>
      <c r="U20" s="40" t="n">
        <v>1</v>
      </c>
      <c r="V20" s="40" t="n"/>
      <c r="W20" s="40" t="n">
        <v>1.6</v>
      </c>
      <c r="X20" s="24" t="n">
        <v>7</v>
      </c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4</v>
      </c>
      <c r="AF20" s="40" t="n">
        <v>1e-06</v>
      </c>
      <c r="AG20" s="40" t="n">
        <v>1e-06</v>
      </c>
      <c r="AH20" s="6" t="n"/>
      <c r="AI20" s="7" t="n"/>
      <c r="AJ20" s="8" t="n">
        <v>7</v>
      </c>
      <c r="AK20" s="40" t="n">
        <v>28</v>
      </c>
      <c r="AL20" s="7" t="n"/>
      <c r="AM20" s="7" t="n">
        <v>2.3</v>
      </c>
      <c r="AN20" s="8" t="n">
        <v>8</v>
      </c>
      <c r="AO20" s="40" t="n">
        <v>1e-06</v>
      </c>
      <c r="AP20" s="27" t="n"/>
      <c r="AQ20" s="40" t="n"/>
      <c r="AR20" s="24" t="n"/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A21" t="inlineStr">
        <is>
          <t>2</t>
        </is>
      </c>
      <c r="B21" s="62" t="inlineStr">
        <is>
          <t>686</t>
        </is>
      </c>
      <c r="C21" t="inlineStr">
        <is>
          <t>4Е1Б</t>
        </is>
      </c>
      <c r="D21" t="inlineStr">
        <is>
          <t>{"density": 10, "height": 5.0, "age": 10}</t>
        </is>
      </c>
      <c r="E21" t="inlineStr"/>
      <c r="F21" t="inlineStr"/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927</v>
      </c>
      <c r="P21" s="88" t="inlineStr">
        <is>
          <t>БР/А2</t>
        </is>
      </c>
      <c r="Q21" s="88" t="n"/>
      <c r="R21" s="37" t="n"/>
      <c r="S21" s="20" t="n">
        <v>0</v>
      </c>
      <c r="T21" s="3" t="n"/>
      <c r="U21" s="3" t="n">
        <v>0</v>
      </c>
      <c r="V21" s="3" t="n"/>
      <c r="W21" s="3" t="n"/>
      <c r="X21" s="10" t="n"/>
      <c r="Y21" s="17" t="n">
        <v>0</v>
      </c>
      <c r="Z21" s="2" t="n">
        <v>0</v>
      </c>
      <c r="AA21" s="2" t="n">
        <v>0</v>
      </c>
      <c r="AB21" s="2" t="n"/>
      <c r="AC21" s="3" t="n"/>
      <c r="AD21" s="37" t="n"/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32</v>
      </c>
      <c r="AL21" s="3" t="n"/>
      <c r="AM21" s="3" t="n">
        <v>2.5</v>
      </c>
      <c r="AN21" s="10" t="n">
        <v>7</v>
      </c>
      <c r="AO21" s="28" t="n">
        <v>0</v>
      </c>
      <c r="AP21" s="28" t="n"/>
      <c r="AQ21" s="3" t="n"/>
      <c r="AR21" s="10" t="n"/>
      <c r="AS21" s="20" t="n"/>
      <c r="AT21" s="28" t="n"/>
      <c r="AU21" s="3" t="n"/>
      <c r="AV21" s="10" t="n"/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A22" t="inlineStr">
        <is>
          <t>3</t>
        </is>
      </c>
      <c r="B22" s="62" t="inlineStr">
        <is>
          <t>687</t>
        </is>
      </c>
      <c r="C22" t="inlineStr">
        <is>
          <t>3С1Е</t>
        </is>
      </c>
      <c r="D22" t="inlineStr"/>
      <c r="E22" t="inlineStr"/>
      <c r="F22" t="inlineStr"/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928</v>
      </c>
      <c r="P22" s="88" t="inlineStr">
        <is>
          <t>БР/А2</t>
        </is>
      </c>
      <c r="Q22" s="88" t="n"/>
      <c r="R22" s="37" t="n"/>
      <c r="S22" s="20" t="n">
        <v>0</v>
      </c>
      <c r="T22" s="3" t="n"/>
      <c r="U22" s="3" t="n">
        <v>0</v>
      </c>
      <c r="V22" s="3" t="n"/>
      <c r="W22" s="3" t="n"/>
      <c r="X22" s="10" t="n"/>
      <c r="Y22" s="17" t="n">
        <v>0</v>
      </c>
      <c r="Z22" s="2" t="n">
        <v>0</v>
      </c>
      <c r="AA22" s="2" t="n">
        <v>0</v>
      </c>
      <c r="AB22" s="2" t="n"/>
      <c r="AC22" s="3" t="n"/>
      <c r="AD22" s="37" t="n"/>
      <c r="AE22" s="9" t="n">
        <v>0</v>
      </c>
      <c r="AF22" s="2" t="n">
        <v>1</v>
      </c>
      <c r="AG22" s="2" t="n">
        <v>0</v>
      </c>
      <c r="AH22" s="2" t="n"/>
      <c r="AI22" s="3" t="n"/>
      <c r="AJ22" s="10" t="n"/>
      <c r="AK22" s="28" t="n">
        <v>1</v>
      </c>
      <c r="AL22" s="3" t="n"/>
      <c r="AM22" s="3" t="n">
        <v>2.7</v>
      </c>
      <c r="AN22" s="10" t="n">
        <v>7</v>
      </c>
      <c r="AO22" s="28" t="n">
        <v>0</v>
      </c>
      <c r="AP22" s="28" t="n"/>
      <c r="AQ22" s="3" t="n"/>
      <c r="AR22" s="10" t="n"/>
      <c r="AS22" s="20" t="n"/>
      <c r="AT22" s="28" t="n"/>
      <c r="AU22" s="3" t="n"/>
      <c r="AV22" s="10" t="n"/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4</v>
      </c>
      <c r="BJ22" s="28" t="n"/>
      <c r="BK22" s="3" t="n">
        <v>1</v>
      </c>
      <c r="BL22" s="10" t="n">
        <v>7</v>
      </c>
    </row>
    <row r="23">
      <c r="A23" t="inlineStr">
        <is>
          <t>4</t>
        </is>
      </c>
      <c r="B23" s="62" t="inlineStr">
        <is>
          <t>688</t>
        </is>
      </c>
      <c r="C23" t="inlineStr">
        <is>
          <t>2С1Б</t>
        </is>
      </c>
      <c r="D23" t="inlineStr"/>
      <c r="E23" t="inlineStr"/>
      <c r="F23" t="inlineStr"/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929</v>
      </c>
      <c r="P23" s="87" t="inlineStr">
        <is>
          <t>БР/А2</t>
        </is>
      </c>
      <c r="Q23" s="87" t="n"/>
      <c r="R23" s="37" t="n"/>
      <c r="S23" s="20" t="n">
        <v>0</v>
      </c>
      <c r="T23" s="3" t="n">
        <v>5</v>
      </c>
      <c r="U23" s="3" t="n">
        <v>1</v>
      </c>
      <c r="V23" s="3" t="n"/>
      <c r="W23" s="3" t="n">
        <v>2</v>
      </c>
      <c r="X23" s="10" t="n">
        <v>8</v>
      </c>
      <c r="Y23" s="17" t="n">
        <v>0</v>
      </c>
      <c r="Z23" s="2" t="n">
        <v>0</v>
      </c>
      <c r="AA23" s="2" t="n">
        <v>0</v>
      </c>
      <c r="AB23" s="2" t="n"/>
      <c r="AC23" s="3" t="n"/>
      <c r="AD23" s="37" t="n"/>
      <c r="AE23" s="9" t="n">
        <v>0</v>
      </c>
      <c r="AF23" s="2" t="n">
        <v>2</v>
      </c>
      <c r="AG23" s="2" t="n">
        <v>0</v>
      </c>
      <c r="AH23" s="2" t="n"/>
      <c r="AI23" s="3" t="n"/>
      <c r="AJ23" s="10" t="n">
        <v>8</v>
      </c>
      <c r="AK23" s="28" t="n">
        <v>8</v>
      </c>
      <c r="AL23" s="3" t="n"/>
      <c r="AM23" s="3" t="n">
        <v>1.7</v>
      </c>
      <c r="AN23" s="10" t="n">
        <v>7</v>
      </c>
      <c r="AO23" s="28" t="n">
        <v>0</v>
      </c>
      <c r="AP23" s="28" t="n"/>
      <c r="AQ23" s="3" t="n"/>
      <c r="AR23" s="10" t="n"/>
      <c r="AS23" s="20" t="n"/>
      <c r="AT23" s="28" t="n"/>
      <c r="AU23" s="3" t="n"/>
      <c r="AV23" s="10" t="n"/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A24" t="inlineStr">
        <is>
          <t>5</t>
        </is>
      </c>
      <c r="B24" s="62" t="inlineStr">
        <is>
          <t>689</t>
        </is>
      </c>
      <c r="C24" t="inlineStr">
        <is>
          <t>2ОС1Б</t>
        </is>
      </c>
      <c r="D24" t="inlineStr"/>
      <c r="E24" t="inlineStr"/>
      <c r="F24" t="inlineStr"/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930</v>
      </c>
      <c r="P24" s="88" t="inlineStr">
        <is>
          <t>БР/А2</t>
        </is>
      </c>
      <c r="Q24" s="88" t="n"/>
      <c r="R24" s="37" t="n"/>
      <c r="S24" s="20" t="n">
        <v>0</v>
      </c>
      <c r="T24" s="3" t="n"/>
      <c r="U24" s="3" t="n">
        <v>0</v>
      </c>
      <c r="V24" s="3" t="n"/>
      <c r="W24" s="3" t="n"/>
      <c r="X24" s="10" t="n"/>
      <c r="Y24" s="17" t="n">
        <v>0</v>
      </c>
      <c r="Z24" s="2" t="n">
        <v>0</v>
      </c>
      <c r="AA24" s="2" t="n">
        <v>0</v>
      </c>
      <c r="AB24" s="2" t="n"/>
      <c r="AC24" s="3" t="n"/>
      <c r="AD24" s="37" t="n"/>
      <c r="AE24" s="9" t="n">
        <v>2</v>
      </c>
      <c r="AF24" s="2" t="n">
        <v>3</v>
      </c>
      <c r="AG24" s="2" t="n">
        <v>0</v>
      </c>
      <c r="AH24" s="2" t="n"/>
      <c r="AI24" s="3" t="n"/>
      <c r="AJ24" s="10" t="n">
        <v>8</v>
      </c>
      <c r="AK24" s="28" t="n">
        <v>7</v>
      </c>
      <c r="AL24" s="3" t="n"/>
      <c r="AM24" s="3" t="n">
        <v>2.1</v>
      </c>
      <c r="AN24" s="10" t="n">
        <v>7</v>
      </c>
      <c r="AO24" s="28" t="n">
        <v>0</v>
      </c>
      <c r="AP24" s="28" t="n"/>
      <c r="AQ24" s="3" t="n"/>
      <c r="AR24" s="10" t="n"/>
      <c r="AS24" s="20" t="n"/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0</v>
      </c>
      <c r="BJ24" s="28" t="n"/>
      <c r="BK24" s="3" t="n"/>
      <c r="BL24" s="10" t="n"/>
    </row>
    <row r="25">
      <c r="A25" t="inlineStr">
        <is>
          <t>6</t>
        </is>
      </c>
      <c r="B25" s="62" t="inlineStr">
        <is>
          <t>690</t>
        </is>
      </c>
      <c r="C25" t="inlineStr">
        <is>
          <t>2Б1ОС</t>
        </is>
      </c>
      <c r="D25" t="inlineStr"/>
      <c r="E25" t="inlineStr"/>
      <c r="F25" t="inlineStr"/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931</v>
      </c>
      <c r="P25" s="88" t="inlineStr">
        <is>
          <t>БР/А2</t>
        </is>
      </c>
      <c r="Q25" s="88" t="n"/>
      <c r="R25" s="37" t="n"/>
      <c r="S25" s="20" t="n">
        <v>0</v>
      </c>
      <c r="T25" s="3" t="n"/>
      <c r="U25" s="3" t="n">
        <v>0</v>
      </c>
      <c r="V25" s="3" t="n"/>
      <c r="W25" s="3" t="n"/>
      <c r="X25" s="10" t="n"/>
      <c r="Y25" s="17" t="n">
        <v>0</v>
      </c>
      <c r="Z25" s="2" t="n">
        <v>0</v>
      </c>
      <c r="AA25" s="2" t="n">
        <v>0</v>
      </c>
      <c r="AB25" s="2" t="n"/>
      <c r="AC25" s="3" t="n"/>
      <c r="AD25" s="37" t="n"/>
      <c r="AE25" s="9" t="n">
        <v>0</v>
      </c>
      <c r="AF25" s="2" t="n">
        <v>4</v>
      </c>
      <c r="AG25" s="2" t="n">
        <v>4</v>
      </c>
      <c r="AH25" s="2" t="n"/>
      <c r="AI25" s="3" t="n">
        <v>1.8</v>
      </c>
      <c r="AJ25" s="10" t="n">
        <v>8</v>
      </c>
      <c r="AK25" s="28" t="n">
        <v>4</v>
      </c>
      <c r="AL25" s="3" t="n"/>
      <c r="AM25" s="3" t="n">
        <v>1.5</v>
      </c>
      <c r="AN25" s="10" t="n">
        <v>7</v>
      </c>
      <c r="AO25" s="28" t="n">
        <v>7</v>
      </c>
      <c r="AP25" s="28" t="n"/>
      <c r="AQ25" s="3" t="n">
        <v>1.9</v>
      </c>
      <c r="AR25" s="10" t="n">
        <v>7</v>
      </c>
      <c r="AS25" s="20" t="n"/>
      <c r="AT25" s="28" t="n"/>
      <c r="AU25" s="3" t="n"/>
      <c r="AV25" s="10" t="n"/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1</v>
      </c>
      <c r="BJ25" s="28" t="n"/>
      <c r="BK25" s="3" t="n">
        <v>1.5</v>
      </c>
      <c r="BL25" s="10" t="n">
        <v>7</v>
      </c>
    </row>
    <row r="26">
      <c r="A26" t="inlineStr">
        <is>
          <t>7</t>
        </is>
      </c>
      <c r="B26" s="62" t="inlineStr"/>
      <c r="C26" t="inlineStr"/>
      <c r="D26" t="inlineStr"/>
      <c r="E26" t="inlineStr"/>
      <c r="F26" t="inlineStr"/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A27" t="inlineStr">
        <is>
          <t>8</t>
        </is>
      </c>
      <c r="B27" s="62" t="inlineStr"/>
      <c r="C27" t="inlineStr"/>
      <c r="D27" t="inlineStr"/>
      <c r="E27" t="inlineStr"/>
      <c r="F27" t="inlineStr"/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A28" t="inlineStr">
        <is>
          <t>9</t>
        </is>
      </c>
      <c r="B28" s="62" t="inlineStr"/>
      <c r="C28" t="inlineStr"/>
      <c r="D28" t="inlineStr"/>
      <c r="E28" t="inlineStr"/>
      <c r="F28" t="inlineStr"/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A29" t="inlineStr">
        <is>
          <t>10</t>
        </is>
      </c>
      <c r="B29" s="62" t="inlineStr"/>
      <c r="C29" t="inlineStr"/>
      <c r="D29" t="inlineStr"/>
      <c r="E29" t="inlineStr"/>
      <c r="F29" t="inlineStr"/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A30" t="inlineStr">
        <is>
          <t>11</t>
        </is>
      </c>
      <c r="B30" s="62" t="inlineStr"/>
      <c r="C30" t="inlineStr"/>
      <c r="D30" t="inlineStr"/>
      <c r="E30" t="inlineStr"/>
      <c r="F30" t="inlineStr"/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A31" t="inlineStr">
        <is>
          <t>12</t>
        </is>
      </c>
      <c r="B31" s="62" t="inlineStr"/>
      <c r="C31" t="inlineStr"/>
      <c r="D31" t="inlineStr"/>
      <c r="E31" t="inlineStr"/>
      <c r="F31" t="inlineStr"/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A32" t="inlineStr">
        <is>
          <t>13</t>
        </is>
      </c>
      <c r="B32" s="62" t="inlineStr"/>
      <c r="C32" t="inlineStr"/>
      <c r="D32" t="inlineStr"/>
      <c r="E32" t="inlineStr"/>
      <c r="F32" t="inlineStr"/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A33" t="inlineStr">
        <is>
          <t>14</t>
        </is>
      </c>
      <c r="B33" s="62" t="inlineStr"/>
      <c r="C33" t="inlineStr"/>
      <c r="D33" t="inlineStr"/>
      <c r="E33" t="inlineStr"/>
      <c r="F33" t="inlineStr"/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A34" t="inlineStr">
        <is>
          <t>15</t>
        </is>
      </c>
      <c r="B34" s="62" t="inlineStr"/>
      <c r="C34" t="inlineStr"/>
      <c r="D34" t="inlineStr"/>
      <c r="E34" t="inlineStr"/>
      <c r="F34" t="inlineStr"/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A35" t="inlineStr">
        <is>
          <t>16</t>
        </is>
      </c>
      <c r="B35" s="62" t="inlineStr"/>
      <c r="C35" t="inlineStr"/>
      <c r="D35" t="inlineStr"/>
      <c r="E35" t="inlineStr"/>
      <c r="F35" t="inlineStr"/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A36" t="inlineStr">
        <is>
          <t>17</t>
        </is>
      </c>
      <c r="B36" s="62" t="inlineStr"/>
      <c r="C36" t="inlineStr"/>
      <c r="D36" t="inlineStr"/>
      <c r="E36" t="inlineStr"/>
      <c r="F36" t="inlineStr"/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A37" t="inlineStr">
        <is>
          <t>18</t>
        </is>
      </c>
      <c r="B37" s="62" t="inlineStr"/>
      <c r="C37" t="inlineStr"/>
      <c r="D37" t="inlineStr"/>
      <c r="E37" t="inlineStr"/>
      <c r="F37" t="inlineStr"/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A38" t="inlineStr">
        <is>
          <t>19</t>
        </is>
      </c>
      <c r="B38" s="62" t="inlineStr"/>
      <c r="C38" t="inlineStr"/>
      <c r="D38" t="inlineStr"/>
      <c r="E38" t="inlineStr"/>
      <c r="F38" t="inlineStr"/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A39" t="inlineStr">
        <is>
          <t>20</t>
        </is>
      </c>
      <c r="B39" s="62" t="inlineStr"/>
      <c r="C39" t="inlineStr"/>
      <c r="D39" t="inlineStr"/>
      <c r="E39" t="inlineStr"/>
      <c r="F39" t="inlineStr"/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A40" t="inlineStr">
        <is>
          <t>21</t>
        </is>
      </c>
      <c r="B40" s="62" t="inlineStr"/>
      <c r="C40" t="inlineStr"/>
      <c r="D40" t="inlineStr"/>
      <c r="E40" t="inlineStr"/>
      <c r="F40" t="inlineStr"/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A41" t="inlineStr">
        <is>
          <t>22</t>
        </is>
      </c>
      <c r="B41" s="62" t="inlineStr"/>
      <c r="C41" t="inlineStr"/>
      <c r="D41" t="inlineStr"/>
      <c r="E41" t="inlineStr"/>
      <c r="F41" t="inlineStr"/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A42" t="inlineStr">
        <is>
          <t>23</t>
        </is>
      </c>
      <c r="B42" s="62" t="inlineStr"/>
      <c r="C42" t="inlineStr"/>
      <c r="D42" t="inlineStr"/>
      <c r="E42" t="inlineStr"/>
      <c r="F42" t="inlineStr"/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A43" t="inlineStr">
        <is>
          <t>24</t>
        </is>
      </c>
      <c r="B43" s="62" t="inlineStr"/>
      <c r="C43" t="inlineStr"/>
      <c r="D43" t="inlineStr"/>
      <c r="E43" t="inlineStr"/>
      <c r="F43" t="inlineStr"/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A44" t="inlineStr">
        <is>
          <t>25</t>
        </is>
      </c>
      <c r="B44" s="62" t="inlineStr"/>
      <c r="C44" t="inlineStr"/>
      <c r="D44" t="inlineStr"/>
      <c r="E44" t="inlineStr"/>
      <c r="F44" t="inlineStr"/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A45" t="inlineStr">
        <is>
          <t>26</t>
        </is>
      </c>
      <c r="B45" s="62" t="inlineStr"/>
      <c r="C45" t="inlineStr"/>
      <c r="D45" t="inlineStr"/>
      <c r="E45" t="inlineStr"/>
      <c r="F45" t="inlineStr"/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A46" t="inlineStr">
        <is>
          <t>27</t>
        </is>
      </c>
      <c r="B46" s="62" t="inlineStr"/>
      <c r="C46" t="inlineStr"/>
      <c r="D46" t="inlineStr"/>
      <c r="E46" t="inlineStr"/>
      <c r="F46" t="inlineStr"/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A47" t="inlineStr">
        <is>
          <t>28</t>
        </is>
      </c>
      <c r="B47" s="62" t="inlineStr"/>
      <c r="C47" t="inlineStr"/>
      <c r="D47" t="inlineStr"/>
      <c r="E47" t="inlineStr"/>
      <c r="F47" t="inlineStr"/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A48" t="inlineStr">
        <is>
          <t>29</t>
        </is>
      </c>
      <c r="B48" s="62" t="inlineStr"/>
      <c r="C48" t="inlineStr"/>
      <c r="D48" t="inlineStr"/>
      <c r="E48" t="inlineStr"/>
      <c r="F48" t="inlineStr"/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A49" t="inlineStr">
        <is>
          <t>30</t>
        </is>
      </c>
      <c r="B49" s="62" t="inlineStr"/>
      <c r="C49" t="inlineStr"/>
      <c r="D49" t="inlineStr"/>
      <c r="E49" t="inlineStr"/>
      <c r="F49" t="inlineStr"/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O20" sqref="O20:BL31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914</v>
      </c>
      <c r="P20" s="87" t="inlineStr">
        <is>
          <t>БР/А2</t>
        </is>
      </c>
      <c r="Q20" s="87" t="inlineStr">
        <is>
          <t>3Е</t>
        </is>
      </c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2</v>
      </c>
      <c r="AF20" s="40" t="n">
        <v>4</v>
      </c>
      <c r="AG20" s="40" t="n">
        <v>7</v>
      </c>
      <c r="AH20" s="6" t="n"/>
      <c r="AI20" s="7" t="n">
        <v>2.3</v>
      </c>
      <c r="AJ20" s="8" t="n">
        <v>9</v>
      </c>
      <c r="AK20" s="40" t="n">
        <v>11</v>
      </c>
      <c r="AL20" s="7" t="n"/>
      <c r="AM20" s="7" t="n">
        <v>1.1</v>
      </c>
      <c r="AN20" s="8" t="n">
        <v>6</v>
      </c>
      <c r="AO20" s="40" t="n">
        <v>6</v>
      </c>
      <c r="AP20" s="27" t="n"/>
      <c r="AQ20" s="40" t="n">
        <v>1</v>
      </c>
      <c r="AR20" s="24" t="n">
        <v>6</v>
      </c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915</v>
      </c>
      <c r="P21" s="88" t="inlineStr">
        <is>
          <t>БР/А2</t>
        </is>
      </c>
      <c r="Q21" s="88" t="inlineStr">
        <is>
          <t>1Е2Б</t>
        </is>
      </c>
      <c r="R21" s="37" t="n"/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>
        <v>0</v>
      </c>
      <c r="AF21" s="2" t="n">
        <v>1</v>
      </c>
      <c r="AG21" s="2" t="n">
        <v>0</v>
      </c>
      <c r="AH21" s="2" t="n"/>
      <c r="AI21" s="3" t="n"/>
      <c r="AJ21" s="10" t="n">
        <v>9</v>
      </c>
      <c r="AK21" s="28" t="n">
        <v>19</v>
      </c>
      <c r="AL21" s="3" t="n"/>
      <c r="AM21" s="3" t="n">
        <v>3.5</v>
      </c>
      <c r="AN21" s="10" t="n">
        <v>8</v>
      </c>
      <c r="AO21" s="28" t="n">
        <v>4</v>
      </c>
      <c r="AP21" s="28" t="n"/>
      <c r="AQ21" s="3" t="n">
        <v>2.1</v>
      </c>
      <c r="AR21" s="10" t="n">
        <v>8</v>
      </c>
      <c r="AS21" s="20" t="n"/>
      <c r="AT21" s="28" t="n"/>
      <c r="AU21" s="3" t="n"/>
      <c r="AV21" s="10" t="n"/>
      <c r="AW21" s="20" t="n">
        <v>6</v>
      </c>
      <c r="AX21" s="28" t="n"/>
      <c r="AY21" s="3" t="n">
        <v>1.5</v>
      </c>
      <c r="AZ21" s="10" t="n">
        <v>8</v>
      </c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>
        <v>9</v>
      </c>
      <c r="BJ21" s="28" t="n">
        <v>1.2</v>
      </c>
      <c r="BK21" s="3" t="n"/>
      <c r="BL21" s="10" t="n">
        <v>8</v>
      </c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916</v>
      </c>
      <c r="P22" s="88" t="inlineStr">
        <is>
          <t>БР/А2</t>
        </is>
      </c>
      <c r="Q22" s="88" t="inlineStr">
        <is>
          <t>3Ос</t>
        </is>
      </c>
      <c r="R22" s="37" t="n"/>
      <c r="S22" s="20" t="n">
        <v>0</v>
      </c>
      <c r="T22" s="3" t="n">
        <v>0</v>
      </c>
      <c r="U22" s="3" t="n">
        <v>0</v>
      </c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>
        <v>0</v>
      </c>
      <c r="AF22" s="2" t="n">
        <v>1</v>
      </c>
      <c r="AG22" s="2" t="n">
        <v>0</v>
      </c>
      <c r="AH22" s="2" t="n"/>
      <c r="AI22" s="3" t="n"/>
      <c r="AJ22" s="10" t="n">
        <v>9</v>
      </c>
      <c r="AK22" s="28" t="n">
        <v>0</v>
      </c>
      <c r="AL22" s="3" t="n"/>
      <c r="AM22" s="3" t="n"/>
      <c r="AN22" s="10" t="n"/>
      <c r="AO22" s="28" t="n">
        <v>6</v>
      </c>
      <c r="AP22" s="28" t="n"/>
      <c r="AQ22" s="3" t="n">
        <v>3.5</v>
      </c>
      <c r="AR22" s="10" t="n">
        <v>8</v>
      </c>
      <c r="AS22" s="20" t="n"/>
      <c r="AT22" s="28" t="n"/>
      <c r="AU22" s="3" t="n"/>
      <c r="AV22" s="10" t="n"/>
      <c r="AW22" s="20" t="n">
        <v>5</v>
      </c>
      <c r="AX22" s="28" t="n"/>
      <c r="AY22" s="3" t="n">
        <v>1.5</v>
      </c>
      <c r="AZ22" s="10" t="n">
        <v>8</v>
      </c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>
        <v>3</v>
      </c>
      <c r="BJ22" s="28" t="n">
        <v>1</v>
      </c>
      <c r="BK22" s="3" t="n"/>
      <c r="BL22" s="10" t="n">
        <v>8</v>
      </c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917</v>
      </c>
      <c r="P23" s="87" t="inlineStr">
        <is>
          <t>БР/А2</t>
        </is>
      </c>
      <c r="Q23" s="87" t="inlineStr">
        <is>
          <t>3Е</t>
        </is>
      </c>
      <c r="R23" s="37" t="n"/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>
        <v>0</v>
      </c>
      <c r="AF23" s="2" t="n">
        <v>5</v>
      </c>
      <c r="AG23" s="2" t="n">
        <v>6</v>
      </c>
      <c r="AH23" s="2" t="n"/>
      <c r="AI23" s="3" t="n">
        <v>3.5</v>
      </c>
      <c r="AJ23" s="10" t="n">
        <v>10</v>
      </c>
      <c r="AK23" s="28" t="n">
        <v>3</v>
      </c>
      <c r="AL23" s="3" t="n"/>
      <c r="AM23" s="3" t="n">
        <v>2.3</v>
      </c>
      <c r="AN23" s="10" t="n">
        <v>8</v>
      </c>
      <c r="AO23" s="28" t="n">
        <v>10</v>
      </c>
      <c r="AP23" s="28" t="n"/>
      <c r="AQ23" s="3" t="n">
        <v>3.7</v>
      </c>
      <c r="AR23" s="10" t="n">
        <v>9</v>
      </c>
      <c r="AS23" s="20" t="n"/>
      <c r="AT23" s="28" t="n"/>
      <c r="AU23" s="3" t="n"/>
      <c r="AV23" s="10" t="n"/>
      <c r="AW23" s="20" t="n">
        <v>0</v>
      </c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918</v>
      </c>
      <c r="P24" s="88" t="inlineStr">
        <is>
          <t>БР/А2</t>
        </is>
      </c>
      <c r="Q24" s="88" t="inlineStr">
        <is>
          <t>3Б</t>
        </is>
      </c>
      <c r="R24" s="37" t="n"/>
      <c r="S24" s="20" t="n">
        <v>0</v>
      </c>
      <c r="T24" s="3" t="n">
        <v>0</v>
      </c>
      <c r="U24" s="3" t="n">
        <v>0</v>
      </c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>
        <v>0</v>
      </c>
      <c r="AF24" s="2" t="n">
        <v>1</v>
      </c>
      <c r="AG24" s="2" t="n">
        <v>0</v>
      </c>
      <c r="AH24" s="2" t="n"/>
      <c r="AI24" s="3" t="n"/>
      <c r="AJ24" s="10" t="n">
        <v>7</v>
      </c>
      <c r="AK24" s="28" t="n">
        <v>12</v>
      </c>
      <c r="AL24" s="3" t="n"/>
      <c r="AM24" s="3" t="n">
        <v>4.5</v>
      </c>
      <c r="AN24" s="10" t="n">
        <v>8</v>
      </c>
      <c r="AO24" s="28" t="n">
        <v>1</v>
      </c>
      <c r="AP24" s="28" t="n"/>
      <c r="AQ24" s="3" t="n">
        <v>1.5</v>
      </c>
      <c r="AR24" s="10" t="n">
        <v>7</v>
      </c>
      <c r="AS24" s="20" t="n"/>
      <c r="AT24" s="28" t="n"/>
      <c r="AU24" s="3" t="n"/>
      <c r="AV24" s="10" t="n"/>
      <c r="AW24" s="20" t="n">
        <v>12</v>
      </c>
      <c r="AX24" s="28" t="n"/>
      <c r="AY24" s="3" t="n">
        <v>1.2</v>
      </c>
      <c r="AZ24" s="10" t="n">
        <v>7</v>
      </c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>
        <v>1</v>
      </c>
      <c r="BJ24" s="28" t="n">
        <v>2</v>
      </c>
      <c r="BK24" s="3" t="n"/>
      <c r="BL24" s="10" t="n">
        <v>7</v>
      </c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919</v>
      </c>
      <c r="P25" s="88" t="inlineStr">
        <is>
          <t>БР/А2</t>
        </is>
      </c>
      <c r="Q25" s="88" t="inlineStr">
        <is>
          <t>3Е</t>
        </is>
      </c>
      <c r="R25" s="37" t="n"/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>
        <v>1</v>
      </c>
      <c r="AF25" s="2" t="n">
        <v>1</v>
      </c>
      <c r="AG25" s="2" t="n">
        <v>2</v>
      </c>
      <c r="AH25" s="2" t="n"/>
      <c r="AI25" s="3" t="n">
        <v>3</v>
      </c>
      <c r="AJ25" s="10" t="n">
        <v>9</v>
      </c>
      <c r="AK25" s="28" t="n">
        <v>34</v>
      </c>
      <c r="AL25" s="3" t="n"/>
      <c r="AM25" s="3" t="n">
        <v>1.6</v>
      </c>
      <c r="AN25" s="10" t="n">
        <v>6</v>
      </c>
      <c r="AO25" s="28" t="n">
        <v>2</v>
      </c>
      <c r="AP25" s="28" t="n"/>
      <c r="AQ25" s="3" t="n">
        <v>3</v>
      </c>
      <c r="AR25" s="10" t="n">
        <v>8</v>
      </c>
      <c r="AS25" s="20" t="n"/>
      <c r="AT25" s="28" t="n"/>
      <c r="AU25" s="3" t="n"/>
      <c r="AV25" s="10" t="n"/>
      <c r="AW25" s="20" t="n">
        <v>4</v>
      </c>
      <c r="AX25" s="28" t="n"/>
      <c r="AY25" s="3" t="n">
        <v>1.2</v>
      </c>
      <c r="AZ25" s="10" t="n">
        <v>7</v>
      </c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>
        <v>10</v>
      </c>
      <c r="BJ25" s="28" t="n">
        <v>1.7</v>
      </c>
      <c r="BK25" s="3" t="n"/>
      <c r="BL25" s="10" t="n">
        <v>7</v>
      </c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>
        <v>920</v>
      </c>
      <c r="P26" s="87" t="inlineStr">
        <is>
          <t>БР/А2</t>
        </is>
      </c>
      <c r="Q26" s="87" t="inlineStr">
        <is>
          <t>3Б</t>
        </is>
      </c>
      <c r="R26" s="37" t="n"/>
      <c r="S26" s="20" t="n">
        <v>0</v>
      </c>
      <c r="T26" s="3" t="n">
        <v>0</v>
      </c>
      <c r="U26" s="3" t="n">
        <v>0</v>
      </c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>
        <v>0</v>
      </c>
      <c r="AF26" s="2" t="n">
        <v>1</v>
      </c>
      <c r="AG26" s="2" t="n">
        <v>0</v>
      </c>
      <c r="AH26" s="2" t="n"/>
      <c r="AI26" s="3" t="n"/>
      <c r="AJ26" s="10" t="n">
        <v>8</v>
      </c>
      <c r="AK26" s="28" t="n">
        <v>12</v>
      </c>
      <c r="AL26" s="3" t="n"/>
      <c r="AM26" s="3" t="n">
        <v>2.5</v>
      </c>
      <c r="AN26" s="10" t="n">
        <v>7</v>
      </c>
      <c r="AO26" s="28" t="n">
        <v>0</v>
      </c>
      <c r="AP26" s="28" t="n"/>
      <c r="AQ26" s="3" t="n"/>
      <c r="AR26" s="10" t="n"/>
      <c r="AS26" s="20" t="n"/>
      <c r="AT26" s="28" t="n"/>
      <c r="AU26" s="3" t="n"/>
      <c r="AV26" s="10" t="n"/>
      <c r="AW26" s="20" t="n">
        <v>1</v>
      </c>
      <c r="AX26" s="28" t="n"/>
      <c r="AY26" s="3" t="n">
        <v>1.7</v>
      </c>
      <c r="AZ26" s="10" t="n">
        <v>8</v>
      </c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>
        <v>2</v>
      </c>
      <c r="BJ26" s="28" t="n">
        <v>1.7</v>
      </c>
      <c r="BK26" s="3" t="n"/>
      <c r="BL26" s="10" t="n">
        <v>8</v>
      </c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921</v>
      </c>
      <c r="P27" s="88" t="inlineStr">
        <is>
          <t>БР/А2</t>
        </is>
      </c>
      <c r="Q27" s="88" t="inlineStr">
        <is>
          <t>3Е</t>
        </is>
      </c>
      <c r="R27" s="37" t="n"/>
      <c r="S27" s="20" t="n">
        <v>0</v>
      </c>
      <c r="T27" s="3" t="n">
        <v>0</v>
      </c>
      <c r="U27" s="3" t="n">
        <v>0</v>
      </c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>
        <v>2</v>
      </c>
      <c r="AF27" s="2" t="n">
        <v>2</v>
      </c>
      <c r="AG27" s="2" t="n">
        <v>1</v>
      </c>
      <c r="AH27" s="2" t="n"/>
      <c r="AI27" s="3" t="n">
        <v>2.3</v>
      </c>
      <c r="AJ27" s="10" t="n">
        <v>9</v>
      </c>
      <c r="AK27" s="28" t="n">
        <v>1</v>
      </c>
      <c r="AL27" s="3" t="n"/>
      <c r="AM27" s="3" t="n">
        <v>3</v>
      </c>
      <c r="AN27" s="10" t="n">
        <v>9</v>
      </c>
      <c r="AO27" s="28" t="n">
        <v>0</v>
      </c>
      <c r="AP27" s="28" t="n"/>
      <c r="AQ27" s="3" t="n"/>
      <c r="AR27" s="10" t="n"/>
      <c r="AS27" s="20" t="n"/>
      <c r="AT27" s="28" t="n"/>
      <c r="AU27" s="3" t="n"/>
      <c r="AV27" s="10" t="n"/>
      <c r="AW27" s="20" t="n">
        <v>7</v>
      </c>
      <c r="AX27" s="28" t="n"/>
      <c r="AY27" s="3" t="n">
        <v>1.5</v>
      </c>
      <c r="AZ27" s="10" t="n">
        <v>8</v>
      </c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>
        <v>4</v>
      </c>
      <c r="BJ27" s="28" t="n">
        <v>1.2</v>
      </c>
      <c r="BK27" s="3" t="n"/>
      <c r="BL27" s="10" t="n">
        <v>8</v>
      </c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922</v>
      </c>
      <c r="P28" s="88" t="inlineStr">
        <is>
          <t>БР/А2</t>
        </is>
      </c>
      <c r="Q28" s="88" t="inlineStr">
        <is>
          <t>3Е</t>
        </is>
      </c>
      <c r="R28" s="37" t="n"/>
      <c r="S28" s="20" t="n">
        <v>0</v>
      </c>
      <c r="T28" s="3" t="n">
        <v>0</v>
      </c>
      <c r="U28" s="3" t="n">
        <v>0</v>
      </c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>
        <v>2</v>
      </c>
      <c r="AF28" s="2" t="n">
        <v>2</v>
      </c>
      <c r="AG28" s="2" t="n">
        <v>0</v>
      </c>
      <c r="AH28" s="2" t="n"/>
      <c r="AI28" s="3" t="n"/>
      <c r="AJ28" s="10" t="n">
        <v>8</v>
      </c>
      <c r="AK28" s="28" t="n">
        <v>7</v>
      </c>
      <c r="AL28" s="3" t="n"/>
      <c r="AM28" s="3" t="n">
        <v>1.2</v>
      </c>
      <c r="AN28" s="10" t="n">
        <v>7</v>
      </c>
      <c r="AO28" s="28" t="n">
        <v>0</v>
      </c>
      <c r="AP28" s="28" t="n"/>
      <c r="AQ28" s="3" t="n"/>
      <c r="AR28" s="10" t="n"/>
      <c r="AS28" s="20" t="n"/>
      <c r="AT28" s="28" t="n"/>
      <c r="AU28" s="3" t="n"/>
      <c r="AV28" s="10" t="n"/>
      <c r="AW28" s="20" t="n">
        <v>11</v>
      </c>
      <c r="AX28" s="28" t="n"/>
      <c r="AY28" s="3" t="n">
        <v>1</v>
      </c>
      <c r="AZ28" s="10" t="n">
        <v>7</v>
      </c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>
        <v>3</v>
      </c>
      <c r="BJ28" s="28" t="n">
        <v>1</v>
      </c>
      <c r="BK28" s="3" t="n"/>
      <c r="BL28" s="10" t="n">
        <v>7</v>
      </c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>
        <v>923</v>
      </c>
      <c r="P29" s="87" t="inlineStr">
        <is>
          <t>БР/А2</t>
        </is>
      </c>
      <c r="Q29" s="87" t="inlineStr">
        <is>
          <t>3Е</t>
        </is>
      </c>
      <c r="R29" s="37" t="n"/>
      <c r="S29" s="20" t="n">
        <v>0</v>
      </c>
      <c r="T29" s="3" t="n">
        <v>0</v>
      </c>
      <c r="U29" s="3" t="n">
        <v>0</v>
      </c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>
        <v>1</v>
      </c>
      <c r="AF29" s="2" t="n">
        <v>1</v>
      </c>
      <c r="AG29" s="2" t="n">
        <v>1</v>
      </c>
      <c r="AH29" s="2" t="n"/>
      <c r="AI29" s="3" t="n">
        <v>1.7</v>
      </c>
      <c r="AJ29" s="10" t="n">
        <v>8</v>
      </c>
      <c r="AK29" s="28" t="n">
        <v>7</v>
      </c>
      <c r="AL29" s="3" t="n"/>
      <c r="AM29" s="3" t="n">
        <v>1.1</v>
      </c>
      <c r="AN29" s="10" t="n">
        <v>6</v>
      </c>
      <c r="AO29" s="28" t="n">
        <v>0</v>
      </c>
      <c r="AP29" s="28" t="n"/>
      <c r="AQ29" s="3" t="n"/>
      <c r="AR29" s="10" t="n"/>
      <c r="AS29" s="20" t="n"/>
      <c r="AT29" s="28" t="n"/>
      <c r="AU29" s="3" t="n"/>
      <c r="AV29" s="10" t="n"/>
      <c r="AW29" s="20" t="n">
        <v>10</v>
      </c>
      <c r="AX29" s="28" t="n"/>
      <c r="AY29" s="3" t="n">
        <v>1</v>
      </c>
      <c r="AZ29" s="10" t="n">
        <v>7</v>
      </c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>
        <v>4</v>
      </c>
      <c r="BJ29" s="28" t="n">
        <v>1.5</v>
      </c>
      <c r="BK29" s="3" t="n"/>
      <c r="BL29" s="10" t="n">
        <v>7</v>
      </c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>
        <v>924</v>
      </c>
      <c r="P30" s="88" t="inlineStr">
        <is>
          <t>БР/А2</t>
        </is>
      </c>
      <c r="Q30" s="88" t="inlineStr">
        <is>
          <t>3Б</t>
        </is>
      </c>
      <c r="R30" s="37" t="n"/>
      <c r="S30" s="20" t="n">
        <v>0</v>
      </c>
      <c r="T30" s="3" t="n">
        <v>0</v>
      </c>
      <c r="U30" s="3" t="n">
        <v>0</v>
      </c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>
        <v>0</v>
      </c>
      <c r="AF30" s="2" t="n">
        <v>1</v>
      </c>
      <c r="AG30" s="2" t="n">
        <v>1.5</v>
      </c>
      <c r="AH30" s="2" t="n"/>
      <c r="AI30" s="3" t="n">
        <v>3.5</v>
      </c>
      <c r="AJ30" s="10" t="n">
        <v>10</v>
      </c>
      <c r="AK30" s="28" t="n">
        <v>6</v>
      </c>
      <c r="AL30" s="3" t="n"/>
      <c r="AM30" s="3" t="n">
        <v>4.5</v>
      </c>
      <c r="AN30" s="10" t="n">
        <v>9</v>
      </c>
      <c r="AO30" s="28" t="n">
        <v>0</v>
      </c>
      <c r="AP30" s="28" t="n"/>
      <c r="AQ30" s="3" t="n"/>
      <c r="AR30" s="10" t="n"/>
      <c r="AS30" s="20" t="n"/>
      <c r="AT30" s="28" t="n"/>
      <c r="AU30" s="3" t="n"/>
      <c r="AV30" s="10" t="n"/>
      <c r="AW30" s="20" t="n">
        <v>4</v>
      </c>
      <c r="AX30" s="28" t="n"/>
      <c r="AY30" s="3" t="n">
        <v>1</v>
      </c>
      <c r="AZ30" s="10" t="n">
        <v>7</v>
      </c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>
        <v>35</v>
      </c>
      <c r="BJ30" s="28" t="n">
        <v>2.3</v>
      </c>
      <c r="BK30" s="3" t="n"/>
      <c r="BL30" s="10" t="n">
        <v>7</v>
      </c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>
        <v>925</v>
      </c>
      <c r="P31" s="88" t="inlineStr">
        <is>
          <t>БР/А2</t>
        </is>
      </c>
      <c r="Q31" s="88" t="inlineStr">
        <is>
          <t>3Е</t>
        </is>
      </c>
      <c r="R31" s="37" t="n"/>
      <c r="S31" s="20" t="n">
        <v>0</v>
      </c>
      <c r="T31" s="3" t="n">
        <v>0</v>
      </c>
      <c r="U31" s="3" t="n">
        <v>0</v>
      </c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>
        <v>0</v>
      </c>
      <c r="AF31" s="2" t="n">
        <v>3</v>
      </c>
      <c r="AG31" s="2" t="n">
        <v>0</v>
      </c>
      <c r="AH31" s="2" t="n"/>
      <c r="AI31" s="3" t="n"/>
      <c r="AJ31" s="10" t="n">
        <v>8</v>
      </c>
      <c r="AK31" s="28" t="n">
        <v>0</v>
      </c>
      <c r="AL31" s="3" t="n"/>
      <c r="AM31" s="3" t="n"/>
      <c r="AN31" s="10" t="n"/>
      <c r="AO31" s="28" t="n">
        <v>9</v>
      </c>
      <c r="AP31" s="28" t="n"/>
      <c r="AQ31" s="3" t="n">
        <v>2.5</v>
      </c>
      <c r="AR31" s="10" t="n">
        <v>8</v>
      </c>
      <c r="AS31" s="20" t="n"/>
      <c r="AT31" s="28" t="n"/>
      <c r="AU31" s="3" t="n"/>
      <c r="AV31" s="10" t="n"/>
      <c r="AW31" s="20" t="n">
        <v>0</v>
      </c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>
        <v>0</v>
      </c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0" zoomScaleNormal="8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X36" sqref="X36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.7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/>
      <c r="W16" s="45" t="n"/>
      <c r="X16" s="45" t="inlineStr">
        <is>
          <t>Выд</t>
        </is>
      </c>
      <c r="Y16" s="45" t="n"/>
      <c r="Z16" s="45" t="inlineStr">
        <is>
          <t>делянка</t>
        </is>
      </c>
      <c r="AA16" s="45" t="n"/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.7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 ht="15" customHeight="1" s="141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/>
      <c r="P20" s="87" t="n"/>
      <c r="Q20" s="87" t="n"/>
      <c r="R20" s="69" t="n"/>
      <c r="S20" s="40" t="n">
        <v>1e-06</v>
      </c>
      <c r="T20" s="40" t="n">
        <v>1e-06</v>
      </c>
      <c r="U20" s="40" t="n">
        <v>1e-06</v>
      </c>
      <c r="V20" s="40" t="n"/>
      <c r="W20" s="40" t="n"/>
      <c r="X20" s="24" t="n"/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1e-06</v>
      </c>
      <c r="AL20" s="7" t="n"/>
      <c r="AM20" s="7" t="n"/>
      <c r="AN20" s="8" t="n"/>
      <c r="AO20" s="40" t="n">
        <v>1e-06</v>
      </c>
      <c r="AP20" s="27" t="n"/>
      <c r="AQ20" s="40" t="n"/>
      <c r="AR20" s="24" t="n"/>
      <c r="AS20" s="40" t="n">
        <v>1e-06</v>
      </c>
      <c r="AT20" s="27" t="n"/>
      <c r="AU20" s="40" t="n"/>
      <c r="AV20" s="24" t="n"/>
      <c r="AW20" s="40" t="n">
        <v>1e-06</v>
      </c>
      <c r="AX20" s="27" t="n"/>
      <c r="AY20" s="40" t="n"/>
      <c r="AZ20" s="24" t="n"/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 ht="15" customHeight="1" s="14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/>
      <c r="P21" s="88" t="n"/>
      <c r="Q21" s="88" t="n"/>
      <c r="R21" s="37" t="n"/>
      <c r="S21" s="20" t="n"/>
      <c r="T21" s="3" t="n"/>
      <c r="U21" s="3" t="n"/>
      <c r="V21" s="3" t="n"/>
      <c r="W21" s="3" t="n"/>
      <c r="X21" s="10" t="n"/>
      <c r="Y21" s="17" t="n"/>
      <c r="Z21" s="2" t="n"/>
      <c r="AA21" s="2" t="n"/>
      <c r="AB21" s="2" t="n"/>
      <c r="AC21" s="3" t="n"/>
      <c r="AD21" s="37" t="n"/>
      <c r="AE21" s="9" t="n"/>
      <c r="AF21" s="2" t="n"/>
      <c r="AG21" s="2" t="n"/>
      <c r="AH21" s="2" t="n"/>
      <c r="AI21" s="3" t="n"/>
      <c r="AJ21" s="10" t="n"/>
      <c r="AK21" s="28" t="n"/>
      <c r="AL21" s="3" t="n"/>
      <c r="AM21" s="3" t="n"/>
      <c r="AN21" s="10" t="n"/>
      <c r="AO21" s="28" t="n"/>
      <c r="AP21" s="28" t="n"/>
      <c r="AQ21" s="3" t="n"/>
      <c r="AR21" s="10" t="n"/>
      <c r="AS21" s="20" t="n"/>
      <c r="AT21" s="28" t="n"/>
      <c r="AU21" s="3" t="n"/>
      <c r="AV21" s="10" t="n"/>
      <c r="AW21" s="20" t="n"/>
      <c r="AX21" s="28" t="n"/>
      <c r="AY21" s="3" t="n"/>
      <c r="AZ21" s="10" t="n"/>
      <c r="BA21" s="20" t="n"/>
      <c r="BB21" s="28" t="n"/>
      <c r="BC21" s="3" t="n"/>
      <c r="BD21" s="10" t="n"/>
      <c r="BE21" s="23" t="n"/>
      <c r="BF21" s="28" t="n"/>
      <c r="BG21" s="3" t="n"/>
      <c r="BH21" s="10" t="n"/>
      <c r="BI21" s="23" t="n"/>
      <c r="BJ21" s="28" t="n"/>
      <c r="BK21" s="3" t="n"/>
      <c r="BL21" s="10" t="n"/>
    </row>
    <row r="22" ht="15" customHeight="1" s="141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/>
      <c r="P22" s="88" t="n"/>
      <c r="Q22" s="88" t="n"/>
      <c r="R22" s="37" t="n"/>
      <c r="S22" s="20" t="n"/>
      <c r="T22" s="3" t="n"/>
      <c r="U22" s="3" t="n"/>
      <c r="V22" s="3" t="n"/>
      <c r="W22" s="3" t="n"/>
      <c r="X22" s="10" t="n"/>
      <c r="Y22" s="17" t="n"/>
      <c r="Z22" s="2" t="n"/>
      <c r="AA22" s="2" t="n"/>
      <c r="AB22" s="2" t="n"/>
      <c r="AC22" s="3" t="n"/>
      <c r="AD22" s="37" t="n"/>
      <c r="AE22" s="9" t="n"/>
      <c r="AF22" s="2" t="n"/>
      <c r="AG22" s="2" t="n"/>
      <c r="AH22" s="2" t="n"/>
      <c r="AI22" s="3" t="n"/>
      <c r="AJ22" s="10" t="n"/>
      <c r="AK22" s="28" t="n"/>
      <c r="AL22" s="3" t="n"/>
      <c r="AM22" s="3" t="n"/>
      <c r="AN22" s="10" t="n"/>
      <c r="AO22" s="28" t="n"/>
      <c r="AP22" s="28" t="n"/>
      <c r="AQ22" s="3" t="n"/>
      <c r="AR22" s="10" t="n"/>
      <c r="AS22" s="20" t="n"/>
      <c r="AT22" s="28" t="n"/>
      <c r="AU22" s="3" t="n"/>
      <c r="AV22" s="10" t="n"/>
      <c r="AW22" s="20" t="n"/>
      <c r="AX22" s="28" t="n"/>
      <c r="AY22" s="3" t="n"/>
      <c r="AZ22" s="10" t="n"/>
      <c r="BA22" s="20" t="n"/>
      <c r="BB22" s="28" t="n"/>
      <c r="BC22" s="3" t="n"/>
      <c r="BD22" s="10" t="n"/>
      <c r="BE22" s="23" t="n"/>
      <c r="BF22" s="28" t="n"/>
      <c r="BG22" s="3" t="n"/>
      <c r="BH22" s="10" t="n"/>
      <c r="BI22" s="23" t="n"/>
      <c r="BJ22" s="28" t="n"/>
      <c r="BK22" s="3" t="n"/>
      <c r="BL22" s="10" t="n"/>
    </row>
    <row r="23" ht="15" customHeight="1" s="141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/>
      <c r="P23" s="87" t="n"/>
      <c r="Q23" s="87" t="n"/>
      <c r="R23" s="37" t="n"/>
      <c r="S23" s="20" t="n"/>
      <c r="T23" s="3" t="n"/>
      <c r="U23" s="3" t="n"/>
      <c r="V23" s="3" t="n"/>
      <c r="W23" s="3" t="n"/>
      <c r="X23" s="10" t="n"/>
      <c r="Y23" s="17" t="n"/>
      <c r="Z23" s="2" t="n"/>
      <c r="AA23" s="2" t="n"/>
      <c r="AB23" s="2" t="n"/>
      <c r="AC23" s="3" t="n"/>
      <c r="AD23" s="37" t="n"/>
      <c r="AE23" s="9" t="n"/>
      <c r="AF23" s="2" t="n"/>
      <c r="AG23" s="2" t="n"/>
      <c r="AH23" s="2" t="n"/>
      <c r="AI23" s="3" t="n"/>
      <c r="AJ23" s="10" t="n"/>
      <c r="AK23" s="28" t="n"/>
      <c r="AL23" s="3" t="n"/>
      <c r="AM23" s="3" t="n"/>
      <c r="AN23" s="10" t="n"/>
      <c r="AO23" s="28" t="n"/>
      <c r="AP23" s="28" t="n"/>
      <c r="AQ23" s="3" t="n"/>
      <c r="AR23" s="10" t="n"/>
      <c r="AS23" s="20" t="n"/>
      <c r="AT23" s="28" t="n"/>
      <c r="AU23" s="3" t="n"/>
      <c r="AV23" s="10" t="n"/>
      <c r="AW23" s="20" t="n"/>
      <c r="AX23" s="28" t="n"/>
      <c r="AY23" s="3" t="n"/>
      <c r="AZ23" s="10" t="n"/>
      <c r="BA23" s="20" t="n"/>
      <c r="BB23" s="28" t="n"/>
      <c r="BC23" s="3" t="n"/>
      <c r="BD23" s="10" t="n"/>
      <c r="BE23" s="23" t="n"/>
      <c r="BF23" s="28" t="n"/>
      <c r="BG23" s="3" t="n"/>
      <c r="BH23" s="10" t="n"/>
      <c r="BI23" s="23" t="n"/>
      <c r="BJ23" s="28" t="n"/>
      <c r="BK23" s="3" t="n"/>
      <c r="BL23" s="10" t="n"/>
    </row>
    <row r="24" ht="15" customHeight="1" s="141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/>
      <c r="P24" s="88" t="n"/>
      <c r="Q24" s="88" t="n"/>
      <c r="R24" s="37" t="n"/>
      <c r="S24" s="20" t="n"/>
      <c r="T24" s="3" t="n"/>
      <c r="U24" s="3" t="n"/>
      <c r="V24" s="3" t="n"/>
      <c r="W24" s="3" t="n"/>
      <c r="X24" s="10" t="n"/>
      <c r="Y24" s="17" t="n"/>
      <c r="Z24" s="2" t="n"/>
      <c r="AA24" s="2" t="n"/>
      <c r="AB24" s="2" t="n"/>
      <c r="AC24" s="3" t="n"/>
      <c r="AD24" s="37" t="n"/>
      <c r="AE24" s="9" t="n"/>
      <c r="AF24" s="2" t="n"/>
      <c r="AG24" s="2" t="n"/>
      <c r="AH24" s="2" t="n"/>
      <c r="AI24" s="3" t="n"/>
      <c r="AJ24" s="10" t="n"/>
      <c r="AK24" s="28" t="n"/>
      <c r="AL24" s="3" t="n"/>
      <c r="AM24" s="3" t="n"/>
      <c r="AN24" s="10" t="n"/>
      <c r="AO24" s="28" t="n"/>
      <c r="AP24" s="28" t="n"/>
      <c r="AQ24" s="3" t="n"/>
      <c r="AR24" s="10" t="n"/>
      <c r="AS24" s="20" t="n"/>
      <c r="AT24" s="28" t="n"/>
      <c r="AU24" s="3" t="n"/>
      <c r="AV24" s="10" t="n"/>
      <c r="AW24" s="20" t="n"/>
      <c r="AX24" s="28" t="n"/>
      <c r="AY24" s="3" t="n"/>
      <c r="AZ24" s="10" t="n"/>
      <c r="BA24" s="20" t="n"/>
      <c r="BB24" s="28" t="n"/>
      <c r="BC24" s="3" t="n"/>
      <c r="BD24" s="10" t="n"/>
      <c r="BE24" s="23" t="n"/>
      <c r="BF24" s="28" t="n"/>
      <c r="BG24" s="3" t="n"/>
      <c r="BH24" s="10" t="n"/>
      <c r="BI24" s="20" t="n"/>
      <c r="BJ24" s="28" t="n"/>
      <c r="BK24" s="3" t="n"/>
      <c r="BL24" s="10" t="n"/>
    </row>
    <row r="25" ht="15" customHeight="1" s="141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/>
      <c r="P25" s="88" t="n"/>
      <c r="Q25" s="88" t="n"/>
      <c r="R25" s="37" t="n"/>
      <c r="S25" s="20" t="n"/>
      <c r="T25" s="3" t="n"/>
      <c r="U25" s="3" t="n"/>
      <c r="V25" s="3" t="n"/>
      <c r="W25" s="3" t="n"/>
      <c r="X25" s="10" t="n"/>
      <c r="Y25" s="17" t="n"/>
      <c r="Z25" s="2" t="n"/>
      <c r="AA25" s="2" t="n"/>
      <c r="AB25" s="2" t="n"/>
      <c r="AC25" s="3" t="n"/>
      <c r="AD25" s="37" t="n"/>
      <c r="AE25" s="9" t="n"/>
      <c r="AF25" s="2" t="n"/>
      <c r="AG25" s="2" t="n"/>
      <c r="AH25" s="2" t="n"/>
      <c r="AI25" s="3" t="n"/>
      <c r="AJ25" s="10" t="n"/>
      <c r="AK25" s="28" t="n"/>
      <c r="AL25" s="3" t="n"/>
      <c r="AM25" s="3" t="n"/>
      <c r="AN25" s="10" t="n"/>
      <c r="AO25" s="28" t="n"/>
      <c r="AP25" s="28" t="n"/>
      <c r="AQ25" s="3" t="n"/>
      <c r="AR25" s="10" t="n"/>
      <c r="AS25" s="20" t="n"/>
      <c r="AT25" s="28" t="n"/>
      <c r="AU25" s="3" t="n"/>
      <c r="AV25" s="10" t="n"/>
      <c r="AW25" s="20" t="n"/>
      <c r="AX25" s="28" t="n"/>
      <c r="AY25" s="3" t="n"/>
      <c r="AZ25" s="10" t="n"/>
      <c r="BA25" s="20" t="n"/>
      <c r="BB25" s="28" t="n"/>
      <c r="BC25" s="3" t="n"/>
      <c r="BD25" s="10" t="n"/>
      <c r="BE25" s="23" t="n"/>
      <c r="BF25" s="28" t="n"/>
      <c r="BG25" s="3" t="n"/>
      <c r="BH25" s="10" t="n"/>
      <c r="BI25" s="20" t="n"/>
      <c r="BJ25" s="28" t="n"/>
      <c r="BK25" s="3" t="n"/>
      <c r="BL25" s="10" t="n"/>
    </row>
    <row r="26" ht="15" customHeight="1" s="141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 ht="15" customHeight="1" s="141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 ht="15" customHeight="1" s="141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 ht="15" customHeight="1" s="141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 ht="15" customHeight="1" s="141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 ht="15" customHeight="1" s="14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 ht="15" customHeight="1" s="141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 ht="15" customHeight="1" s="141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 ht="15" customHeight="1" s="141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 ht="15" customHeight="1" s="141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 ht="15" customHeight="1" s="141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 ht="15" customHeight="1" s="141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 ht="15" customHeight="1" s="141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 ht="15" customHeight="1" s="141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 ht="15" customHeight="1" s="141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 ht="15" customHeight="1" s="1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 ht="15" customHeight="1" s="141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 ht="15" customHeight="1" s="141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 ht="15" customHeight="1" s="141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 ht="15" customHeight="1" s="141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 ht="15" customHeight="1" s="141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 ht="15" customHeight="1" s="141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 ht="15" customHeight="1" s="141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="81" zoomScaleNormal="81" workbookViewId="0">
      <pane xSplit="18" ySplit="19" topLeftCell="S23" activePane="bottomRight" state="frozen"/>
      <selection pane="topRight" activeCell="Q1" sqref="Q1"/>
      <selection pane="bottomLeft" activeCell="A11" sqref="A11"/>
      <selection pane="bottomRight" activeCell="AD27" sqref="AB27:AD27"/>
    </sheetView>
  </sheetViews>
  <sheetFormatPr baseColWidth="8" defaultRowHeight="14.4"/>
  <cols>
    <col hidden="1" width="16.109375" customWidth="1" style="141" min="2" max="2"/>
    <col hidden="1" width="17.5546875" customWidth="1" style="141" min="3" max="3"/>
    <col hidden="1" width="12.88671875" customWidth="1" style="141" min="4" max="11"/>
    <col width="11" customWidth="1" style="141" min="18" max="18"/>
    <col width="9" customWidth="1" style="141" min="21" max="21"/>
    <col width="9.88671875" bestFit="1" customWidth="1" style="141" min="34" max="56"/>
  </cols>
  <sheetData>
    <row r="1" ht="1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n"/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205</v>
      </c>
      <c r="W16" s="45" t="n"/>
      <c r="X16" s="45" t="inlineStr">
        <is>
          <t>Выд</t>
        </is>
      </c>
      <c r="Y16" s="45" t="n">
        <v>15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1.78</v>
      </c>
      <c r="AG16" s="44" t="inlineStr">
        <is>
          <t>Измерения выполнил: __________________   Дата, подпись, расшифровка _________________________</t>
        </is>
      </c>
      <c r="AI16" s="44" t="n"/>
    </row>
    <row r="17" ht="1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809</v>
      </c>
      <c r="P20" s="87" t="n"/>
      <c r="Q20" s="87" t="inlineStr">
        <is>
          <t>3Б</t>
        </is>
      </c>
      <c r="R20" s="69" t="n"/>
      <c r="S20" s="40" t="n">
        <v>1e-06</v>
      </c>
      <c r="T20" s="40" t="n">
        <v>1</v>
      </c>
      <c r="U20" s="40" t="n">
        <v>1e-06</v>
      </c>
      <c r="V20" s="40" t="n"/>
      <c r="W20" s="40" t="n"/>
      <c r="X20" s="24" t="n">
        <v>3</v>
      </c>
      <c r="Y20" s="40" t="n">
        <v>1e-06</v>
      </c>
      <c r="Z20" s="40" t="n">
        <v>1e-06</v>
      </c>
      <c r="AA20" s="40" t="n">
        <v>1e-06</v>
      </c>
      <c r="AB20" s="6" t="n"/>
      <c r="AC20" s="7" t="n"/>
      <c r="AD20" s="36" t="n"/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24</v>
      </c>
      <c r="AL20" s="7" t="n"/>
      <c r="AM20" s="7" t="n">
        <v>3.5</v>
      </c>
      <c r="AN20" s="8" t="n">
        <v>8</v>
      </c>
      <c r="AO20" s="40" t="n">
        <v>1e-06</v>
      </c>
      <c r="AP20" s="27" t="n"/>
      <c r="AQ20" s="40" t="n"/>
      <c r="AR20" s="24" t="n"/>
      <c r="AS20" s="40" t="n">
        <v>6</v>
      </c>
      <c r="AT20" s="27" t="n"/>
      <c r="AU20" s="40" t="n">
        <v>2.5</v>
      </c>
      <c r="AV20" t="n">
        <v>8</v>
      </c>
      <c r="AW20" s="40" t="n">
        <v>1e-06</v>
      </c>
      <c r="AX20" s="27" t="n"/>
      <c r="AY20" s="40" t="n"/>
      <c r="AZ20" s="24" t="n">
        <v>0</v>
      </c>
      <c r="BA20" s="40" t="n">
        <v>1e-06</v>
      </c>
      <c r="BB20" s="27" t="n"/>
      <c r="BC20" s="40" t="n"/>
      <c r="BD20" s="24" t="n"/>
      <c r="BE20" s="40" t="n">
        <v>1e-06</v>
      </c>
      <c r="BF20" s="27" t="n"/>
      <c r="BG20" s="40" t="n"/>
      <c r="BH20" s="24" t="n"/>
      <c r="BI20" s="40" t="n">
        <v>1e-06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810</v>
      </c>
      <c r="P21" s="88" t="n"/>
      <c r="Q21" s="88" t="inlineStr">
        <is>
          <t>3Е</t>
        </is>
      </c>
      <c r="R21" s="37" t="n"/>
      <c r="S21" s="20" t="n">
        <v>0</v>
      </c>
      <c r="T21" s="3" t="n">
        <v>0</v>
      </c>
      <c r="U21" s="3" t="n">
        <v>0</v>
      </c>
      <c r="V21" s="3" t="n"/>
      <c r="W21" s="3" t="n"/>
      <c r="X21" s="10" t="n"/>
      <c r="Y21" s="17" t="n">
        <v>1</v>
      </c>
      <c r="Z21" s="2" t="n"/>
      <c r="AA21" s="2" t="n">
        <v>3</v>
      </c>
      <c r="AB21" s="2" t="n"/>
      <c r="AC21" s="3" t="n">
        <v>2.3</v>
      </c>
      <c r="AD21" s="37" t="n">
        <v>10</v>
      </c>
      <c r="AE21" s="9" t="n">
        <v>0</v>
      </c>
      <c r="AF21" s="2" t="n">
        <v>0</v>
      </c>
      <c r="AG21" s="2" t="n">
        <v>0</v>
      </c>
      <c r="AH21" s="2" t="n"/>
      <c r="AI21" s="3" t="n"/>
      <c r="AJ21" s="10" t="n"/>
      <c r="AK21" s="28" t="n">
        <v>24</v>
      </c>
      <c r="AL21" s="3" t="n"/>
      <c r="AM21" s="3" t="n">
        <v>1.7</v>
      </c>
      <c r="AN21" s="10" t="n">
        <v>5</v>
      </c>
      <c r="AO21" s="28" t="n">
        <v>0</v>
      </c>
      <c r="AP21" s="28" t="n"/>
      <c r="AQ21" s="3" t="n"/>
      <c r="AR21" s="10" t="n"/>
      <c r="AS21" s="20" t="n">
        <v>0</v>
      </c>
      <c r="AT21" s="28" t="n"/>
      <c r="AU21" s="3" t="n"/>
      <c r="AV21" s="10" t="n"/>
      <c r="AW21" s="20" t="n">
        <v>0</v>
      </c>
      <c r="AX21" s="28" t="n"/>
      <c r="AY21" s="3" t="n"/>
      <c r="AZ21" s="10" t="n">
        <v>0</v>
      </c>
      <c r="BA21" s="20" t="n">
        <v>0</v>
      </c>
      <c r="BB21" s="28" t="n"/>
      <c r="BC21" s="3" t="n"/>
      <c r="BD21" s="10" t="n"/>
      <c r="BE21" s="23" t="n">
        <v>0</v>
      </c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814</v>
      </c>
      <c r="P22" s="88" t="n"/>
      <c r="Q22" s="88" t="inlineStr">
        <is>
          <t>3Б</t>
        </is>
      </c>
      <c r="R22" s="37" t="n"/>
      <c r="S22" s="20" t="n">
        <v>0</v>
      </c>
      <c r="T22" s="3" t="n">
        <v>0</v>
      </c>
      <c r="U22" s="3" t="n">
        <v>0</v>
      </c>
      <c r="V22" s="3" t="n"/>
      <c r="W22" s="3" t="n"/>
      <c r="X22" s="10" t="n"/>
      <c r="Y22" s="17" t="n">
        <v>0</v>
      </c>
      <c r="Z22" s="2" t="n">
        <v>0</v>
      </c>
      <c r="AA22" s="2" t="n">
        <v>0</v>
      </c>
      <c r="AB22" s="2" t="n"/>
      <c r="AC22" s="3" t="n"/>
      <c r="AD22" s="37" t="n"/>
      <c r="AE22" s="9" t="n">
        <v>0</v>
      </c>
      <c r="AF22" s="2" t="n">
        <v>0</v>
      </c>
      <c r="AG22" s="2" t="n">
        <v>0</v>
      </c>
      <c r="AH22" s="2" t="n"/>
      <c r="AI22" s="3" t="n"/>
      <c r="AJ22" s="10" t="n"/>
      <c r="AK22" s="28" t="n">
        <v>30</v>
      </c>
      <c r="AL22" s="3" t="n"/>
      <c r="AM22" s="3" t="n">
        <v>1.8</v>
      </c>
      <c r="AN22" s="10" t="n">
        <v>8</v>
      </c>
      <c r="AO22" s="28" t="n">
        <v>0</v>
      </c>
      <c r="AP22" s="28" t="n"/>
      <c r="AQ22" s="3" t="n"/>
      <c r="AR22" s="10" t="n"/>
      <c r="AS22" s="20" t="n">
        <v>0</v>
      </c>
      <c r="AT22" s="28" t="n"/>
      <c r="AU22" s="3" t="n"/>
      <c r="AV22" s="10" t="n"/>
      <c r="AW22" s="20" t="n">
        <v>0</v>
      </c>
      <c r="AX22" s="28" t="n"/>
      <c r="AY22" s="3" t="n"/>
      <c r="AZ22" s="10" t="n">
        <v>0</v>
      </c>
      <c r="BA22" s="20" t="n">
        <v>0</v>
      </c>
      <c r="BB22" s="28" t="n"/>
      <c r="BC22" s="3" t="n"/>
      <c r="BD22" s="10" t="n"/>
      <c r="BE22" s="23" t="n">
        <v>0</v>
      </c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7" t="n">
        <v>811</v>
      </c>
      <c r="P23" s="87" t="n"/>
      <c r="Q23" s="87" t="inlineStr">
        <is>
          <t>3Б</t>
        </is>
      </c>
      <c r="R23" s="37" t="n"/>
      <c r="S23" s="20" t="n">
        <v>0</v>
      </c>
      <c r="T23" s="3" t="n">
        <v>0</v>
      </c>
      <c r="U23" s="3" t="n">
        <v>0</v>
      </c>
      <c r="V23" s="3" t="n"/>
      <c r="W23" s="3" t="n"/>
      <c r="X23" s="10" t="n"/>
      <c r="Y23" s="17" t="n">
        <v>0</v>
      </c>
      <c r="Z23" s="2" t="n">
        <v>0</v>
      </c>
      <c r="AA23" s="2" t="n">
        <v>0</v>
      </c>
      <c r="AB23" s="2" t="n"/>
      <c r="AC23" s="3" t="n"/>
      <c r="AD23" s="37" t="n"/>
      <c r="AE23" s="9" t="n">
        <v>0</v>
      </c>
      <c r="AF23" s="2" t="n">
        <v>0</v>
      </c>
      <c r="AG23" s="2" t="n">
        <v>0</v>
      </c>
      <c r="AH23" s="2" t="n"/>
      <c r="AI23" s="3" t="n"/>
      <c r="AJ23" s="10" t="n"/>
      <c r="AK23" s="28" t="n">
        <v>45</v>
      </c>
      <c r="AL23" s="3" t="n"/>
      <c r="AM23" s="3" t="n">
        <v>1.8</v>
      </c>
      <c r="AN23" s="10" t="n">
        <v>8</v>
      </c>
      <c r="AO23" s="28" t="n">
        <v>0</v>
      </c>
      <c r="AP23" s="28" t="n"/>
      <c r="AQ23" s="3" t="n"/>
      <c r="AR23" s="10" t="n"/>
      <c r="AS23" s="20" t="n">
        <v>0</v>
      </c>
      <c r="AT23" s="28" t="n"/>
      <c r="AU23" s="3" t="n"/>
      <c r="AV23" s="10" t="n"/>
      <c r="AW23" s="20" t="n">
        <v>4</v>
      </c>
      <c r="AX23" s="28" t="n"/>
      <c r="AY23" s="3" t="n">
        <v>1</v>
      </c>
      <c r="AZ23" s="10" t="n">
        <v>5</v>
      </c>
      <c r="BA23" s="20" t="n">
        <v>0</v>
      </c>
      <c r="BB23" s="28" t="n"/>
      <c r="BC23" s="3" t="n"/>
      <c r="BD23" s="10" t="n"/>
      <c r="BE23" s="23" t="n">
        <v>0</v>
      </c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812</v>
      </c>
      <c r="P24" s="88" t="n"/>
      <c r="Q24" s="88" t="inlineStr">
        <is>
          <t>3Б</t>
        </is>
      </c>
      <c r="R24" s="37" t="n"/>
      <c r="S24" s="20" t="n">
        <v>0</v>
      </c>
      <c r="T24" s="3" t="n">
        <v>0</v>
      </c>
      <c r="U24" s="3" t="n">
        <v>0</v>
      </c>
      <c r="V24" s="3" t="n"/>
      <c r="W24" s="3" t="n"/>
      <c r="X24" s="10" t="n"/>
      <c r="Y24" s="17" t="n">
        <v>0</v>
      </c>
      <c r="Z24" s="2" t="n">
        <v>0</v>
      </c>
      <c r="AA24" s="2" t="n">
        <v>0</v>
      </c>
      <c r="AB24" s="2" t="n"/>
      <c r="AC24" s="3" t="n"/>
      <c r="AD24" s="37" t="n"/>
      <c r="AE24" s="9" t="n">
        <v>0</v>
      </c>
      <c r="AF24" s="2" t="n">
        <v>0</v>
      </c>
      <c r="AG24" s="2" t="n">
        <v>0</v>
      </c>
      <c r="AH24" s="2" t="n"/>
      <c r="AI24" s="3" t="n"/>
      <c r="AJ24" s="10" t="n"/>
      <c r="AK24" s="28" t="n">
        <v>5</v>
      </c>
      <c r="AL24" s="3" t="n"/>
      <c r="AM24" s="3" t="n">
        <v>2</v>
      </c>
      <c r="AN24" s="10" t="n">
        <v>7</v>
      </c>
      <c r="AO24" s="28" t="n">
        <v>0</v>
      </c>
      <c r="AP24" s="28" t="n"/>
      <c r="AQ24" s="3" t="n"/>
      <c r="AR24" s="10" t="n"/>
      <c r="AS24" s="20" t="n">
        <v>0</v>
      </c>
      <c r="AT24" s="28" t="n"/>
      <c r="AU24" s="3" t="n"/>
      <c r="AV24" s="10" t="n"/>
      <c r="AW24" s="20" t="n"/>
      <c r="AX24" s="28" t="n"/>
      <c r="AY24" s="3" t="n"/>
      <c r="AZ24" s="10" t="n"/>
      <c r="BA24" s="20" t="n">
        <v>0</v>
      </c>
      <c r="BB24" s="28" t="n"/>
      <c r="BC24" s="3" t="n"/>
      <c r="BD24" s="10" t="n"/>
      <c r="BE24" s="23" t="n">
        <v>0</v>
      </c>
      <c r="BF24" s="28" t="n"/>
      <c r="BG24" s="3" t="n"/>
      <c r="BH24" s="10" t="n"/>
      <c r="BI24" s="20" t="n">
        <v>0</v>
      </c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813</v>
      </c>
      <c r="P25" s="88" t="n"/>
      <c r="Q25" s="88" t="inlineStr">
        <is>
          <t>3Ос</t>
        </is>
      </c>
      <c r="R25" s="37" t="n"/>
      <c r="S25" s="20" t="n">
        <v>0</v>
      </c>
      <c r="T25" s="3" t="n">
        <v>0</v>
      </c>
      <c r="U25" s="3" t="n">
        <v>0</v>
      </c>
      <c r="V25" s="3" t="n"/>
      <c r="W25" s="3" t="n"/>
      <c r="X25" s="10" t="n"/>
      <c r="Y25" s="17" t="n">
        <v>0</v>
      </c>
      <c r="Z25" s="2" t="n">
        <v>0</v>
      </c>
      <c r="AA25" s="2" t="n">
        <v>0</v>
      </c>
      <c r="AB25" s="2" t="n"/>
      <c r="AC25" s="3" t="n"/>
      <c r="AD25" s="37" t="n"/>
      <c r="AE25" s="9" t="n">
        <v>0</v>
      </c>
      <c r="AF25" s="2" t="n">
        <v>0</v>
      </c>
      <c r="AG25" s="2" t="n">
        <v>0</v>
      </c>
      <c r="AH25" s="2" t="n"/>
      <c r="AI25" s="3" t="n"/>
      <c r="AJ25" s="10" t="n"/>
      <c r="AK25" s="28" t="n">
        <v>0</v>
      </c>
      <c r="AL25" s="3" t="n">
        <v>0</v>
      </c>
      <c r="AM25" s="3" t="n">
        <v>0</v>
      </c>
      <c r="AN25" s="10" t="n"/>
      <c r="AO25" s="28" t="n">
        <v>12</v>
      </c>
      <c r="AP25" s="28" t="n"/>
      <c r="AQ25" s="3" t="n">
        <v>3.7</v>
      </c>
      <c r="AR25" s="10" t="n">
        <v>9</v>
      </c>
      <c r="AS25" s="20" t="n">
        <v>0</v>
      </c>
      <c r="AT25" s="28" t="n"/>
      <c r="AU25" s="3" t="n"/>
      <c r="AV25" s="10" t="n"/>
      <c r="AW25" s="20" t="n">
        <v>0</v>
      </c>
      <c r="AX25" s="28" t="n"/>
      <c r="AY25" s="3" t="n"/>
      <c r="AZ25" s="10" t="n">
        <v>0</v>
      </c>
      <c r="BA25" s="20" t="n">
        <v>0</v>
      </c>
      <c r="BB25" s="28" t="n"/>
      <c r="BC25" s="3" t="n"/>
      <c r="BD25" s="10" t="n"/>
      <c r="BE25" s="23" t="n">
        <v>0</v>
      </c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7" t="n"/>
      <c r="P26" s="87" t="n"/>
      <c r="Q26" s="87" t="n"/>
      <c r="R26" s="37" t="n"/>
      <c r="S26" s="20" t="n"/>
      <c r="T26" s="3" t="n"/>
      <c r="U26" s="3" t="n"/>
      <c r="V26" s="3" t="n"/>
      <c r="W26" s="3" t="n"/>
      <c r="X26" s="10" t="n"/>
      <c r="Y26" s="17" t="n"/>
      <c r="Z26" s="2" t="n"/>
      <c r="AA26" s="2" t="n"/>
      <c r="AB26" s="2" t="n"/>
      <c r="AC26" s="3" t="n"/>
      <c r="AD26" s="37" t="n"/>
      <c r="AE26" s="9" t="n"/>
      <c r="AF26" s="2" t="n"/>
      <c r="AG26" s="2" t="n"/>
      <c r="AH26" s="2" t="n"/>
      <c r="AI26" s="3" t="n"/>
      <c r="AJ26" s="10" t="n"/>
      <c r="AK26" s="28" t="n"/>
      <c r="AL26" s="3" t="n"/>
      <c r="AM26" s="3" t="n"/>
      <c r="AN26" s="10" t="n"/>
      <c r="AO26" s="28" t="n"/>
      <c r="AP26" s="28" t="n"/>
      <c r="AQ26" s="3" t="n"/>
      <c r="AR26" s="10" t="n"/>
      <c r="AS26" s="20" t="n"/>
      <c r="AT26" s="28" t="n"/>
      <c r="AU26" s="3" t="n"/>
      <c r="AV26" s="10" t="n"/>
      <c r="AW26" s="20" t="n"/>
      <c r="AX26" s="28" t="n"/>
      <c r="AY26" s="3" t="n"/>
      <c r="AZ26" s="10" t="n"/>
      <c r="BA26" s="20" t="n"/>
      <c r="BB26" s="28" t="n"/>
      <c r="BC26" s="3" t="n"/>
      <c r="BD26" s="10" t="n"/>
      <c r="BE26" s="23" t="n"/>
      <c r="BF26" s="28" t="n"/>
      <c r="BG26" s="3" t="n"/>
      <c r="BH26" s="10" t="n"/>
      <c r="BI26" s="20" t="n"/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/>
      <c r="P27" s="88" t="n"/>
      <c r="Q27" s="88" t="n"/>
      <c r="R27" s="37" t="n"/>
      <c r="S27" s="20" t="n"/>
      <c r="T27" s="3" t="n"/>
      <c r="U27" s="3" t="n"/>
      <c r="V27" s="3" t="n"/>
      <c r="W27" s="3" t="n"/>
      <c r="X27" s="10" t="n"/>
      <c r="Y27" s="17" t="n"/>
      <c r="Z27" s="2" t="n"/>
      <c r="AA27" s="2" t="n"/>
      <c r="AB27" s="2" t="n"/>
      <c r="AC27" s="3" t="n"/>
      <c r="AD27" s="37" t="n"/>
      <c r="AE27" s="9" t="n"/>
      <c r="AF27" s="2" t="n"/>
      <c r="AG27" s="2" t="n"/>
      <c r="AH27" s="2" t="n"/>
      <c r="AI27" s="3" t="n"/>
      <c r="AJ27" s="10" t="n"/>
      <c r="AK27" s="28" t="n"/>
      <c r="AL27" s="3" t="n"/>
      <c r="AM27" s="3" t="n"/>
      <c r="AN27" s="10" t="n"/>
      <c r="AO27" s="28" t="n"/>
      <c r="AP27" s="28" t="n"/>
      <c r="AQ27" s="3" t="n"/>
      <c r="AR27" s="10" t="n"/>
      <c r="AS27" s="20" t="n"/>
      <c r="AT27" s="28" t="n"/>
      <c r="AU27" s="3" t="n"/>
      <c r="AV27" s="10" t="n"/>
      <c r="AW27" s="20" t="n"/>
      <c r="AX27" s="28" t="n"/>
      <c r="AY27" s="3" t="n"/>
      <c r="AZ27" s="10" t="n"/>
      <c r="BA27" s="20" t="n"/>
      <c r="BB27" s="28" t="n"/>
      <c r="BC27" s="3" t="n"/>
      <c r="BD27" s="10" t="n"/>
      <c r="BE27" s="23" t="n"/>
      <c r="BF27" s="28" t="n"/>
      <c r="BG27" s="3" t="n"/>
      <c r="BH27" s="10" t="n"/>
      <c r="BI27" s="20" t="n"/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/>
      <c r="P28" s="88" t="n"/>
      <c r="Q28" s="88" t="n"/>
      <c r="R28" s="37" t="n"/>
      <c r="S28" s="20" t="n"/>
      <c r="T28" s="3" t="n"/>
      <c r="U28" s="3" t="n"/>
      <c r="V28" s="3" t="n"/>
      <c r="W28" s="3" t="n"/>
      <c r="X28" s="10" t="n"/>
      <c r="Y28" s="17" t="n"/>
      <c r="Z28" s="2" t="n"/>
      <c r="AA28" s="2" t="n"/>
      <c r="AB28" s="2" t="n"/>
      <c r="AC28" s="3" t="n"/>
      <c r="AD28" s="37" t="n"/>
      <c r="AE28" s="9" t="n"/>
      <c r="AF28" s="2" t="n"/>
      <c r="AG28" s="2" t="n"/>
      <c r="AH28" s="2" t="n"/>
      <c r="AI28" s="3" t="n"/>
      <c r="AJ28" s="10" t="n"/>
      <c r="AK28" s="28" t="n"/>
      <c r="AL28" s="3" t="n"/>
      <c r="AM28" s="3" t="n"/>
      <c r="AN28" s="10" t="n"/>
      <c r="AO28" s="28" t="n"/>
      <c r="AP28" s="28" t="n"/>
      <c r="AQ28" s="3" t="n"/>
      <c r="AR28" s="10" t="n"/>
      <c r="AS28" s="20" t="n"/>
      <c r="AT28" s="28" t="n"/>
      <c r="AU28" s="3" t="n"/>
      <c r="AV28" s="10" t="n"/>
      <c r="AW28" s="20" t="n"/>
      <c r="AX28" s="28" t="n"/>
      <c r="AY28" s="3" t="n"/>
      <c r="AZ28" s="10" t="n"/>
      <c r="BA28" s="20" t="n"/>
      <c r="BB28" s="28" t="n"/>
      <c r="BC28" s="3" t="n"/>
      <c r="BD28" s="10" t="n"/>
      <c r="BE28" s="23" t="n"/>
      <c r="BF28" s="28" t="n"/>
      <c r="BG28" s="3" t="n"/>
      <c r="BH28" s="10" t="n"/>
      <c r="BI28" s="20" t="n"/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7" t="n"/>
      <c r="P29" s="87" t="n"/>
      <c r="Q29" s="87" t="n"/>
      <c r="R29" s="37" t="n"/>
      <c r="S29" s="20" t="n"/>
      <c r="T29" s="3" t="n"/>
      <c r="U29" s="3" t="n"/>
      <c r="V29" s="3" t="n"/>
      <c r="W29" s="3" t="n"/>
      <c r="X29" s="10" t="n"/>
      <c r="Y29" s="17" t="n"/>
      <c r="Z29" s="2" t="n"/>
      <c r="AA29" s="2" t="n"/>
      <c r="AB29" s="2" t="n"/>
      <c r="AC29" s="3" t="n"/>
      <c r="AD29" s="37" t="n"/>
      <c r="AE29" s="9" t="n"/>
      <c r="AF29" s="2" t="n"/>
      <c r="AG29" s="2" t="n"/>
      <c r="AH29" s="2" t="n"/>
      <c r="AI29" s="3" t="n"/>
      <c r="AJ29" s="10" t="n"/>
      <c r="AK29" s="28" t="n"/>
      <c r="AL29" s="3" t="n"/>
      <c r="AM29" s="3" t="n"/>
      <c r="AN29" s="10" t="n"/>
      <c r="AO29" s="28" t="n"/>
      <c r="AP29" s="28" t="n"/>
      <c r="AQ29" s="3" t="n"/>
      <c r="AR29" s="10" t="n"/>
      <c r="AS29" s="20" t="n"/>
      <c r="AT29" s="28" t="n"/>
      <c r="AU29" s="3" t="n"/>
      <c r="AV29" s="10" t="n"/>
      <c r="AW29" s="20" t="n"/>
      <c r="AX29" s="28" t="n"/>
      <c r="AY29" s="3" t="n"/>
      <c r="AZ29" s="10" t="n"/>
      <c r="BA29" s="20" t="n"/>
      <c r="BB29" s="28" t="n"/>
      <c r="BC29" s="3" t="n"/>
      <c r="BD29" s="10" t="n"/>
      <c r="BE29" s="23" t="n"/>
      <c r="BF29" s="28" t="n"/>
      <c r="BG29" s="3" t="n"/>
      <c r="BH29" s="10" t="n"/>
      <c r="BI29" s="20" t="n"/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/>
      <c r="P30" s="88" t="n"/>
      <c r="Q30" s="88" t="n"/>
      <c r="R30" s="37" t="n"/>
      <c r="S30" s="20" t="n"/>
      <c r="T30" s="3" t="n"/>
      <c r="U30" s="3" t="n"/>
      <c r="V30" s="3" t="n"/>
      <c r="W30" s="3" t="n"/>
      <c r="X30" s="10" t="n"/>
      <c r="Y30" s="17" t="n"/>
      <c r="Z30" s="2" t="n"/>
      <c r="AA30" s="2" t="n"/>
      <c r="AB30" s="2" t="n"/>
      <c r="AC30" s="3" t="n"/>
      <c r="AD30" s="37" t="n"/>
      <c r="AE30" s="9" t="n"/>
      <c r="AF30" s="2" t="n"/>
      <c r="AG30" s="2" t="n"/>
      <c r="AH30" s="2" t="n"/>
      <c r="AI30" s="3" t="n"/>
      <c r="AJ30" s="10" t="n"/>
      <c r="AK30" s="28" t="n"/>
      <c r="AL30" s="3" t="n"/>
      <c r="AM30" s="3" t="n"/>
      <c r="AN30" s="10" t="n"/>
      <c r="AO30" s="28" t="n"/>
      <c r="AP30" s="28" t="n"/>
      <c r="AQ30" s="3" t="n"/>
      <c r="AR30" s="10" t="n"/>
      <c r="AS30" s="20" t="n"/>
      <c r="AT30" s="28" t="n"/>
      <c r="AU30" s="3" t="n"/>
      <c r="AV30" s="10" t="n"/>
      <c r="AW30" s="20" t="n"/>
      <c r="AX30" s="28" t="n"/>
      <c r="AY30" s="3" t="n"/>
      <c r="AZ30" s="10" t="n"/>
      <c r="BA30" s="20" t="n"/>
      <c r="BB30" s="28" t="n"/>
      <c r="BC30" s="3" t="n"/>
      <c r="BD30" s="10" t="n"/>
      <c r="BE30" s="23" t="n"/>
      <c r="BF30" s="28" t="n"/>
      <c r="BG30" s="3" t="n"/>
      <c r="BH30" s="10" t="n"/>
      <c r="BI30" s="20" t="n"/>
      <c r="BJ30" s="28" t="n"/>
      <c r="BK30" s="3" t="n"/>
      <c r="BL30" s="10" t="n"/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/>
      <c r="P31" s="88" t="n"/>
      <c r="Q31" s="88" t="n"/>
      <c r="R31" s="37" t="n"/>
      <c r="S31" s="20" t="n"/>
      <c r="T31" s="3" t="n"/>
      <c r="U31" s="3" t="n"/>
      <c r="V31" s="3" t="n"/>
      <c r="W31" s="3" t="n"/>
      <c r="X31" s="10" t="n"/>
      <c r="Y31" s="17" t="n"/>
      <c r="Z31" s="2" t="n"/>
      <c r="AA31" s="2" t="n"/>
      <c r="AB31" s="2" t="n"/>
      <c r="AC31" s="3" t="n"/>
      <c r="AD31" s="37" t="n"/>
      <c r="AE31" s="9" t="n"/>
      <c r="AF31" s="2" t="n"/>
      <c r="AG31" s="2" t="n"/>
      <c r="AH31" s="2" t="n"/>
      <c r="AI31" s="3" t="n"/>
      <c r="AJ31" s="10" t="n"/>
      <c r="AK31" s="28" t="n"/>
      <c r="AL31" s="3" t="n"/>
      <c r="AM31" s="3" t="n"/>
      <c r="AN31" s="10" t="n"/>
      <c r="AO31" s="28" t="n"/>
      <c r="AP31" s="28" t="n"/>
      <c r="AQ31" s="3" t="n"/>
      <c r="AR31" s="10" t="n"/>
      <c r="AS31" s="20" t="n"/>
      <c r="AT31" s="28" t="n"/>
      <c r="AU31" s="3" t="n"/>
      <c r="AV31" s="10" t="n"/>
      <c r="AW31" s="20" t="n"/>
      <c r="AX31" s="28" t="n"/>
      <c r="AY31" s="3" t="n"/>
      <c r="AZ31" s="10" t="n"/>
      <c r="BA31" s="20" t="n"/>
      <c r="BB31" s="28" t="n"/>
      <c r="BC31" s="3" t="n"/>
      <c r="BD31" s="10" t="n"/>
      <c r="BE31" s="23" t="n"/>
      <c r="BF31" s="28" t="n"/>
      <c r="BG31" s="3" t="n"/>
      <c r="BH31" s="10" t="n"/>
      <c r="BI31" s="20" t="n"/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/>
      <c r="P32" s="88" t="n"/>
      <c r="Q32" s="88" t="n"/>
      <c r="R32" s="37" t="n"/>
      <c r="S32" s="20" t="n"/>
      <c r="T32" s="3" t="n"/>
      <c r="U32" s="3" t="n"/>
      <c r="V32" s="3" t="n"/>
      <c r="W32" s="3" t="n"/>
      <c r="X32" s="10" t="n"/>
      <c r="Y32" s="17" t="n"/>
      <c r="Z32" s="2" t="n"/>
      <c r="AA32" s="2" t="n"/>
      <c r="AB32" s="2" t="n"/>
      <c r="AC32" s="3" t="n"/>
      <c r="AD32" s="37" t="n"/>
      <c r="AE32" s="9" t="n"/>
      <c r="AF32" s="2" t="n"/>
      <c r="AG32" s="2" t="n"/>
      <c r="AH32" s="2" t="n"/>
      <c r="AI32" s="3" t="n"/>
      <c r="AJ32" s="10" t="n"/>
      <c r="AK32" s="28" t="n"/>
      <c r="AL32" s="3" t="n"/>
      <c r="AM32" s="3" t="n"/>
      <c r="AN32" s="10" t="n"/>
      <c r="AO32" s="28" t="n"/>
      <c r="AP32" s="28" t="n"/>
      <c r="AQ32" s="3" t="n"/>
      <c r="AR32" s="10" t="n"/>
      <c r="AS32" s="20" t="n"/>
      <c r="AT32" s="28" t="n"/>
      <c r="AU32" s="3" t="n"/>
      <c r="AV32" s="10" t="n"/>
      <c r="AW32" s="20" t="n"/>
      <c r="AX32" s="28" t="n"/>
      <c r="AY32" s="3" t="n"/>
      <c r="AZ32" s="10" t="n"/>
      <c r="BA32" s="20" t="n"/>
      <c r="BB32" s="28" t="n"/>
      <c r="BC32" s="3" t="n"/>
      <c r="BD32" s="10" t="n"/>
      <c r="BE32" s="23" t="n"/>
      <c r="BF32" s="28" t="n"/>
      <c r="BG32" s="3" t="n"/>
      <c r="BH32" s="10" t="n"/>
      <c r="BI32" s="20" t="n"/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/>
      <c r="P33" s="88" t="n"/>
      <c r="Q33" s="88" t="n"/>
      <c r="R33" s="37" t="n"/>
      <c r="S33" s="20" t="n"/>
      <c r="T33" s="3" t="n"/>
      <c r="U33" s="3" t="n"/>
      <c r="V33" s="3" t="n"/>
      <c r="W33" s="3" t="n"/>
      <c r="X33" s="10" t="n"/>
      <c r="Y33" s="17" t="n"/>
      <c r="Z33" s="2" t="n"/>
      <c r="AA33" s="2" t="n"/>
      <c r="AB33" s="2" t="n"/>
      <c r="AC33" s="3" t="n"/>
      <c r="AD33" s="37" t="n"/>
      <c r="AE33" s="9" t="n"/>
      <c r="AF33" s="2" t="n"/>
      <c r="AG33" s="2" t="n"/>
      <c r="AH33" s="2" t="n"/>
      <c r="AI33" s="3" t="n"/>
      <c r="AJ33" s="10" t="n"/>
      <c r="AK33" s="28" t="n"/>
      <c r="AL33" s="3" t="n"/>
      <c r="AM33" s="3" t="n"/>
      <c r="AN33" s="10" t="n"/>
      <c r="AO33" s="28" t="n"/>
      <c r="AP33" s="28" t="n"/>
      <c r="AQ33" s="3" t="n"/>
      <c r="AR33" s="10" t="n"/>
      <c r="AS33" s="20" t="n"/>
      <c r="AT33" s="28" t="n"/>
      <c r="AU33" s="3" t="n"/>
      <c r="AV33" s="10" t="n"/>
      <c r="AW33" s="20" t="n"/>
      <c r="AX33" s="28" t="n"/>
      <c r="AY33" s="3" t="n"/>
      <c r="AZ33" s="10" t="n"/>
      <c r="BA33" s="20" t="n"/>
      <c r="BB33" s="28" t="n"/>
      <c r="BC33" s="3" t="n"/>
      <c r="BD33" s="10" t="n"/>
      <c r="BE33" s="23" t="n"/>
      <c r="BF33" s="28" t="n"/>
      <c r="BG33" s="3" t="n"/>
      <c r="BH33" s="10" t="n"/>
      <c r="BI33" s="20" t="n"/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/>
      <c r="P34" s="88" t="n"/>
      <c r="Q34" s="88" t="n"/>
      <c r="R34" s="37" t="n"/>
      <c r="S34" s="20" t="n"/>
      <c r="T34" s="3" t="n"/>
      <c r="U34" s="3" t="n"/>
      <c r="V34" s="3" t="n"/>
      <c r="W34" s="3" t="n"/>
      <c r="X34" s="10" t="n"/>
      <c r="Y34" s="17" t="n"/>
      <c r="Z34" s="2" t="n"/>
      <c r="AA34" s="2" t="n"/>
      <c r="AB34" s="2" t="n"/>
      <c r="AC34" s="3" t="n"/>
      <c r="AD34" s="37" t="n"/>
      <c r="AE34" s="9" t="n"/>
      <c r="AF34" s="2" t="n"/>
      <c r="AG34" s="2" t="n"/>
      <c r="AH34" s="2" t="n"/>
      <c r="AI34" s="3" t="n"/>
      <c r="AJ34" s="10" t="n"/>
      <c r="AK34" s="28" t="n"/>
      <c r="AL34" s="3" t="n"/>
      <c r="AM34" s="3" t="n"/>
      <c r="AN34" s="10" t="n"/>
      <c r="AO34" s="28" t="n"/>
      <c r="AP34" s="28" t="n"/>
      <c r="AQ34" s="3" t="n"/>
      <c r="AR34" s="10" t="n"/>
      <c r="AS34" s="20" t="n"/>
      <c r="AT34" s="28" t="n"/>
      <c r="AU34" s="3" t="n"/>
      <c r="AV34" s="10" t="n"/>
      <c r="AW34" s="20" t="n"/>
      <c r="AX34" s="28" t="n"/>
      <c r="AY34" s="3" t="n"/>
      <c r="AZ34" s="10" t="n"/>
      <c r="BA34" s="20" t="n"/>
      <c r="BB34" s="28" t="n"/>
      <c r="BC34" s="3" t="n"/>
      <c r="BD34" s="10" t="n"/>
      <c r="BE34" s="23" t="n"/>
      <c r="BF34" s="28" t="n"/>
      <c r="BG34" s="3" t="n"/>
      <c r="BH34" s="10" t="n"/>
      <c r="BI34" s="20" t="n"/>
      <c r="BJ34" s="28" t="n"/>
      <c r="BK34" s="3" t="n"/>
      <c r="BL34" s="10" t="n"/>
    </row>
    <row r="35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BA18:BD18"/>
    <mergeCell ref="S18:X18"/>
    <mergeCell ref="AK18:AN18"/>
    <mergeCell ref="Y18:AD18"/>
    <mergeCell ref="AE18:AJ18"/>
    <mergeCell ref="O18:R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BL77"/>
  <sheetViews>
    <sheetView zoomScaleNormal="100" workbookViewId="0">
      <pane xSplit="18" ySplit="19" topLeftCell="S20" activePane="bottomRight" state="frozen"/>
      <selection pane="topRight" activeCell="Q1" sqref="Q1"/>
      <selection pane="bottomLeft" activeCell="A11" sqref="A11"/>
      <selection pane="bottomRight" activeCell="O62" sqref="O62:X72"/>
    </sheetView>
  </sheetViews>
  <sheetFormatPr baseColWidth="8" defaultRowHeight="14.4"/>
  <cols>
    <col hidden="1" style="141" min="1" max="1"/>
    <col hidden="1" width="16.109375" customWidth="1" style="141" min="2" max="2"/>
    <col hidden="1" width="17.5546875" customWidth="1" style="141" min="3" max="3"/>
    <col hidden="1" width="12.88671875" customWidth="1" style="141" min="4" max="11"/>
    <col width="10.5546875" customWidth="1" style="141" min="18" max="18"/>
    <col width="9" customWidth="1" style="141" min="21" max="21"/>
    <col width="9.88671875" bestFit="1" customWidth="1" style="141" min="34" max="56"/>
  </cols>
  <sheetData>
    <row r="1" ht="15.75" customHeight="1" s="141" thickBot="1"/>
    <row r="2">
      <c r="V2" s="59" t="n"/>
      <c r="W2" s="67" t="inlineStr">
        <is>
          <t>ИНСТРУКЦИЯ</t>
        </is>
      </c>
      <c r="X2" s="67" t="n"/>
      <c r="Y2" s="60" t="n"/>
      <c r="Z2" s="60" t="n"/>
      <c r="AA2" s="60" t="n"/>
      <c r="AB2" s="60" t="n"/>
      <c r="AC2" s="60" t="n"/>
      <c r="AD2" s="60" t="n"/>
      <c r="AE2" s="60" t="n">
        <v>8</v>
      </c>
      <c r="AF2" s="60" t="inlineStr">
        <is>
          <t>Скопировать итоговые характеристики насаждения "До" и "После" в лист "Расчёты для проекта"</t>
        </is>
      </c>
      <c r="AG2" s="60" t="n"/>
      <c r="AH2" s="60" t="n"/>
      <c r="AI2" s="60" t="n"/>
      <c r="AJ2" s="60" t="n"/>
      <c r="AK2" s="60" t="n"/>
      <c r="AL2" s="60" t="n"/>
      <c r="AM2" s="61" t="n"/>
    </row>
    <row r="3">
      <c r="V3" s="62" t="n">
        <v>1</v>
      </c>
      <c r="W3" t="inlineStr">
        <is>
          <t>Скопировать лист внутри книги Excel</t>
        </is>
      </c>
      <c r="AE3" t="n">
        <v>9</v>
      </c>
      <c r="AF3" t="inlineStr">
        <is>
          <t>Заполнить Проект рубок ухода</t>
        </is>
      </c>
      <c r="AM3" s="63" t="n"/>
    </row>
    <row r="4">
      <c r="V4" s="62" t="n">
        <v>2</v>
      </c>
      <c r="W4" t="inlineStr">
        <is>
          <t>Указать стадию (переименовать лист) "До рубки"</t>
        </is>
      </c>
      <c r="AE4" t="n">
        <v>10</v>
      </c>
      <c r="AF4" t="inlineStr">
        <is>
          <t>Скопировать данные перечёта по породам в Перечётные ведомости</t>
        </is>
      </c>
      <c r="AM4" s="63" t="n"/>
    </row>
    <row r="5">
      <c r="V5" s="62" t="n">
        <v>3</v>
      </c>
      <c r="W5" t="inlineStr">
        <is>
          <t>Заполнит информацию о делянке (номер ведомости, квартал, выдел и т.д.)</t>
        </is>
      </c>
      <c r="AE5" t="n">
        <v>11</v>
      </c>
      <c r="AF5" t="inlineStr">
        <is>
          <t>Оформить пакет сопроводительной документация на делянку</t>
        </is>
      </c>
      <c r="AM5" s="63" t="n"/>
    </row>
    <row r="6">
      <c r="V6" s="62" t="n">
        <v>4</v>
      </c>
      <c r="W6" t="inlineStr">
        <is>
          <t>Ввести данные перечёта</t>
        </is>
      </c>
      <c r="AE6" t="n">
        <v>12</v>
      </c>
      <c r="AF6" t="inlineStr">
        <is>
          <t>Подать уведомление в лесничество</t>
        </is>
      </c>
      <c r="AM6" s="63" t="n"/>
    </row>
    <row r="7">
      <c r="V7" s="62" t="n">
        <v>5</v>
      </c>
      <c r="W7" t="inlineStr">
        <is>
          <t>Скопировать лист "до рубки" внутри книги Excel</t>
        </is>
      </c>
      <c r="AE7" t="n">
        <v>13</v>
      </c>
      <c r="AF7" t="inlineStr">
        <is>
          <t>Провести рубку</t>
        </is>
      </c>
      <c r="AM7" s="63" t="n"/>
    </row>
    <row r="8">
      <c r="V8" s="62" t="n">
        <v>6</v>
      </c>
      <c r="W8" t="inlineStr">
        <is>
          <t>Указать стадию (переименовать лист) "После рубки"</t>
        </is>
      </c>
      <c r="AE8" t="n">
        <v>14</v>
      </c>
      <c r="AM8" s="63" t="n"/>
    </row>
    <row r="9" ht="15" customHeight="1" s="141" thickBot="1">
      <c r="V9" s="64" t="n">
        <v>7</v>
      </c>
      <c r="W9" s="65" t="inlineStr">
        <is>
          <t>Удалить из ведомости перечёта то, что проектируется удалить в натуре</t>
        </is>
      </c>
      <c r="X9" s="65" t="n"/>
      <c r="Y9" s="65" t="n"/>
      <c r="Z9" s="65" t="n"/>
      <c r="AA9" s="65" t="n"/>
      <c r="AB9" s="65" t="n"/>
      <c r="AC9" s="65" t="n"/>
      <c r="AD9" s="65" t="n"/>
      <c r="AE9" s="65" t="n">
        <v>15</v>
      </c>
      <c r="AF9" s="65" t="n"/>
      <c r="AG9" s="65" t="n"/>
      <c r="AH9" s="65" t="n"/>
      <c r="AI9" s="65" t="n"/>
      <c r="AJ9" s="65" t="n"/>
      <c r="AK9" s="65" t="n"/>
      <c r="AL9" s="65" t="n"/>
      <c r="AM9" s="66" t="n"/>
    </row>
    <row r="13">
      <c r="N13" t="inlineStr">
        <is>
          <t>Стадия (до, проект или после рубки)</t>
        </is>
      </c>
      <c r="T13" s="45" t="inlineStr">
        <is>
          <t>после</t>
        </is>
      </c>
    </row>
    <row r="16">
      <c r="N16" s="46" t="inlineStr">
        <is>
          <t>Перечётная ведомость</t>
        </is>
      </c>
      <c r="S16" t="n">
        <v>1</v>
      </c>
      <c r="U16" s="45" t="inlineStr">
        <is>
          <t>Кв</t>
        </is>
      </c>
      <c r="V16" s="45" t="n">
        <v>113</v>
      </c>
      <c r="W16" s="45" t="n"/>
      <c r="X16" s="45" t="inlineStr">
        <is>
          <t>Выд</t>
        </is>
      </c>
      <c r="Y16" s="45" t="n">
        <v>16</v>
      </c>
      <c r="Z16" s="45" t="inlineStr">
        <is>
          <t>делянка</t>
        </is>
      </c>
      <c r="AA16" s="45" t="n">
        <v>1</v>
      </c>
      <c r="AC16" t="inlineStr">
        <is>
          <t>Радиус ПП, м</t>
        </is>
      </c>
      <c r="AE16" s="45" t="n">
        <v>3.99</v>
      </c>
      <c r="AG16" s="44" t="inlineStr">
        <is>
          <t>Измерения выполнил: __________________   Дата, подпись _________________________</t>
        </is>
      </c>
      <c r="AI16" s="44" t="n"/>
    </row>
    <row r="17" ht="15.75" customHeight="1" s="141" thickBot="1"/>
    <row r="18" ht="15.6" customHeight="1" s="141" thickBot="1" thickTop="1">
      <c r="B18" s="59" t="inlineStr">
        <is>
          <t xml:space="preserve">Костыль для высоты 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N18" s="1" t="inlineStr">
        <is>
          <t>Пор.</t>
        </is>
      </c>
      <c r="O18" s="236" t="inlineStr">
        <is>
          <t>Площадка</t>
        </is>
      </c>
      <c r="P18" s="237" t="n"/>
      <c r="Q18" s="237" t="n"/>
      <c r="R18" s="238" t="n"/>
      <c r="S18" s="239" t="inlineStr">
        <is>
          <t>Сосна</t>
        </is>
      </c>
      <c r="T18" s="237" t="n"/>
      <c r="U18" s="237" t="n"/>
      <c r="V18" s="237" t="n"/>
      <c r="W18" s="237" t="n"/>
      <c r="X18" s="238" t="n"/>
      <c r="Y18" s="240" t="inlineStr">
        <is>
          <t>Ель из подроста</t>
        </is>
      </c>
      <c r="Z18" s="241" t="n"/>
      <c r="AA18" s="241" t="n"/>
      <c r="AB18" s="241" t="n"/>
      <c r="AC18" s="241" t="n"/>
      <c r="AD18" s="242" t="n"/>
      <c r="AE18" s="243" t="inlineStr">
        <is>
          <t>ЕЛЬ лесные культуры</t>
        </is>
      </c>
      <c r="AF18" s="237" t="n"/>
      <c r="AG18" s="237" t="n"/>
      <c r="AH18" s="237" t="n"/>
      <c r="AI18" s="237" t="n"/>
      <c r="AJ18" s="238" t="n"/>
      <c r="AK18" s="239" t="inlineStr">
        <is>
          <t>Берёза</t>
        </is>
      </c>
      <c r="AL18" s="237" t="n"/>
      <c r="AM18" s="237" t="n"/>
      <c r="AN18" s="238" t="n"/>
      <c r="AO18" s="239" t="inlineStr">
        <is>
          <t>Осина</t>
        </is>
      </c>
      <c r="AP18" s="237" t="n"/>
      <c r="AQ18" s="237" t="n"/>
      <c r="AR18" s="238" t="n"/>
      <c r="AS18" s="239" t="inlineStr">
        <is>
          <t>Ольха серая</t>
        </is>
      </c>
      <c r="AT18" s="237" t="n"/>
      <c r="AU18" s="237" t="n"/>
      <c r="AV18" s="238" t="n"/>
      <c r="AW18" s="239" t="inlineStr">
        <is>
          <t>Ива</t>
        </is>
      </c>
      <c r="AX18" s="237" t="n"/>
      <c r="AY18" s="237" t="n"/>
      <c r="AZ18" s="238" t="n"/>
      <c r="BA18" s="239" t="inlineStr">
        <is>
          <t>Чёрёмуха</t>
        </is>
      </c>
      <c r="BB18" s="237" t="n"/>
      <c r="BC18" s="237" t="n"/>
      <c r="BD18" s="238" t="n"/>
      <c r="BE18" s="239" t="inlineStr">
        <is>
          <t>Дуб</t>
        </is>
      </c>
      <c r="BF18" s="237" t="n"/>
      <c r="BG18" s="237" t="n"/>
      <c r="BH18" s="238" t="n"/>
      <c r="BI18" s="239" t="inlineStr">
        <is>
          <t>Рябина</t>
        </is>
      </c>
      <c r="BJ18" s="237" t="n"/>
      <c r="BK18" s="237" t="n"/>
      <c r="BL18" s="238" t="n"/>
    </row>
    <row r="19" ht="21" customHeight="1" s="141" thickBot="1">
      <c r="B19" s="64">
        <f>Y18</f>
        <v/>
      </c>
      <c r="C19" s="65">
        <f>AE18</f>
        <v/>
      </c>
      <c r="D19" s="65">
        <f>S18</f>
        <v/>
      </c>
      <c r="E19" s="65">
        <f>AK18</f>
        <v/>
      </c>
      <c r="F19" s="65">
        <f>AO18</f>
        <v/>
      </c>
      <c r="G19" s="65">
        <f>AS18</f>
        <v/>
      </c>
      <c r="H19" s="65">
        <f>AW18</f>
        <v/>
      </c>
      <c r="I19" s="65">
        <f>BA18</f>
        <v/>
      </c>
      <c r="J19" s="65">
        <f>BE18</f>
        <v/>
      </c>
      <c r="K19" s="66">
        <f>BI18</f>
        <v/>
      </c>
      <c r="L19" t="inlineStr">
        <is>
          <t>Всего, тыс.шт/га</t>
        </is>
      </c>
      <c r="N19" s="31" t="inlineStr">
        <is>
          <t>NN</t>
        </is>
      </c>
      <c r="O19" s="25" t="inlineStr">
        <is>
          <t>GPS точка</t>
        </is>
      </c>
      <c r="P19" s="86" t="inlineStr">
        <is>
          <t>ТЛ/ТУМ</t>
        </is>
      </c>
      <c r="Q19" s="86" t="inlineStr">
        <is>
          <t>Предмет ухода</t>
        </is>
      </c>
      <c r="R19" s="68" t="inlineStr">
        <is>
          <t>примечание</t>
        </is>
      </c>
      <c r="S19" s="41" t="inlineStr">
        <is>
          <t>До 0.5м</t>
        </is>
      </c>
      <c r="T19" s="42" t="inlineStr">
        <is>
          <t>0,5-1,5</t>
        </is>
      </c>
      <c r="U19" s="42" t="inlineStr">
        <is>
          <t>&gt; 1.5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  <c r="Y19" s="70" t="inlineStr">
        <is>
          <t>До 0.5м</t>
        </is>
      </c>
      <c r="Z19" s="42" t="inlineStr">
        <is>
          <t>0,5-1,5</t>
        </is>
      </c>
      <c r="AA19" s="42" t="inlineStr">
        <is>
          <t>&gt; 1.5</t>
        </is>
      </c>
      <c r="AB19" s="42" t="inlineStr">
        <is>
          <t>D, см</t>
        </is>
      </c>
      <c r="AC19" s="43" t="inlineStr">
        <is>
          <t>h, м</t>
        </is>
      </c>
      <c r="AD19" s="26" t="inlineStr">
        <is>
          <t>A, лет</t>
        </is>
      </c>
      <c r="AE19" s="53" t="inlineStr">
        <is>
          <t>До 0.5м</t>
        </is>
      </c>
      <c r="AF19" s="50" t="inlineStr">
        <is>
          <t>0,5-1,5</t>
        </is>
      </c>
      <c r="AG19" s="50" t="inlineStr">
        <is>
          <t>&gt; 1.5</t>
        </is>
      </c>
      <c r="AH19" s="50" t="inlineStr">
        <is>
          <t>D, см</t>
        </is>
      </c>
      <c r="AI19" s="51" t="inlineStr">
        <is>
          <t>h, м</t>
        </is>
      </c>
      <c r="AJ19" s="54" t="inlineStr">
        <is>
          <t>A, лет</t>
        </is>
      </c>
      <c r="AK19" s="49" t="inlineStr">
        <is>
          <t>Кол-во</t>
        </is>
      </c>
      <c r="AL19" s="50" t="inlineStr">
        <is>
          <t>D, см</t>
        </is>
      </c>
      <c r="AM19" s="51" t="inlineStr">
        <is>
          <t>h, м</t>
        </is>
      </c>
      <c r="AN19" s="52" t="inlineStr">
        <is>
          <t>A, лет</t>
        </is>
      </c>
      <c r="AO19" s="25" t="inlineStr">
        <is>
          <t>Кол-во</t>
        </is>
      </c>
      <c r="AP19" s="42" t="inlineStr">
        <is>
          <t>D, см</t>
        </is>
      </c>
      <c r="AQ19" s="43" t="inlineStr">
        <is>
          <t>h, м</t>
        </is>
      </c>
      <c r="AR19" s="26" t="inlineStr">
        <is>
          <t>A, лет</t>
        </is>
      </c>
      <c r="AS19" s="25" t="inlineStr">
        <is>
          <t>Кол-во</t>
        </is>
      </c>
      <c r="AT19" s="42" t="inlineStr">
        <is>
          <t>D, см</t>
        </is>
      </c>
      <c r="AU19" s="43" t="inlineStr">
        <is>
          <t>h, м</t>
        </is>
      </c>
      <c r="AV19" s="26" t="inlineStr">
        <is>
          <t>A, лет</t>
        </is>
      </c>
      <c r="AW19" s="25" t="inlineStr">
        <is>
          <t>Кол-во</t>
        </is>
      </c>
      <c r="AX19" s="42" t="inlineStr">
        <is>
          <t>D, см</t>
        </is>
      </c>
      <c r="AY19" s="43" t="inlineStr">
        <is>
          <t>h, м</t>
        </is>
      </c>
      <c r="AZ19" s="26" t="inlineStr">
        <is>
          <t>A, лет</t>
        </is>
      </c>
      <c r="BA19" s="25" t="inlineStr">
        <is>
          <t>Кол-во</t>
        </is>
      </c>
      <c r="BB19" s="42" t="inlineStr">
        <is>
          <t>D, см</t>
        </is>
      </c>
      <c r="BC19" s="43" t="inlineStr">
        <is>
          <t>h, м</t>
        </is>
      </c>
      <c r="BD19" s="26" t="inlineStr">
        <is>
          <t>A, лет</t>
        </is>
      </c>
      <c r="BE19" s="25" t="inlineStr">
        <is>
          <t>Кол-во</t>
        </is>
      </c>
      <c r="BF19" s="42" t="inlineStr">
        <is>
          <t>D, см</t>
        </is>
      </c>
      <c r="BG19" s="43" t="inlineStr">
        <is>
          <t>h, м</t>
        </is>
      </c>
      <c r="BH19" s="26" t="inlineStr">
        <is>
          <t>A, лет</t>
        </is>
      </c>
      <c r="BI19" s="25" t="inlineStr">
        <is>
          <t>Кол-во</t>
        </is>
      </c>
      <c r="BJ19" s="42" t="inlineStr">
        <is>
          <t>D, см</t>
        </is>
      </c>
      <c r="BK19" s="43" t="inlineStr">
        <is>
          <t>h, м</t>
        </is>
      </c>
      <c r="BL19" s="26" t="inlineStr">
        <is>
          <t>A, лет</t>
        </is>
      </c>
    </row>
    <row r="20">
      <c r="B20" s="62">
        <f>AC20*AA20</f>
        <v/>
      </c>
      <c r="C20">
        <f>AI20*AG20</f>
        <v/>
      </c>
      <c r="D20">
        <f>W20*U20</f>
        <v/>
      </c>
      <c r="E20">
        <f>AK20*AM20</f>
        <v/>
      </c>
      <c r="F20">
        <f>AO20*AQ20</f>
        <v/>
      </c>
      <c r="G20">
        <f>AS20*AU20</f>
        <v/>
      </c>
      <c r="H20">
        <f>AW20*AY20</f>
        <v/>
      </c>
      <c r="I20">
        <f>BA20*BC20</f>
        <v/>
      </c>
      <c r="J20">
        <f>BE20*BG20</f>
        <v/>
      </c>
      <c r="K20" s="63">
        <f>BI20*BK20</f>
        <v/>
      </c>
      <c r="L20" s="139">
        <f>SUM(S20:U20,Y20:AA20,AE20:AG20,AK20,AO20,AS20,AW20,BA20,BE20,BI20)/($AE$16*$AE$16*3.15/10000*1000)</f>
        <v/>
      </c>
      <c r="N20" s="32" t="n">
        <v>1</v>
      </c>
      <c r="O20" s="27" t="n">
        <v>692</v>
      </c>
      <c r="P20" s="87" t="inlineStr">
        <is>
          <t>ЧС/В2</t>
        </is>
      </c>
      <c r="Q20" s="87" t="inlineStr">
        <is>
          <t>4Е</t>
        </is>
      </c>
      <c r="R20" s="69" t="n"/>
      <c r="S20" s="40" t="n">
        <v>1e-06</v>
      </c>
      <c r="T20" s="40" t="n">
        <v>1e-06</v>
      </c>
      <c r="U20" s="40" t="n">
        <v>0</v>
      </c>
      <c r="V20" s="40" t="n"/>
      <c r="W20" s="40" t="n"/>
      <c r="X20" s="24" t="n"/>
      <c r="Y20" s="40" t="n">
        <v>0</v>
      </c>
      <c r="Z20" s="40" t="n">
        <v>1</v>
      </c>
      <c r="AA20" s="40" t="n">
        <v>3</v>
      </c>
      <c r="AB20" s="6" t="n">
        <v>5</v>
      </c>
      <c r="AC20" s="7" t="n">
        <v>4.5</v>
      </c>
      <c r="AD20" s="36" t="n">
        <v>13</v>
      </c>
      <c r="AE20" s="40" t="n">
        <v>1e-06</v>
      </c>
      <c r="AF20" s="40" t="n">
        <v>1e-06</v>
      </c>
      <c r="AG20" s="40" t="n">
        <v>1e-06</v>
      </c>
      <c r="AH20" s="6" t="n"/>
      <c r="AI20" s="7" t="n"/>
      <c r="AJ20" s="8" t="n"/>
      <c r="AK20" s="40" t="n">
        <v>0</v>
      </c>
      <c r="AL20" s="7" t="n"/>
      <c r="AM20" s="7" t="n"/>
      <c r="AN20" s="8" t="n"/>
      <c r="AO20" s="40" t="n">
        <v>1e-06</v>
      </c>
      <c r="AP20" s="40" t="n">
        <v>1e-06</v>
      </c>
      <c r="AQ20" s="40" t="n">
        <v>1e-06</v>
      </c>
      <c r="AR20" s="40" t="n">
        <v>1e-06</v>
      </c>
      <c r="AS20" s="40" t="n">
        <v>1e-06</v>
      </c>
      <c r="AT20" s="40" t="n">
        <v>1e-06</v>
      </c>
      <c r="AU20" s="40" t="n">
        <v>1e-06</v>
      </c>
      <c r="AV20" s="40" t="n">
        <v>1e-06</v>
      </c>
      <c r="AW20" s="40" t="n">
        <v>1e-06</v>
      </c>
      <c r="AX20" s="40" t="n">
        <v>1e-06</v>
      </c>
      <c r="AY20" s="40" t="n">
        <v>1e-06</v>
      </c>
      <c r="AZ20" s="40" t="n">
        <v>1e-06</v>
      </c>
      <c r="BA20" s="40" t="n">
        <v>1e-06</v>
      </c>
      <c r="BB20" s="27" t="n">
        <v>0.0001</v>
      </c>
      <c r="BC20" s="40" t="n">
        <v>0.0001</v>
      </c>
      <c r="BD20" s="24" t="n">
        <v>0.001</v>
      </c>
      <c r="BE20" s="40" t="n">
        <v>1e-06</v>
      </c>
      <c r="BF20" s="40" t="n">
        <v>1e-06</v>
      </c>
      <c r="BG20" s="40" t="n">
        <v>1e-06</v>
      </c>
      <c r="BH20" s="40" t="n">
        <v>1e-06</v>
      </c>
      <c r="BI20" s="40" t="n">
        <v>0</v>
      </c>
      <c r="BJ20" s="27" t="n"/>
      <c r="BK20" s="40" t="n"/>
      <c r="BL20" s="24" t="n"/>
    </row>
    <row r="21">
      <c r="B21" s="62">
        <f>AC21*AA21</f>
        <v/>
      </c>
      <c r="C21">
        <f>AI21*AG21</f>
        <v/>
      </c>
      <c r="D21">
        <f>W21*U21</f>
        <v/>
      </c>
      <c r="E21">
        <f>AK21*AM21</f>
        <v/>
      </c>
      <c r="F21">
        <f>AO21*AQ21</f>
        <v/>
      </c>
      <c r="G21">
        <f>AS21*AU21</f>
        <v/>
      </c>
      <c r="H21">
        <f>AW21*AY21</f>
        <v/>
      </c>
      <c r="I21">
        <f>BA21*BC21</f>
        <v/>
      </c>
      <c r="J21">
        <f>BE21*BG21</f>
        <v/>
      </c>
      <c r="K21" s="63">
        <f>BI21*BK21</f>
        <v/>
      </c>
      <c r="L21" s="139">
        <f>SUM(S21:U21,Y21:AA21,AE21:AG21,AK21,AO21,AS21,AW21,BA21,BE21,BI21)/($AE$16*$AE$16*3.15/10000*1000)</f>
        <v/>
      </c>
      <c r="N21" s="33" t="n">
        <v>2</v>
      </c>
      <c r="O21" s="28" t="n">
        <v>693</v>
      </c>
      <c r="P21" s="88" t="inlineStr">
        <is>
          <t>ЧС/В2</t>
        </is>
      </c>
      <c r="Q21" s="88" t="inlineStr">
        <is>
          <t>9Е1С</t>
        </is>
      </c>
      <c r="R21" s="37" t="n"/>
      <c r="S21" s="20" t="n"/>
      <c r="T21" s="3" t="n"/>
      <c r="U21" s="3" t="n">
        <v>1</v>
      </c>
      <c r="V21" s="3" t="n">
        <v>12</v>
      </c>
      <c r="W21" s="3" t="n">
        <v>6</v>
      </c>
      <c r="X21" s="10" t="n">
        <v>13</v>
      </c>
      <c r="Y21" s="17" t="n">
        <v>0</v>
      </c>
      <c r="Z21" s="2" t="n">
        <v>0</v>
      </c>
      <c r="AA21" s="2" t="n">
        <v>9</v>
      </c>
      <c r="AB21" s="2" t="n">
        <v>4</v>
      </c>
      <c r="AC21" s="3" t="n">
        <v>4.5</v>
      </c>
      <c r="AD21" s="37" t="n">
        <v>13</v>
      </c>
      <c r="AE21" s="9" t="n"/>
      <c r="AF21" s="2" t="n"/>
      <c r="AG21" s="2" t="n">
        <v>0</v>
      </c>
      <c r="AH21" s="2" t="n"/>
      <c r="AI21" s="3" t="n"/>
      <c r="AJ21" s="10" t="n"/>
      <c r="AK21" s="28" t="n">
        <v>0</v>
      </c>
      <c r="AL21" s="3" t="n"/>
      <c r="AM21" s="3" t="n"/>
      <c r="AN21" s="10" t="n"/>
      <c r="AO21" s="28" t="n">
        <v>0</v>
      </c>
      <c r="AP21" s="28" t="n"/>
      <c r="AQ21" s="3" t="n"/>
      <c r="AR21" s="10" t="n"/>
      <c r="AS21" s="20" t="n"/>
      <c r="AT21" s="28" t="n"/>
      <c r="AU21" s="3" t="n"/>
      <c r="AV21" s="10" t="n"/>
      <c r="AW21" s="20" t="n">
        <v>0</v>
      </c>
      <c r="AX21" s="28" t="n"/>
      <c r="AY21" s="3" t="n"/>
      <c r="AZ21" s="10" t="n"/>
      <c r="BA21" s="20" t="n">
        <v>0</v>
      </c>
      <c r="BB21" s="28" t="n"/>
      <c r="BC21" s="3" t="n"/>
      <c r="BD21" s="10" t="n"/>
      <c r="BE21" s="23" t="n"/>
      <c r="BF21" s="28" t="n"/>
      <c r="BG21" s="3" t="n"/>
      <c r="BH21" s="10" t="n"/>
      <c r="BI21" s="23" t="n">
        <v>0</v>
      </c>
      <c r="BJ21" s="28" t="n"/>
      <c r="BK21" s="3" t="n"/>
      <c r="BL21" s="10" t="n"/>
    </row>
    <row r="22">
      <c r="B22" s="62">
        <f>AC22*AA22</f>
        <v/>
      </c>
      <c r="C22">
        <f>AI22*AG22</f>
        <v/>
      </c>
      <c r="D22">
        <f>W22*U22</f>
        <v/>
      </c>
      <c r="E22">
        <f>AK22*AM22</f>
        <v/>
      </c>
      <c r="F22">
        <f>AO22*AQ22</f>
        <v/>
      </c>
      <c r="G22">
        <f>AS22*AU22</f>
        <v/>
      </c>
      <c r="H22">
        <f>AW22*AY22</f>
        <v/>
      </c>
      <c r="I22">
        <f>BA22*BC22</f>
        <v/>
      </c>
      <c r="J22">
        <f>BE22*BG22</f>
        <v/>
      </c>
      <c r="K22" s="63">
        <f>BI22*BK22</f>
        <v/>
      </c>
      <c r="L22" s="139">
        <f>SUM(S22:U22,Y22:AA22,AE22:AG22,AK22,AO22,AS22,AW22,BA22,BE22,BI22)/($AE$16*$AE$16*3.15/10000*1000)</f>
        <v/>
      </c>
      <c r="N22" s="33" t="n">
        <v>3</v>
      </c>
      <c r="O22" s="28" t="n">
        <v>694</v>
      </c>
      <c r="P22" s="88" t="inlineStr">
        <is>
          <t>ЧС/В2</t>
        </is>
      </c>
      <c r="Q22" s="88" t="inlineStr">
        <is>
          <t>2С5Е3Б</t>
        </is>
      </c>
      <c r="R22" s="37" t="n"/>
      <c r="S22" s="20" t="n"/>
      <c r="T22" s="3" t="n"/>
      <c r="U22" s="3" t="n">
        <v>2</v>
      </c>
      <c r="V22" s="3" t="n">
        <v>5</v>
      </c>
      <c r="W22" s="3" t="n">
        <v>3</v>
      </c>
      <c r="X22" s="10" t="n">
        <v>12</v>
      </c>
      <c r="Y22" s="17" t="n">
        <v>0</v>
      </c>
      <c r="Z22" s="2" t="n">
        <v>0</v>
      </c>
      <c r="AA22" s="2" t="n">
        <v>5</v>
      </c>
      <c r="AB22" s="2" t="n">
        <v>4</v>
      </c>
      <c r="AC22" s="3" t="n">
        <v>3.5</v>
      </c>
      <c r="AD22" s="37" t="n">
        <v>13</v>
      </c>
      <c r="AE22" s="9" t="n"/>
      <c r="AF22" s="2" t="n"/>
      <c r="AG22" s="2" t="n">
        <v>0</v>
      </c>
      <c r="AH22" s="2" t="n"/>
      <c r="AI22" s="3" t="n"/>
      <c r="AJ22" s="10" t="n"/>
      <c r="AK22" s="28" t="n">
        <v>3</v>
      </c>
      <c r="AL22" s="3" t="n">
        <v>2</v>
      </c>
      <c r="AM22" s="3" t="n">
        <v>3.5</v>
      </c>
      <c r="AN22" s="10" t="n">
        <v>5</v>
      </c>
      <c r="AO22" s="28" t="n">
        <v>0</v>
      </c>
      <c r="AP22" s="28" t="n"/>
      <c r="AQ22" s="3" t="n"/>
      <c r="AR22" s="10" t="n"/>
      <c r="AS22" s="20" t="n"/>
      <c r="AT22" s="28" t="n"/>
      <c r="AU22" s="3" t="n"/>
      <c r="AV22" s="10" t="n"/>
      <c r="AW22" s="20" t="n">
        <v>0</v>
      </c>
      <c r="AX22" s="28" t="n"/>
      <c r="AY22" s="3" t="n"/>
      <c r="AZ22" s="10" t="n"/>
      <c r="BA22" s="20" t="n">
        <v>0</v>
      </c>
      <c r="BB22" s="28" t="n"/>
      <c r="BC22" s="3" t="n"/>
      <c r="BD22" s="10" t="n"/>
      <c r="BE22" s="23" t="n"/>
      <c r="BF22" s="28" t="n"/>
      <c r="BG22" s="3" t="n"/>
      <c r="BH22" s="10" t="n"/>
      <c r="BI22" s="23" t="n">
        <v>0</v>
      </c>
      <c r="BJ22" s="28" t="n"/>
      <c r="BK22" s="3" t="n"/>
      <c r="BL22" s="10" t="n"/>
    </row>
    <row r="23">
      <c r="B23" s="62">
        <f>AC23*AA23</f>
        <v/>
      </c>
      <c r="C23">
        <f>AI23*AG23</f>
        <v/>
      </c>
      <c r="D23">
        <f>W23*U23</f>
        <v/>
      </c>
      <c r="E23">
        <f>AK23*AM23</f>
        <v/>
      </c>
      <c r="F23">
        <f>AO23*AQ23</f>
        <v/>
      </c>
      <c r="G23">
        <f>AS23*AU23</f>
        <v/>
      </c>
      <c r="H23">
        <f>AW23*AY23</f>
        <v/>
      </c>
      <c r="I23">
        <f>BA23*BC23</f>
        <v/>
      </c>
      <c r="J23">
        <f>BE23*BG23</f>
        <v/>
      </c>
      <c r="K23" s="63">
        <f>BI23*BK23</f>
        <v/>
      </c>
      <c r="L23" s="139">
        <f>SUM(S23:U23,Y23:AA23,AE23:AG23,AK23,AO23,AS23,AW23,BA23,BE23,BI23)/($AE$16*$AE$16*3.15/10000*1000)</f>
        <v/>
      </c>
      <c r="N23" s="33" t="n">
        <v>4</v>
      </c>
      <c r="O23" s="28" t="n">
        <v>695</v>
      </c>
      <c r="P23" s="88" t="inlineStr">
        <is>
          <t>ЧС/В2</t>
        </is>
      </c>
      <c r="Q23" s="88" t="inlineStr">
        <is>
          <t>7Е1Б</t>
        </is>
      </c>
      <c r="R23" s="37" t="n"/>
      <c r="S23" s="20" t="n"/>
      <c r="T23" s="3" t="n"/>
      <c r="U23" s="3" t="n">
        <v>0</v>
      </c>
      <c r="V23" s="3" t="n"/>
      <c r="W23" s="3" t="n"/>
      <c r="X23" s="10" t="n"/>
      <c r="Y23" s="17" t="n">
        <v>0</v>
      </c>
      <c r="Z23" s="2" t="n">
        <v>0</v>
      </c>
      <c r="AA23" s="2" t="n">
        <v>7</v>
      </c>
      <c r="AB23" s="2" t="n">
        <v>7</v>
      </c>
      <c r="AC23" s="3" t="n">
        <v>5.5</v>
      </c>
      <c r="AD23" s="37" t="n">
        <v>13</v>
      </c>
      <c r="AE23" s="9" t="n"/>
      <c r="AF23" s="2" t="n"/>
      <c r="AG23" s="2" t="n">
        <v>0</v>
      </c>
      <c r="AH23" s="2" t="n"/>
      <c r="AI23" s="3" t="n"/>
      <c r="AJ23" s="10" t="n"/>
      <c r="AK23" s="28" t="n">
        <v>1</v>
      </c>
      <c r="AL23" s="3" t="n">
        <v>2</v>
      </c>
      <c r="AM23" s="3" t="n">
        <v>4</v>
      </c>
      <c r="AN23" s="10" t="n">
        <v>5</v>
      </c>
      <c r="AO23" s="28" t="n">
        <v>0</v>
      </c>
      <c r="AP23" s="28" t="n"/>
      <c r="AQ23" s="3" t="n"/>
      <c r="AR23" s="10" t="n"/>
      <c r="AS23" s="20" t="n"/>
      <c r="AT23" s="28" t="n"/>
      <c r="AU23" s="3" t="n"/>
      <c r="AV23" s="10" t="n"/>
      <c r="AW23" s="20" t="n">
        <v>0</v>
      </c>
      <c r="AX23" s="28" t="n"/>
      <c r="AY23" s="3" t="n"/>
      <c r="AZ23" s="10" t="n"/>
      <c r="BA23" s="20" t="n">
        <v>0</v>
      </c>
      <c r="BB23" s="28" t="n"/>
      <c r="BC23" s="3" t="n"/>
      <c r="BD23" s="10" t="n"/>
      <c r="BE23" s="23" t="n"/>
      <c r="BF23" s="28" t="n"/>
      <c r="BG23" s="3" t="n"/>
      <c r="BH23" s="10" t="n"/>
      <c r="BI23" s="23" t="n">
        <v>0</v>
      </c>
      <c r="BJ23" s="28" t="n"/>
      <c r="BK23" s="3" t="n"/>
      <c r="BL23" s="10" t="n"/>
    </row>
    <row r="24">
      <c r="B24" s="62">
        <f>AC24*AA24</f>
        <v/>
      </c>
      <c r="C24">
        <f>AI24*AG24</f>
        <v/>
      </c>
      <c r="D24">
        <f>W24*U24</f>
        <v/>
      </c>
      <c r="E24">
        <f>AK24*AM24</f>
        <v/>
      </c>
      <c r="F24">
        <f>AO24*AQ24</f>
        <v/>
      </c>
      <c r="G24">
        <f>AS24*AU24</f>
        <v/>
      </c>
      <c r="H24">
        <f>AW24*AY24</f>
        <v/>
      </c>
      <c r="I24">
        <f>BA24*BC24</f>
        <v/>
      </c>
      <c r="J24">
        <f>BE24*BG24</f>
        <v/>
      </c>
      <c r="K24" s="63">
        <f>BI24*BK24</f>
        <v/>
      </c>
      <c r="L24" s="139">
        <f>SUM(S24:U24,Y24:AA24,AE24:AG24,AK24,AO24,AS24,AW24,BA24,BE24,BI24)/($AE$16*$AE$16*3.15/10000*1000)</f>
        <v/>
      </c>
      <c r="N24" s="33" t="n">
        <v>5</v>
      </c>
      <c r="O24" s="28" t="n">
        <v>696</v>
      </c>
      <c r="P24" s="88" t="inlineStr">
        <is>
          <t>ДМ/В4</t>
        </is>
      </c>
      <c r="Q24" s="88" t="inlineStr">
        <is>
          <t>3Е5Б</t>
        </is>
      </c>
      <c r="R24" s="37" t="n"/>
      <c r="S24" s="20" t="n"/>
      <c r="T24" s="3" t="n"/>
      <c r="U24" s="3" t="n">
        <v>0</v>
      </c>
      <c r="V24" s="3" t="n"/>
      <c r="W24" s="3" t="n"/>
      <c r="X24" s="10" t="n"/>
      <c r="Y24" s="17" t="n">
        <v>0</v>
      </c>
      <c r="Z24" s="2" t="n">
        <v>0</v>
      </c>
      <c r="AA24" s="2" t="n">
        <v>3</v>
      </c>
      <c r="AB24" s="2" t="n">
        <v>4</v>
      </c>
      <c r="AC24" s="3" t="n">
        <v>4</v>
      </c>
      <c r="AD24" s="37" t="n">
        <v>13</v>
      </c>
      <c r="AE24" s="9" t="n"/>
      <c r="AF24" s="2" t="n"/>
      <c r="AG24" s="2" t="n">
        <v>0</v>
      </c>
      <c r="AH24" s="2" t="n"/>
      <c r="AI24" s="3" t="n"/>
      <c r="AJ24" s="10" t="n"/>
      <c r="AK24" s="28" t="n">
        <v>5</v>
      </c>
      <c r="AL24" s="3" t="n">
        <v>1</v>
      </c>
      <c r="AM24" s="3" t="n">
        <v>3</v>
      </c>
      <c r="AN24" s="10" t="n">
        <v>5</v>
      </c>
      <c r="AO24" s="28" t="n">
        <v>0</v>
      </c>
      <c r="AP24" s="28" t="n"/>
      <c r="AQ24" s="3" t="n"/>
      <c r="AR24" s="10" t="n"/>
      <c r="AS24" s="20" t="n"/>
      <c r="AT24" s="28" t="n"/>
      <c r="AU24" s="3" t="n"/>
      <c r="AV24" s="10" t="n"/>
      <c r="AW24" s="20" t="n">
        <v>0</v>
      </c>
      <c r="AX24" s="28" t="n"/>
      <c r="AY24" s="3" t="n"/>
      <c r="AZ24" s="10" t="n"/>
      <c r="BA24" s="20" t="n">
        <v>0</v>
      </c>
      <c r="BB24" s="28" t="n"/>
      <c r="BC24" s="3" t="n"/>
      <c r="BD24" s="10" t="n"/>
      <c r="BE24" s="23" t="n"/>
      <c r="BF24" s="28" t="n"/>
      <c r="BG24" s="3" t="n"/>
      <c r="BH24" s="10" t="n"/>
      <c r="BI24" s="20" t="n">
        <v>0</v>
      </c>
      <c r="BJ24" s="28" t="n"/>
      <c r="BK24" s="3" t="n"/>
      <c r="BL24" s="10" t="n"/>
    </row>
    <row r="25">
      <c r="B25" s="62">
        <f>AC25*AA25</f>
        <v/>
      </c>
      <c r="C25">
        <f>AI25*AG25</f>
        <v/>
      </c>
      <c r="D25">
        <f>W25*U25</f>
        <v/>
      </c>
      <c r="E25">
        <f>AK25*AM25</f>
        <v/>
      </c>
      <c r="F25">
        <f>AO25*AQ25</f>
        <v/>
      </c>
      <c r="G25">
        <f>AS25*AU25</f>
        <v/>
      </c>
      <c r="H25">
        <f>AW25*AY25</f>
        <v/>
      </c>
      <c r="I25">
        <f>BA25*BC25</f>
        <v/>
      </c>
      <c r="J25">
        <f>BE25*BG25</f>
        <v/>
      </c>
      <c r="K25" s="63">
        <f>BI25*BK25</f>
        <v/>
      </c>
      <c r="L25" s="139">
        <f>SUM(S25:U25,Y25:AA25,AE25:AG25,AK25,AO25,AS25,AW25,BA25,BE25,BI25)/($AE$16*$AE$16*3.15/10000*1000)</f>
        <v/>
      </c>
      <c r="N25" s="33" t="n">
        <v>6</v>
      </c>
      <c r="O25" s="28" t="n">
        <v>697</v>
      </c>
      <c r="P25" s="88" t="inlineStr">
        <is>
          <t>ЧС/В2</t>
        </is>
      </c>
      <c r="Q25" s="88" t="inlineStr">
        <is>
          <t>5С6Е</t>
        </is>
      </c>
      <c r="R25" s="37" t="n"/>
      <c r="S25" s="20" t="n"/>
      <c r="T25" s="3" t="n"/>
      <c r="U25" s="3" t="n">
        <v>5</v>
      </c>
      <c r="V25" s="3" t="n">
        <v>8</v>
      </c>
      <c r="W25" s="3" t="n">
        <v>6</v>
      </c>
      <c r="X25" s="10" t="n">
        <v>13</v>
      </c>
      <c r="Y25" s="17" t="n">
        <v>0</v>
      </c>
      <c r="Z25" s="2" t="n">
        <v>0</v>
      </c>
      <c r="AA25" s="2" t="n">
        <v>6</v>
      </c>
      <c r="AB25" s="2" t="n">
        <v>6</v>
      </c>
      <c r="AC25" s="3" t="n">
        <v>4.7</v>
      </c>
      <c r="AD25" s="37" t="n">
        <v>13</v>
      </c>
      <c r="AE25" s="9" t="n"/>
      <c r="AF25" s="2" t="n"/>
      <c r="AG25" s="2" t="n">
        <v>0</v>
      </c>
      <c r="AH25" s="2" t="n"/>
      <c r="AI25" s="3" t="n"/>
      <c r="AJ25" s="10" t="n"/>
      <c r="AK25" s="28" t="n">
        <v>0</v>
      </c>
      <c r="AL25" s="3" t="n">
        <v>0</v>
      </c>
      <c r="AM25" s="3" t="n">
        <v>0</v>
      </c>
      <c r="AN25" s="10" t="n"/>
      <c r="AO25" s="28" t="n">
        <v>0</v>
      </c>
      <c r="AP25" s="28" t="n"/>
      <c r="AQ25" s="3" t="n"/>
      <c r="AR25" s="10" t="n"/>
      <c r="AS25" s="20" t="n"/>
      <c r="AT25" s="28" t="n"/>
      <c r="AU25" s="3" t="n"/>
      <c r="AV25" s="10" t="n"/>
      <c r="AW25" s="20" t="n">
        <v>0</v>
      </c>
      <c r="AX25" s="28" t="n"/>
      <c r="AY25" s="3" t="n"/>
      <c r="AZ25" s="10" t="n"/>
      <c r="BA25" s="20" t="n">
        <v>0</v>
      </c>
      <c r="BB25" s="28" t="n"/>
      <c r="BC25" s="3" t="n"/>
      <c r="BD25" s="10" t="n"/>
      <c r="BE25" s="23" t="n"/>
      <c r="BF25" s="28" t="n"/>
      <c r="BG25" s="3" t="n"/>
      <c r="BH25" s="10" t="n"/>
      <c r="BI25" s="20" t="n">
        <v>0</v>
      </c>
      <c r="BJ25" s="28" t="n"/>
      <c r="BK25" s="3" t="n"/>
      <c r="BL25" s="10" t="n"/>
    </row>
    <row r="26">
      <c r="B26" s="62">
        <f>AC26*AA26</f>
        <v/>
      </c>
      <c r="C26">
        <f>AI26*AG26</f>
        <v/>
      </c>
      <c r="D26">
        <f>W26*U26</f>
        <v/>
      </c>
      <c r="E26">
        <f>AK26*AM26</f>
        <v/>
      </c>
      <c r="F26">
        <f>AO26*AQ26</f>
        <v/>
      </c>
      <c r="G26">
        <f>AS26*AU26</f>
        <v/>
      </c>
      <c r="H26">
        <f>AW26*AY26</f>
        <v/>
      </c>
      <c r="I26">
        <f>BA26*BC26</f>
        <v/>
      </c>
      <c r="J26">
        <f>BE26*BG26</f>
        <v/>
      </c>
      <c r="K26" s="63">
        <f>BI26*BK26</f>
        <v/>
      </c>
      <c r="L26" s="139">
        <f>SUM(S26:U26,Y26:AA26,AE26:AG26,AK26,AO26,AS26,AW26,BA26,BE26,BI26)/($AE$16*$AE$16*3.15/10000*1000)</f>
        <v/>
      </c>
      <c r="N26" s="33" t="n">
        <v>7</v>
      </c>
      <c r="O26" s="28" t="n">
        <v>698</v>
      </c>
      <c r="P26" s="88" t="inlineStr">
        <is>
          <t>ЧС/В2</t>
        </is>
      </c>
      <c r="Q26" s="88" t="inlineStr">
        <is>
          <t>5Е4С</t>
        </is>
      </c>
      <c r="R26" s="37" t="n"/>
      <c r="S26" s="20" t="n"/>
      <c r="T26" s="3" t="n"/>
      <c r="U26" s="3" t="n">
        <v>4</v>
      </c>
      <c r="V26" s="3" t="n">
        <v>7</v>
      </c>
      <c r="W26" s="3" t="n">
        <v>5</v>
      </c>
      <c r="X26" s="10" t="n">
        <v>12</v>
      </c>
      <c r="Y26" s="17" t="n">
        <v>0</v>
      </c>
      <c r="Z26" s="2" t="n">
        <v>0</v>
      </c>
      <c r="AA26" s="2" t="n">
        <v>5</v>
      </c>
      <c r="AB26" s="2" t="n">
        <v>5</v>
      </c>
      <c r="AC26" s="3" t="n">
        <v>5</v>
      </c>
      <c r="AD26" s="37" t="n">
        <v>13</v>
      </c>
      <c r="AE26" s="9" t="n"/>
      <c r="AF26" s="2" t="n"/>
      <c r="AG26" s="2" t="n">
        <v>0</v>
      </c>
      <c r="AH26" s="2" t="n"/>
      <c r="AI26" s="3" t="n"/>
      <c r="AJ26" s="10" t="n"/>
      <c r="AK26" s="28" t="n">
        <v>0</v>
      </c>
      <c r="AL26" s="3" t="n">
        <v>0</v>
      </c>
      <c r="AM26" s="3" t="n">
        <v>0</v>
      </c>
      <c r="AN26" s="10" t="n"/>
      <c r="AO26" s="28" t="n">
        <v>0</v>
      </c>
      <c r="AP26" s="28" t="n"/>
      <c r="AQ26" s="3" t="n"/>
      <c r="AR26" s="10" t="n"/>
      <c r="AS26" s="20" t="n"/>
      <c r="AT26" s="28" t="n"/>
      <c r="AU26" s="3" t="n"/>
      <c r="AV26" s="10" t="n"/>
      <c r="AW26" s="20" t="n">
        <v>0</v>
      </c>
      <c r="AX26" s="28" t="n"/>
      <c r="AY26" s="3" t="n"/>
      <c r="AZ26" s="10" t="n"/>
      <c r="BA26" s="20" t="n">
        <v>0</v>
      </c>
      <c r="BB26" s="28" t="n"/>
      <c r="BC26" s="3" t="n"/>
      <c r="BD26" s="10" t="n"/>
      <c r="BE26" s="23" t="n"/>
      <c r="BF26" s="28" t="n"/>
      <c r="BG26" s="3" t="n"/>
      <c r="BH26" s="10" t="n"/>
      <c r="BI26" s="20" t="n">
        <v>0</v>
      </c>
      <c r="BJ26" s="28" t="n"/>
      <c r="BK26" s="3" t="n"/>
      <c r="BL26" s="10" t="n"/>
    </row>
    <row r="27">
      <c r="B27" s="62">
        <f>AC27*AA27</f>
        <v/>
      </c>
      <c r="C27">
        <f>AI27*AG27</f>
        <v/>
      </c>
      <c r="D27">
        <f>W27*U27</f>
        <v/>
      </c>
      <c r="E27">
        <f>AK27*AM27</f>
        <v/>
      </c>
      <c r="F27">
        <f>AO27*AQ27</f>
        <v/>
      </c>
      <c r="G27">
        <f>AS27*AU27</f>
        <v/>
      </c>
      <c r="H27">
        <f>AW27*AY27</f>
        <v/>
      </c>
      <c r="I27">
        <f>BA27*BC27</f>
        <v/>
      </c>
      <c r="J27">
        <f>BE27*BG27</f>
        <v/>
      </c>
      <c r="K27" s="63">
        <f>BI27*BK27</f>
        <v/>
      </c>
      <c r="L27" s="139">
        <f>SUM(S27:U27,Y27:AA27,AE27:AG27,AK27,AO27,AS27,AW27,BA27,BE27,BI27)/($AE$16*$AE$16*3.15/10000*1000)</f>
        <v/>
      </c>
      <c r="N27" s="33" t="n">
        <v>8</v>
      </c>
      <c r="O27" s="28" t="n">
        <v>699</v>
      </c>
      <c r="P27" s="88" t="inlineStr">
        <is>
          <t>ЧС/В2</t>
        </is>
      </c>
      <c r="Q27" s="88" t="inlineStr">
        <is>
          <t>1С10Е</t>
        </is>
      </c>
      <c r="R27" s="37" t="n"/>
      <c r="S27" s="20" t="n"/>
      <c r="T27" s="3" t="n"/>
      <c r="U27" s="3" t="n">
        <v>1</v>
      </c>
      <c r="V27" s="3" t="n">
        <v>13</v>
      </c>
      <c r="W27" s="3" t="n">
        <v>6.5</v>
      </c>
      <c r="X27" s="10" t="n">
        <v>13</v>
      </c>
      <c r="Y27" s="17" t="n">
        <v>0</v>
      </c>
      <c r="Z27" s="2" t="n">
        <v>0</v>
      </c>
      <c r="AA27" s="2" t="n">
        <v>10</v>
      </c>
      <c r="AB27" s="2" t="n">
        <v>4</v>
      </c>
      <c r="AC27" s="3" t="n">
        <v>5</v>
      </c>
      <c r="AD27" s="37" t="n">
        <v>13</v>
      </c>
      <c r="AE27" s="9" t="n"/>
      <c r="AF27" s="2" t="n"/>
      <c r="AG27" s="2" t="n">
        <v>0</v>
      </c>
      <c r="AH27" s="2" t="n"/>
      <c r="AI27" s="3" t="n"/>
      <c r="AJ27" s="10" t="n"/>
      <c r="AK27" s="28" t="n">
        <v>0</v>
      </c>
      <c r="AL27" s="3" t="n">
        <v>0</v>
      </c>
      <c r="AM27" s="3" t="n">
        <v>0</v>
      </c>
      <c r="AN27" s="10" t="n"/>
      <c r="AO27" s="28" t="n">
        <v>0</v>
      </c>
      <c r="AP27" s="28" t="n"/>
      <c r="AQ27" s="3" t="n"/>
      <c r="AR27" s="10" t="n"/>
      <c r="AS27" s="20" t="n"/>
      <c r="AT27" s="28" t="n"/>
      <c r="AU27" s="3" t="n"/>
      <c r="AV27" s="10" t="n"/>
      <c r="AW27" s="20" t="n">
        <v>0</v>
      </c>
      <c r="AX27" s="28" t="n"/>
      <c r="AY27" s="3" t="n"/>
      <c r="AZ27" s="10" t="n"/>
      <c r="BA27" s="20" t="n">
        <v>0</v>
      </c>
      <c r="BB27" s="28" t="n"/>
      <c r="BC27" s="3" t="n"/>
      <c r="BD27" s="10" t="n"/>
      <c r="BE27" s="23" t="n"/>
      <c r="BF27" s="28" t="n"/>
      <c r="BG27" s="3" t="n"/>
      <c r="BH27" s="10" t="n"/>
      <c r="BI27" s="20" t="n">
        <v>0</v>
      </c>
      <c r="BJ27" s="28" t="n"/>
      <c r="BK27" s="3" t="n"/>
      <c r="BL27" s="10" t="n"/>
    </row>
    <row r="28">
      <c r="B28" s="62">
        <f>AC28*AA28</f>
        <v/>
      </c>
      <c r="C28">
        <f>AI28*AG28</f>
        <v/>
      </c>
      <c r="D28">
        <f>W28*U28</f>
        <v/>
      </c>
      <c r="E28">
        <f>AK28*AM28</f>
        <v/>
      </c>
      <c r="F28">
        <f>AO28*AQ28</f>
        <v/>
      </c>
      <c r="G28">
        <f>AS28*AU28</f>
        <v/>
      </c>
      <c r="H28">
        <f>AW28*AY28</f>
        <v/>
      </c>
      <c r="I28">
        <f>BA28*BC28</f>
        <v/>
      </c>
      <c r="J28">
        <f>BE28*BG28</f>
        <v/>
      </c>
      <c r="K28" s="63">
        <f>BI28*BK28</f>
        <v/>
      </c>
      <c r="L28" s="139">
        <f>SUM(S28:U28,Y28:AA28,AE28:AG28,AK28,AO28,AS28,AW28,BA28,BE28,BI28)/($AE$16*$AE$16*3.15/10000*1000)</f>
        <v/>
      </c>
      <c r="N28" s="33" t="n">
        <v>9</v>
      </c>
      <c r="O28" s="28" t="n">
        <v>700</v>
      </c>
      <c r="P28" s="88" t="inlineStr">
        <is>
          <t>ЧС/В2</t>
        </is>
      </c>
      <c r="Q28" s="88" t="inlineStr">
        <is>
          <t>8Е</t>
        </is>
      </c>
      <c r="R28" s="37" t="n"/>
      <c r="S28" s="20" t="n"/>
      <c r="T28" s="3" t="n"/>
      <c r="U28" s="3" t="n">
        <v>0</v>
      </c>
      <c r="V28" s="3" t="n"/>
      <c r="W28" s="3" t="n"/>
      <c r="X28" s="10" t="n"/>
      <c r="Y28" s="17" t="n">
        <v>0</v>
      </c>
      <c r="Z28" s="2" t="n">
        <v>0</v>
      </c>
      <c r="AA28" s="2" t="n">
        <v>3</v>
      </c>
      <c r="AB28" s="2" t="n">
        <v>3</v>
      </c>
      <c r="AC28" s="3" t="n">
        <v>3</v>
      </c>
      <c r="AD28" s="37" t="n">
        <v>13</v>
      </c>
      <c r="AE28" s="9" t="n"/>
      <c r="AF28" s="2" t="n"/>
      <c r="AG28" s="2" t="n">
        <v>5</v>
      </c>
      <c r="AH28" s="2" t="n">
        <v>12</v>
      </c>
      <c r="AI28" s="3" t="n">
        <v>11</v>
      </c>
      <c r="AJ28" s="10" t="n">
        <v>30</v>
      </c>
      <c r="AK28" s="28" t="n">
        <v>0</v>
      </c>
      <c r="AL28" s="3" t="n">
        <v>0</v>
      </c>
      <c r="AM28" s="3" t="n">
        <v>0</v>
      </c>
      <c r="AN28" s="10" t="n"/>
      <c r="AO28" s="28" t="n">
        <v>0</v>
      </c>
      <c r="AP28" s="28" t="n"/>
      <c r="AQ28" s="3" t="n"/>
      <c r="AR28" s="10" t="n"/>
      <c r="AS28" s="20" t="n"/>
      <c r="AT28" s="28" t="n"/>
      <c r="AU28" s="3" t="n"/>
      <c r="AV28" s="10" t="n"/>
      <c r="AW28" s="20" t="n">
        <v>0</v>
      </c>
      <c r="AX28" s="28" t="n"/>
      <c r="AY28" s="3" t="n"/>
      <c r="AZ28" s="10" t="n"/>
      <c r="BA28" s="20" t="n">
        <v>0</v>
      </c>
      <c r="BB28" s="28" t="n"/>
      <c r="BC28" s="3" t="n"/>
      <c r="BD28" s="10" t="n"/>
      <c r="BE28" s="23" t="n"/>
      <c r="BF28" s="28" t="n"/>
      <c r="BG28" s="3" t="n"/>
      <c r="BH28" s="10" t="n"/>
      <c r="BI28" s="20" t="n">
        <v>0</v>
      </c>
      <c r="BJ28" s="28" t="n"/>
      <c r="BK28" s="3" t="n"/>
      <c r="BL28" s="10" t="n"/>
    </row>
    <row r="29">
      <c r="B29" s="62">
        <f>AC29*AA29</f>
        <v/>
      </c>
      <c r="C29">
        <f>AI29*AG29</f>
        <v/>
      </c>
      <c r="D29">
        <f>W29*U29</f>
        <v/>
      </c>
      <c r="E29">
        <f>AK29*AM29</f>
        <v/>
      </c>
      <c r="F29">
        <f>AO29*AQ29</f>
        <v/>
      </c>
      <c r="G29">
        <f>AS29*AU29</f>
        <v/>
      </c>
      <c r="H29">
        <f>AW29*AY29</f>
        <v/>
      </c>
      <c r="I29">
        <f>BA29*BC29</f>
        <v/>
      </c>
      <c r="J29">
        <f>BE29*BG29</f>
        <v/>
      </c>
      <c r="K29" s="63">
        <f>BI29*BK29</f>
        <v/>
      </c>
      <c r="L29" s="139">
        <f>SUM(S29:U29,Y29:AA29,AE29:AG29,AK29,AO29,AS29,AW29,BA29,BE29,BI29)/($AE$16*$AE$16*3.15/10000*1000)</f>
        <v/>
      </c>
      <c r="N29" s="33" t="n">
        <v>10</v>
      </c>
      <c r="O29" s="28" t="n">
        <v>701</v>
      </c>
      <c r="P29" s="88" t="inlineStr">
        <is>
          <t>ЧС/В2</t>
        </is>
      </c>
      <c r="Q29" s="88" t="inlineStr">
        <is>
          <t>3С10Е</t>
        </is>
      </c>
      <c r="R29" s="37" t="n"/>
      <c r="S29" s="20" t="n"/>
      <c r="T29" s="3" t="n"/>
      <c r="U29" s="3" t="n">
        <v>3</v>
      </c>
      <c r="V29" s="3" t="n">
        <v>11</v>
      </c>
      <c r="W29" s="3" t="n">
        <v>6</v>
      </c>
      <c r="X29" s="10" t="n">
        <v>13</v>
      </c>
      <c r="Y29" s="17" t="n">
        <v>0</v>
      </c>
      <c r="Z29" s="2" t="n">
        <v>0</v>
      </c>
      <c r="AA29" s="2" t="n">
        <v>9</v>
      </c>
      <c r="AB29" s="2" t="n">
        <v>4</v>
      </c>
      <c r="AC29" s="3" t="n">
        <v>4.5</v>
      </c>
      <c r="AD29" s="37" t="n">
        <v>13</v>
      </c>
      <c r="AE29" s="9" t="n"/>
      <c r="AF29" s="2" t="n"/>
      <c r="AG29" s="2" t="n">
        <v>1</v>
      </c>
      <c r="AH29" s="2" t="n">
        <v>13</v>
      </c>
      <c r="AI29" s="3" t="n">
        <v>11</v>
      </c>
      <c r="AJ29" s="10" t="n">
        <v>25</v>
      </c>
      <c r="AK29" s="28" t="n">
        <v>0</v>
      </c>
      <c r="AL29" s="3" t="n"/>
      <c r="AM29" s="3" t="n"/>
      <c r="AN29" s="10" t="n"/>
      <c r="AO29" s="28" t="n">
        <v>0</v>
      </c>
      <c r="AP29" s="28" t="n"/>
      <c r="AQ29" s="3" t="n"/>
      <c r="AR29" s="10" t="n"/>
      <c r="AS29" s="20" t="n"/>
      <c r="AT29" s="28" t="n"/>
      <c r="AU29" s="3" t="n"/>
      <c r="AV29" s="10" t="n"/>
      <c r="AW29" s="20" t="n">
        <v>0</v>
      </c>
      <c r="AX29" s="28" t="n"/>
      <c r="AY29" s="3" t="n"/>
      <c r="AZ29" s="10" t="n"/>
      <c r="BA29" s="20" t="n">
        <v>0</v>
      </c>
      <c r="BB29" s="28" t="n"/>
      <c r="BC29" s="3" t="n"/>
      <c r="BD29" s="10" t="n"/>
      <c r="BE29" s="23" t="n"/>
      <c r="BF29" s="28" t="n"/>
      <c r="BG29" s="3" t="n"/>
      <c r="BH29" s="10" t="n"/>
      <c r="BI29" s="20" t="n">
        <v>0</v>
      </c>
      <c r="BJ29" s="28" t="n"/>
      <c r="BK29" s="3" t="n"/>
      <c r="BL29" s="10" t="n"/>
    </row>
    <row r="30">
      <c r="B30" s="62">
        <f>AC30*AA30</f>
        <v/>
      </c>
      <c r="C30">
        <f>AI30*AG30</f>
        <v/>
      </c>
      <c r="D30">
        <f>W30*U30</f>
        <v/>
      </c>
      <c r="E30">
        <f>AK30*AM30</f>
        <v/>
      </c>
      <c r="F30">
        <f>AO30*AQ30</f>
        <v/>
      </c>
      <c r="G30">
        <f>AS30*AU30</f>
        <v/>
      </c>
      <c r="H30">
        <f>AW30*AY30</f>
        <v/>
      </c>
      <c r="I30">
        <f>BA30*BC30</f>
        <v/>
      </c>
      <c r="J30">
        <f>BE30*BG30</f>
        <v/>
      </c>
      <c r="K30" s="63">
        <f>BI30*BK30</f>
        <v/>
      </c>
      <c r="L30" s="139">
        <f>SUM(S30:U30,Y30:AA30,AE30:AG30,AK30,AO30,AS30,AW30,BA30,BE30,BI30)/($AE$16*$AE$16*3.15/10000*1000)</f>
        <v/>
      </c>
      <c r="N30" s="33" t="n">
        <v>11</v>
      </c>
      <c r="O30" s="28" t="n">
        <v>702</v>
      </c>
      <c r="P30" s="88" t="inlineStr">
        <is>
          <t>ЧС/В2</t>
        </is>
      </c>
      <c r="Q30" s="88" t="inlineStr">
        <is>
          <t>7Е3Б</t>
        </is>
      </c>
      <c r="R30" s="37" t="n"/>
      <c r="S30" s="20" t="n"/>
      <c r="T30" s="3" t="n"/>
      <c r="U30" s="3" t="n">
        <v>0</v>
      </c>
      <c r="V30" s="3" t="n"/>
      <c r="W30" s="3" t="n"/>
      <c r="X30" s="10" t="n"/>
      <c r="Y30" s="17" t="n">
        <v>0</v>
      </c>
      <c r="Z30" s="2" t="n">
        <v>0</v>
      </c>
      <c r="AA30" s="2" t="n">
        <v>7</v>
      </c>
      <c r="AB30" s="2" t="n">
        <v>5</v>
      </c>
      <c r="AC30" s="3" t="n">
        <v>4.5</v>
      </c>
      <c r="AD30" s="37" t="n">
        <v>13</v>
      </c>
      <c r="AE30" s="9" t="n"/>
      <c r="AF30" s="2" t="n"/>
      <c r="AG30" s="2" t="n">
        <v>0</v>
      </c>
      <c r="AH30" s="2" t="n"/>
      <c r="AI30" s="3" t="n"/>
      <c r="AJ30" s="10" t="n"/>
      <c r="AK30" s="28" t="n">
        <v>3</v>
      </c>
      <c r="AL30" s="3" t="n">
        <v>2</v>
      </c>
      <c r="AM30" s="3" t="n">
        <v>3</v>
      </c>
      <c r="AN30" s="10" t="n">
        <v>5</v>
      </c>
      <c r="AO30" s="28" t="n">
        <v>0</v>
      </c>
      <c r="AP30" s="28" t="n"/>
      <c r="AQ30" s="3" t="n"/>
      <c r="AR30" s="10" t="n"/>
      <c r="AS30" s="20" t="n"/>
      <c r="AT30" s="28" t="n"/>
      <c r="AU30" s="3" t="n"/>
      <c r="AV30" s="10" t="n"/>
      <c r="AW30" s="20" t="n">
        <v>0</v>
      </c>
      <c r="AX30" s="28" t="n"/>
      <c r="AY30" s="3" t="n"/>
      <c r="AZ30" s="10" t="n"/>
      <c r="BA30" s="20" t="n">
        <v>0</v>
      </c>
      <c r="BB30" s="28" t="n"/>
      <c r="BC30" s="3" t="n"/>
      <c r="BD30" s="10" t="n"/>
      <c r="BE30" s="23" t="n"/>
      <c r="BF30" s="28" t="n"/>
      <c r="BG30" s="3" t="n"/>
      <c r="BH30" s="10" t="n"/>
      <c r="BI30" s="20" t="n">
        <v>0.001</v>
      </c>
      <c r="BJ30" s="28" t="n">
        <v>0.0001</v>
      </c>
      <c r="BK30" s="3" t="n">
        <v>1e-05</v>
      </c>
      <c r="BL30" s="10" t="n">
        <v>0.001</v>
      </c>
    </row>
    <row r="31">
      <c r="B31" s="62">
        <f>AC31*AA31</f>
        <v/>
      </c>
      <c r="C31">
        <f>AI31*AG31</f>
        <v/>
      </c>
      <c r="D31">
        <f>W31*U31</f>
        <v/>
      </c>
      <c r="E31">
        <f>AK31*AM31</f>
        <v/>
      </c>
      <c r="F31">
        <f>AO31*AQ31</f>
        <v/>
      </c>
      <c r="G31">
        <f>AS31*AU31</f>
        <v/>
      </c>
      <c r="H31">
        <f>AW31*AY31</f>
        <v/>
      </c>
      <c r="I31">
        <f>BA31*BC31</f>
        <v/>
      </c>
      <c r="J31">
        <f>BE31*BG31</f>
        <v/>
      </c>
      <c r="K31" s="63">
        <f>BI31*BK31</f>
        <v/>
      </c>
      <c r="L31" s="139">
        <f>SUM(S31:U31,Y31:AA31,AE31:AG31,AK31,AO31,AS31,AW31,BA31,BE31,BI31)/($AE$16*$AE$16*3.15/10000*1000)</f>
        <v/>
      </c>
      <c r="N31" s="33" t="n">
        <v>12</v>
      </c>
      <c r="O31" s="28" t="n">
        <v>703</v>
      </c>
      <c r="P31" s="88" t="inlineStr">
        <is>
          <t>ЧС/В2</t>
        </is>
      </c>
      <c r="Q31" s="88" t="inlineStr">
        <is>
          <t>3С9Е</t>
        </is>
      </c>
      <c r="R31" s="37" t="n"/>
      <c r="S31" s="20" t="n"/>
      <c r="T31" s="3" t="n"/>
      <c r="U31" s="3" t="n">
        <v>3</v>
      </c>
      <c r="V31" s="3" t="n">
        <v>4</v>
      </c>
      <c r="W31" s="3" t="n">
        <v>4</v>
      </c>
      <c r="X31" s="10" t="n">
        <v>13</v>
      </c>
      <c r="Y31" s="17" t="n">
        <v>0</v>
      </c>
      <c r="Z31" s="2" t="n">
        <v>0</v>
      </c>
      <c r="AA31" s="2" t="n">
        <v>8</v>
      </c>
      <c r="AB31" s="2" t="n">
        <v>1</v>
      </c>
      <c r="AC31" s="3" t="n">
        <v>3</v>
      </c>
      <c r="AD31" s="37" t="n">
        <v>13</v>
      </c>
      <c r="AE31" s="9" t="n"/>
      <c r="AF31" s="2" t="n"/>
      <c r="AG31" s="2" t="n">
        <v>1</v>
      </c>
      <c r="AH31" s="2" t="n">
        <v>14</v>
      </c>
      <c r="AI31" s="3" t="n">
        <v>10</v>
      </c>
      <c r="AJ31" s="10" t="n">
        <v>30</v>
      </c>
      <c r="AK31" s="28" t="n">
        <v>0</v>
      </c>
      <c r="AL31" s="3" t="n">
        <v>0</v>
      </c>
      <c r="AM31" s="3" t="n">
        <v>0</v>
      </c>
      <c r="AN31" s="10" t="n"/>
      <c r="AO31" s="28" t="n">
        <v>0</v>
      </c>
      <c r="AP31" s="28" t="n"/>
      <c r="AQ31" s="3" t="n"/>
      <c r="AR31" s="10" t="n"/>
      <c r="AS31" s="20" t="n"/>
      <c r="AT31" s="28" t="n"/>
      <c r="AU31" s="3" t="n"/>
      <c r="AV31" s="10" t="n"/>
      <c r="AW31" s="20" t="n">
        <v>0</v>
      </c>
      <c r="AX31" s="28" t="n"/>
      <c r="AY31" s="3" t="n"/>
      <c r="AZ31" s="10" t="n"/>
      <c r="BA31" s="20" t="n">
        <v>0</v>
      </c>
      <c r="BB31" s="28" t="n"/>
      <c r="BC31" s="3" t="n"/>
      <c r="BD31" s="10" t="n"/>
      <c r="BE31" s="23" t="n"/>
      <c r="BF31" s="28" t="n"/>
      <c r="BG31" s="3" t="n"/>
      <c r="BH31" s="10" t="n"/>
      <c r="BI31" s="20" t="n">
        <v>0</v>
      </c>
      <c r="BJ31" s="28" t="n"/>
      <c r="BK31" s="3" t="n"/>
      <c r="BL31" s="10" t="n"/>
    </row>
    <row r="32">
      <c r="B32" s="62">
        <f>AC32*AA32</f>
        <v/>
      </c>
      <c r="C32">
        <f>AI32*AG32</f>
        <v/>
      </c>
      <c r="D32">
        <f>W32*U32</f>
        <v/>
      </c>
      <c r="E32">
        <f>AK32*AM32</f>
        <v/>
      </c>
      <c r="F32">
        <f>AO32*AQ32</f>
        <v/>
      </c>
      <c r="G32">
        <f>AS32*AU32</f>
        <v/>
      </c>
      <c r="H32">
        <f>AW32*AY32</f>
        <v/>
      </c>
      <c r="I32">
        <f>BA32*BC32</f>
        <v/>
      </c>
      <c r="J32">
        <f>BE32*BG32</f>
        <v/>
      </c>
      <c r="K32" s="63">
        <f>BI32*BK32</f>
        <v/>
      </c>
      <c r="L32" s="139">
        <f>SUM(S32:U32,Y32:AA32,AE32:AG32,AK32,AO32,AS32,AW32,BA32,BE32,BI32)/($AE$16*$AE$16*3.15/10000*1000)</f>
        <v/>
      </c>
      <c r="N32" s="33" t="n">
        <v>13</v>
      </c>
      <c r="O32" s="28" t="n">
        <v>704</v>
      </c>
      <c r="P32" s="88" t="inlineStr">
        <is>
          <t>ЧС/В2</t>
        </is>
      </c>
      <c r="Q32" s="88" t="inlineStr">
        <is>
          <t>6С5Е</t>
        </is>
      </c>
      <c r="R32" s="37" t="n"/>
      <c r="S32" s="20" t="n"/>
      <c r="T32" s="3" t="n"/>
      <c r="U32" s="3" t="n">
        <v>6</v>
      </c>
      <c r="V32" s="3" t="n">
        <v>8</v>
      </c>
      <c r="W32" s="3" t="n">
        <v>5.5</v>
      </c>
      <c r="X32" s="10" t="n">
        <v>13</v>
      </c>
      <c r="Y32" s="17" t="n">
        <v>0</v>
      </c>
      <c r="Z32" s="2" t="n">
        <v>0</v>
      </c>
      <c r="AA32" s="2" t="n">
        <v>5</v>
      </c>
      <c r="AB32" s="2" t="n">
        <v>3</v>
      </c>
      <c r="AC32" s="3" t="n">
        <v>3</v>
      </c>
      <c r="AD32" s="37" t="n">
        <v>13</v>
      </c>
      <c r="AE32" s="9" t="n"/>
      <c r="AF32" s="2" t="n"/>
      <c r="AG32" s="2" t="n">
        <v>0</v>
      </c>
      <c r="AH32" s="2" t="n"/>
      <c r="AI32" s="3" t="n"/>
      <c r="AJ32" s="10" t="n"/>
      <c r="AK32" s="28" t="n">
        <v>0</v>
      </c>
      <c r="AL32" s="3" t="n">
        <v>0</v>
      </c>
      <c r="AM32" s="3" t="n">
        <v>0</v>
      </c>
      <c r="AN32" s="10" t="n"/>
      <c r="AO32" s="28" t="n">
        <v>0</v>
      </c>
      <c r="AP32" s="28" t="n"/>
      <c r="AQ32" s="3" t="n"/>
      <c r="AR32" s="10" t="n"/>
      <c r="AS32" s="20" t="n"/>
      <c r="AT32" s="28" t="n"/>
      <c r="AU32" s="3" t="n"/>
      <c r="AV32" s="10" t="n"/>
      <c r="AW32" s="20" t="n">
        <v>0</v>
      </c>
      <c r="AX32" s="28" t="n"/>
      <c r="AY32" s="3" t="n"/>
      <c r="AZ32" s="10" t="n"/>
      <c r="BA32" s="20" t="n">
        <v>0</v>
      </c>
      <c r="BB32" s="28" t="n"/>
      <c r="BC32" s="3" t="n"/>
      <c r="BD32" s="10" t="n"/>
      <c r="BE32" s="23" t="n"/>
      <c r="BF32" s="28" t="n"/>
      <c r="BG32" s="3" t="n"/>
      <c r="BH32" s="10" t="n"/>
      <c r="BI32" s="20" t="n">
        <v>0</v>
      </c>
      <c r="BJ32" s="28" t="n"/>
      <c r="BK32" s="3" t="n"/>
      <c r="BL32" s="10" t="n"/>
    </row>
    <row r="33">
      <c r="B33" s="62">
        <f>AC33*AA33</f>
        <v/>
      </c>
      <c r="C33">
        <f>AI33*AG33</f>
        <v/>
      </c>
      <c r="D33">
        <f>W33*U33</f>
        <v/>
      </c>
      <c r="E33">
        <f>AK33*AM33</f>
        <v/>
      </c>
      <c r="F33">
        <f>AO33*AQ33</f>
        <v/>
      </c>
      <c r="G33">
        <f>AS33*AU33</f>
        <v/>
      </c>
      <c r="H33">
        <f>AW33*AY33</f>
        <v/>
      </c>
      <c r="I33">
        <f>BA33*BC33</f>
        <v/>
      </c>
      <c r="J33">
        <f>BE33*BG33</f>
        <v/>
      </c>
      <c r="K33" s="63">
        <f>BI33*BK33</f>
        <v/>
      </c>
      <c r="L33" s="139">
        <f>SUM(S33:U33,Y33:AA33,AE33:AG33,AK33,AO33,AS33,AW33,BA33,BE33,BI33)/($AE$16*$AE$16*3.15/10000*1000)</f>
        <v/>
      </c>
      <c r="N33" s="33" t="n">
        <v>14</v>
      </c>
      <c r="O33" s="28" t="n">
        <v>705</v>
      </c>
      <c r="P33" s="88" t="inlineStr">
        <is>
          <t>ЧС/В2</t>
        </is>
      </c>
      <c r="Q33" s="88" t="inlineStr">
        <is>
          <t>5С5Е</t>
        </is>
      </c>
      <c r="R33" s="37" t="n"/>
      <c r="S33" s="20" t="n"/>
      <c r="T33" s="3" t="n"/>
      <c r="U33" s="3" t="n">
        <v>5</v>
      </c>
      <c r="V33" s="3" t="n">
        <v>5</v>
      </c>
      <c r="W33" s="3" t="n">
        <v>4.5</v>
      </c>
      <c r="X33" s="10" t="n">
        <v>13</v>
      </c>
      <c r="Y33" s="17" t="n">
        <v>0</v>
      </c>
      <c r="Z33" s="2" t="n">
        <v>0</v>
      </c>
      <c r="AA33" s="2" t="n">
        <v>5</v>
      </c>
      <c r="AB33" s="2" t="n">
        <v>1</v>
      </c>
      <c r="AC33" s="3" t="n">
        <v>3</v>
      </c>
      <c r="AD33" s="37" t="n">
        <v>13</v>
      </c>
      <c r="AE33" s="9" t="n"/>
      <c r="AF33" s="2" t="n"/>
      <c r="AG33" s="2" t="n">
        <v>0</v>
      </c>
      <c r="AH33" s="2" t="n"/>
      <c r="AI33" s="3" t="n"/>
      <c r="AJ33" s="10" t="n"/>
      <c r="AK33" s="28" t="n">
        <v>0</v>
      </c>
      <c r="AL33" s="3" t="n">
        <v>0</v>
      </c>
      <c r="AM33" s="3" t="n">
        <v>0</v>
      </c>
      <c r="AN33" s="10" t="n"/>
      <c r="AO33" s="28" t="n">
        <v>0</v>
      </c>
      <c r="AP33" s="28" t="n"/>
      <c r="AQ33" s="3" t="n"/>
      <c r="AR33" s="10" t="n"/>
      <c r="AS33" s="20" t="n"/>
      <c r="AT33" s="28" t="n"/>
      <c r="AU33" s="3" t="n"/>
      <c r="AV33" s="10" t="n"/>
      <c r="AW33" s="20" t="n">
        <v>0</v>
      </c>
      <c r="AX33" s="28" t="n"/>
      <c r="AY33" s="3" t="n"/>
      <c r="AZ33" s="10" t="n"/>
      <c r="BA33" s="20" t="n">
        <v>0</v>
      </c>
      <c r="BB33" s="28" t="n"/>
      <c r="BC33" s="3" t="n"/>
      <c r="BD33" s="10" t="n"/>
      <c r="BE33" s="23" t="n"/>
      <c r="BF33" s="28" t="n"/>
      <c r="BG33" s="3" t="n"/>
      <c r="BH33" s="10" t="n"/>
      <c r="BI33" s="20" t="n">
        <v>0</v>
      </c>
      <c r="BJ33" s="28" t="n"/>
      <c r="BK33" s="3" t="n"/>
      <c r="BL33" s="10" t="n"/>
    </row>
    <row r="34">
      <c r="B34" s="62">
        <f>AC34*AA34</f>
        <v/>
      </c>
      <c r="C34">
        <f>AI34*AG34</f>
        <v/>
      </c>
      <c r="D34">
        <f>W34*U34</f>
        <v/>
      </c>
      <c r="E34">
        <f>AK34*AM34</f>
        <v/>
      </c>
      <c r="F34">
        <f>AO34*AQ34</f>
        <v/>
      </c>
      <c r="G34">
        <f>AS34*AU34</f>
        <v/>
      </c>
      <c r="H34">
        <f>AW34*AY34</f>
        <v/>
      </c>
      <c r="I34">
        <f>BA34*BC34</f>
        <v/>
      </c>
      <c r="J34">
        <f>BE34*BG34</f>
        <v/>
      </c>
      <c r="K34" s="63">
        <f>BI34*BK34</f>
        <v/>
      </c>
      <c r="L34" s="139">
        <f>SUM(S34:U34,Y34:AA34,AE34:AG34,AK34,AO34,AS34,AW34,BA34,BE34,BI34)/($AE$16*$AE$16*3.15/10000*1000)</f>
        <v/>
      </c>
      <c r="N34" s="33" t="n">
        <v>15</v>
      </c>
      <c r="O34" s="28" t="n">
        <v>706</v>
      </c>
      <c r="P34" s="88" t="inlineStr">
        <is>
          <t>ЧС/В2</t>
        </is>
      </c>
      <c r="Q34" s="88" t="inlineStr">
        <is>
          <t>3С9Е</t>
        </is>
      </c>
      <c r="R34" s="37" t="n"/>
      <c r="S34" s="20" t="n"/>
      <c r="T34" s="3" t="n"/>
      <c r="U34" s="3" t="n">
        <v>3</v>
      </c>
      <c r="V34" s="3" t="n">
        <v>6</v>
      </c>
      <c r="W34" s="3" t="n">
        <v>5</v>
      </c>
      <c r="X34" s="10" t="n">
        <v>13</v>
      </c>
      <c r="Y34" s="17" t="n">
        <v>0</v>
      </c>
      <c r="Z34" s="2" t="n">
        <v>0</v>
      </c>
      <c r="AA34" s="2" t="n">
        <v>9</v>
      </c>
      <c r="AB34" s="2" t="n">
        <v>5</v>
      </c>
      <c r="AC34" s="3" t="n">
        <v>5</v>
      </c>
      <c r="AD34" s="37" t="n">
        <v>13</v>
      </c>
      <c r="AE34" s="9" t="n"/>
      <c r="AF34" s="2" t="n"/>
      <c r="AG34" s="2" t="n">
        <v>0</v>
      </c>
      <c r="AH34" s="2" t="n"/>
      <c r="AI34" s="3" t="n"/>
      <c r="AJ34" s="10" t="n"/>
      <c r="AK34" s="28" t="n">
        <v>0</v>
      </c>
      <c r="AL34" s="3" t="n">
        <v>0</v>
      </c>
      <c r="AM34" s="3" t="n">
        <v>0</v>
      </c>
      <c r="AN34" s="10" t="n"/>
      <c r="AO34" s="28" t="n">
        <v>0</v>
      </c>
      <c r="AP34" s="28" t="n"/>
      <c r="AQ34" s="3" t="n"/>
      <c r="AR34" s="10" t="n"/>
      <c r="AS34" s="20" t="n"/>
      <c r="AT34" s="28" t="n"/>
      <c r="AU34" s="3" t="n"/>
      <c r="AV34" s="10" t="n"/>
      <c r="AW34" s="20" t="n">
        <v>0</v>
      </c>
      <c r="AX34" s="28" t="n"/>
      <c r="AY34" s="3" t="n"/>
      <c r="AZ34" s="10" t="n"/>
      <c r="BA34" s="20" t="n">
        <v>0</v>
      </c>
      <c r="BB34" s="28" t="n"/>
      <c r="BC34" s="3" t="n"/>
      <c r="BD34" s="10" t="n"/>
      <c r="BE34" s="23" t="n"/>
      <c r="BF34" s="28" t="n"/>
      <c r="BG34" s="3" t="n"/>
      <c r="BH34" s="10" t="n"/>
      <c r="BI34" s="20" t="n">
        <v>0</v>
      </c>
      <c r="BJ34" s="28" t="n"/>
      <c r="BK34" s="3" t="n"/>
      <c r="BL34" s="10" t="n"/>
    </row>
    <row r="35" ht="15" customHeight="1" s="141">
      <c r="B35" s="62">
        <f>AC35*AA35</f>
        <v/>
      </c>
      <c r="C35">
        <f>AI35*AG35</f>
        <v/>
      </c>
      <c r="D35">
        <f>W35*U35</f>
        <v/>
      </c>
      <c r="E35">
        <f>AK35*AM35</f>
        <v/>
      </c>
      <c r="F35">
        <f>AO35*AQ35</f>
        <v/>
      </c>
      <c r="G35">
        <f>AS35*AU35</f>
        <v/>
      </c>
      <c r="H35">
        <f>AW35*AY35</f>
        <v/>
      </c>
      <c r="I35">
        <f>BA35*BC35</f>
        <v/>
      </c>
      <c r="J35">
        <f>BE35*BG35</f>
        <v/>
      </c>
      <c r="K35" s="63">
        <f>BI35*BK35</f>
        <v/>
      </c>
      <c r="L35" s="139">
        <f>SUM(S35:U35,Y35:AA35,AE35:AG35,AK35,AO35,AS35,AW35,BA35,BE35,BI35)/($AE$16*$AE$16*3.15/10000*1000)</f>
        <v/>
      </c>
      <c r="N35" s="33" t="n">
        <v>16</v>
      </c>
      <c r="O35" s="28" t="n"/>
      <c r="P35" s="88" t="n"/>
      <c r="Q35" s="88" t="n"/>
      <c r="R35" s="37" t="n"/>
      <c r="S35" s="20" t="n"/>
      <c r="T35" s="3" t="n"/>
      <c r="U35" s="3" t="n"/>
      <c r="V35" s="3" t="n"/>
      <c r="W35" s="3" t="n"/>
      <c r="X35" s="10" t="n"/>
      <c r="Y35" s="17" t="n"/>
      <c r="Z35" s="2" t="n"/>
      <c r="AA35" s="2" t="n"/>
      <c r="AB35" s="2" t="n"/>
      <c r="AC35" s="3" t="n"/>
      <c r="AD35" s="37" t="n"/>
      <c r="AE35" s="9" t="n"/>
      <c r="AF35" s="2" t="n"/>
      <c r="AG35" s="2" t="n"/>
      <c r="AH35" s="2" t="n"/>
      <c r="AI35" s="3" t="n"/>
      <c r="AJ35" s="10" t="n"/>
      <c r="AK35" s="28" t="n"/>
      <c r="AL35" s="3" t="n"/>
      <c r="AM35" s="3" t="n"/>
      <c r="AN35" s="10" t="n"/>
      <c r="AO35" s="28" t="n"/>
      <c r="AP35" s="28" t="n"/>
      <c r="AQ35" s="3" t="n"/>
      <c r="AR35" s="10" t="n"/>
      <c r="AS35" s="20" t="n"/>
      <c r="AT35" s="28" t="n"/>
      <c r="AU35" s="3" t="n"/>
      <c r="AV35" s="10" t="n"/>
      <c r="AW35" s="20" t="n"/>
      <c r="AX35" s="28" t="n"/>
      <c r="AY35" s="3" t="n"/>
      <c r="AZ35" s="10" t="n"/>
      <c r="BA35" s="20" t="n"/>
      <c r="BB35" s="28" t="n"/>
      <c r="BC35" s="3" t="n"/>
      <c r="BD35" s="10" t="n"/>
      <c r="BE35" s="23" t="n"/>
      <c r="BF35" s="28" t="n"/>
      <c r="BG35" s="3" t="n"/>
      <c r="BH35" s="10" t="n"/>
      <c r="BI35" s="20" t="n"/>
      <c r="BJ35" s="28" t="n"/>
      <c r="BK35" s="3" t="n"/>
      <c r="BL35" s="10" t="n"/>
    </row>
    <row r="36" ht="15" customHeight="1" s="141">
      <c r="B36" s="62">
        <f>AC36*AA36</f>
        <v/>
      </c>
      <c r="C36">
        <f>AI36*AG36</f>
        <v/>
      </c>
      <c r="D36">
        <f>W36*U36</f>
        <v/>
      </c>
      <c r="E36">
        <f>AK36*AM36</f>
        <v/>
      </c>
      <c r="F36">
        <f>AO36*AQ36</f>
        <v/>
      </c>
      <c r="G36">
        <f>AS36*AU36</f>
        <v/>
      </c>
      <c r="H36">
        <f>AW36*AY36</f>
        <v/>
      </c>
      <c r="I36">
        <f>BA36*BC36</f>
        <v/>
      </c>
      <c r="J36">
        <f>BE36*BG36</f>
        <v/>
      </c>
      <c r="K36" s="63">
        <f>BI36*BK36</f>
        <v/>
      </c>
      <c r="L36" s="139">
        <f>SUM(S36:U36,Y36:AA36,AE36:AG36,AK36,AO36,AS36,AW36,BA36,BE36,BI36)/($AE$16*$AE$16*3.15/10000*1000)</f>
        <v/>
      </c>
      <c r="N36" s="33" t="n">
        <v>17</v>
      </c>
      <c r="O36" s="28" t="n"/>
      <c r="P36" s="88" t="n"/>
      <c r="Q36" s="88" t="n"/>
      <c r="R36" s="37" t="n"/>
      <c r="S36" s="20" t="n"/>
      <c r="T36" s="3" t="n"/>
      <c r="U36" s="3" t="n"/>
      <c r="V36" s="3" t="n"/>
      <c r="W36" s="3" t="n"/>
      <c r="X36" s="10" t="n"/>
      <c r="Y36" s="17" t="n"/>
      <c r="Z36" s="2" t="n"/>
      <c r="AA36" s="2" t="n"/>
      <c r="AB36" s="2" t="n"/>
      <c r="AC36" s="3" t="n"/>
      <c r="AD36" s="37" t="n"/>
      <c r="AE36" s="9" t="n"/>
      <c r="AF36" s="2" t="n"/>
      <c r="AG36" s="2" t="n"/>
      <c r="AH36" s="2" t="n"/>
      <c r="AI36" s="3" t="n"/>
      <c r="AJ36" s="10" t="n"/>
      <c r="AK36" s="28" t="n"/>
      <c r="AL36" s="3" t="n"/>
      <c r="AM36" s="3" t="n"/>
      <c r="AN36" s="10" t="n"/>
      <c r="AO36" s="28" t="n"/>
      <c r="AP36" s="28" t="n"/>
      <c r="AQ36" s="3" t="n"/>
      <c r="AR36" s="10" t="n"/>
      <c r="AS36" s="20" t="n"/>
      <c r="AT36" s="28" t="n"/>
      <c r="AU36" s="3" t="n"/>
      <c r="AV36" s="10" t="n"/>
      <c r="AW36" s="20" t="n"/>
      <c r="AX36" s="28" t="n"/>
      <c r="AY36" s="3" t="n"/>
      <c r="AZ36" s="10" t="n"/>
      <c r="BA36" s="20" t="n"/>
      <c r="BB36" s="28" t="n"/>
      <c r="BC36" s="3" t="n"/>
      <c r="BD36" s="10" t="n"/>
      <c r="BE36" s="23" t="n"/>
      <c r="BF36" s="28" t="n"/>
      <c r="BG36" s="3" t="n"/>
      <c r="BH36" s="10" t="n"/>
      <c r="BI36" s="20" t="n"/>
      <c r="BJ36" s="28" t="n"/>
      <c r="BK36" s="3" t="n"/>
      <c r="BL36" s="10" t="n"/>
    </row>
    <row r="37" ht="15" customHeight="1" s="141">
      <c r="B37" s="62">
        <f>AC37*AA37</f>
        <v/>
      </c>
      <c r="C37">
        <f>AI37*AG37</f>
        <v/>
      </c>
      <c r="D37">
        <f>W37*U37</f>
        <v/>
      </c>
      <c r="E37">
        <f>AK37*AM37</f>
        <v/>
      </c>
      <c r="F37">
        <f>AO37*AQ37</f>
        <v/>
      </c>
      <c r="G37">
        <f>AS37*AU37</f>
        <v/>
      </c>
      <c r="H37">
        <f>AW37*AY37</f>
        <v/>
      </c>
      <c r="I37">
        <f>BA37*BC37</f>
        <v/>
      </c>
      <c r="J37">
        <f>BE37*BG37</f>
        <v/>
      </c>
      <c r="K37" s="63">
        <f>BI37*BK37</f>
        <v/>
      </c>
      <c r="L37" s="139">
        <f>SUM(S37:U37,Y37:AA37,AE37:AG37,AK37,AO37,AS37,AW37,BA37,BE37,BI37)/($AE$16*$AE$16*3.15/10000*1000)</f>
        <v/>
      </c>
      <c r="N37" s="33" t="n">
        <v>18</v>
      </c>
      <c r="O37" s="28" t="n"/>
      <c r="P37" s="88" t="n"/>
      <c r="Q37" s="88" t="n"/>
      <c r="R37" s="37" t="n"/>
      <c r="S37" s="20" t="n"/>
      <c r="T37" s="3" t="n"/>
      <c r="U37" s="3" t="n"/>
      <c r="V37" s="3" t="n"/>
      <c r="W37" s="3" t="n"/>
      <c r="X37" s="10" t="n"/>
      <c r="Y37" s="17" t="n"/>
      <c r="Z37" s="2" t="n"/>
      <c r="AA37" s="2" t="n"/>
      <c r="AB37" s="2" t="n"/>
      <c r="AC37" s="3" t="n"/>
      <c r="AD37" s="37" t="n"/>
      <c r="AE37" s="9" t="n"/>
      <c r="AF37" s="2" t="n"/>
      <c r="AG37" s="2" t="n"/>
      <c r="AH37" s="2" t="n"/>
      <c r="AI37" s="3" t="n"/>
      <c r="AJ37" s="10" t="n"/>
      <c r="AK37" s="28" t="n"/>
      <c r="AL37" s="3" t="n"/>
      <c r="AM37" s="3" t="n"/>
      <c r="AN37" s="10" t="n"/>
      <c r="AO37" s="28" t="n"/>
      <c r="AP37" s="28" t="n"/>
      <c r="AQ37" s="3" t="n"/>
      <c r="AR37" s="10" t="n"/>
      <c r="AS37" s="20" t="n"/>
      <c r="AT37" s="28" t="n"/>
      <c r="AU37" s="3" t="n"/>
      <c r="AV37" s="10" t="n"/>
      <c r="AW37" s="20" t="n"/>
      <c r="AX37" s="28" t="n"/>
      <c r="AY37" s="3" t="n"/>
      <c r="AZ37" s="10" t="n"/>
      <c r="BA37" s="20" t="n"/>
      <c r="BB37" s="28" t="n"/>
      <c r="BC37" s="3" t="n"/>
      <c r="BD37" s="10" t="n"/>
      <c r="BE37" s="23" t="n"/>
      <c r="BF37" s="28" t="n"/>
      <c r="BG37" s="3" t="n"/>
      <c r="BH37" s="10" t="n"/>
      <c r="BI37" s="20" t="n"/>
      <c r="BJ37" s="28" t="n"/>
      <c r="BK37" s="3" t="n"/>
      <c r="BL37" s="10" t="n"/>
    </row>
    <row r="38" ht="15" customHeight="1" s="141">
      <c r="B38" s="62">
        <f>AC38*AA38</f>
        <v/>
      </c>
      <c r="C38">
        <f>AI38*AG38</f>
        <v/>
      </c>
      <c r="D38">
        <f>W38*U38</f>
        <v/>
      </c>
      <c r="E38">
        <f>AK38*AM38</f>
        <v/>
      </c>
      <c r="F38">
        <f>AO38*AQ38</f>
        <v/>
      </c>
      <c r="G38">
        <f>AS38*AU38</f>
        <v/>
      </c>
      <c r="H38">
        <f>AW38*AY38</f>
        <v/>
      </c>
      <c r="I38">
        <f>BA38*BC38</f>
        <v/>
      </c>
      <c r="J38">
        <f>BE38*BG38</f>
        <v/>
      </c>
      <c r="K38" s="63">
        <f>BI38*BK38</f>
        <v/>
      </c>
      <c r="L38" s="139">
        <f>SUM(S38:U38,Y38:AA38,AE38:AG38,AK38,AO38,AS38,AW38,BA38,BE38,BI38)/($AE$16*$AE$16*3.15/10000*1000)</f>
        <v/>
      </c>
      <c r="N38" s="33" t="n">
        <v>19</v>
      </c>
      <c r="O38" s="28" t="n"/>
      <c r="P38" s="88" t="n"/>
      <c r="Q38" s="88" t="n"/>
      <c r="R38" s="37" t="n"/>
      <c r="S38" s="20" t="n"/>
      <c r="T38" s="3" t="n"/>
      <c r="U38" s="3" t="n"/>
      <c r="V38" s="3" t="n"/>
      <c r="W38" s="3" t="n"/>
      <c r="X38" s="10" t="n"/>
      <c r="Y38" s="17" t="n"/>
      <c r="Z38" s="2" t="n"/>
      <c r="AA38" s="2" t="n"/>
      <c r="AB38" s="2" t="n"/>
      <c r="AC38" s="3" t="n"/>
      <c r="AD38" s="37" t="n"/>
      <c r="AE38" s="9" t="n"/>
      <c r="AF38" s="2" t="n"/>
      <c r="AG38" s="2" t="n"/>
      <c r="AH38" s="2" t="n"/>
      <c r="AI38" s="3" t="n"/>
      <c r="AJ38" s="10" t="n"/>
      <c r="AK38" s="28" t="n"/>
      <c r="AL38" s="3" t="n"/>
      <c r="AM38" s="3" t="n"/>
      <c r="AN38" s="10" t="n"/>
      <c r="AO38" s="28" t="n"/>
      <c r="AP38" s="28" t="n"/>
      <c r="AQ38" s="3" t="n"/>
      <c r="AR38" s="10" t="n"/>
      <c r="AS38" s="20" t="n"/>
      <c r="AT38" s="28" t="n"/>
      <c r="AU38" s="3" t="n"/>
      <c r="AV38" s="10" t="n"/>
      <c r="AW38" s="20" t="n"/>
      <c r="AX38" s="28" t="n"/>
      <c r="AY38" s="3" t="n"/>
      <c r="AZ38" s="10" t="n"/>
      <c r="BA38" s="20" t="n"/>
      <c r="BB38" s="28" t="n"/>
      <c r="BC38" s="3" t="n"/>
      <c r="BD38" s="10" t="n"/>
      <c r="BE38" s="23" t="n"/>
      <c r="BF38" s="28" t="n"/>
      <c r="BG38" s="3" t="n"/>
      <c r="BH38" s="10" t="n"/>
      <c r="BI38" s="20" t="n"/>
      <c r="BJ38" s="28" t="n"/>
      <c r="BK38" s="3" t="n"/>
      <c r="BL38" s="10" t="n"/>
    </row>
    <row r="39" ht="15" customHeight="1" s="141">
      <c r="B39" s="62">
        <f>AC39*AA39</f>
        <v/>
      </c>
      <c r="C39">
        <f>AI39*AG39</f>
        <v/>
      </c>
      <c r="D39">
        <f>W39*U39</f>
        <v/>
      </c>
      <c r="E39">
        <f>AK39*AM39</f>
        <v/>
      </c>
      <c r="F39">
        <f>AO39*AQ39</f>
        <v/>
      </c>
      <c r="G39">
        <f>AS39*AU39</f>
        <v/>
      </c>
      <c r="H39">
        <f>AW39*AY39</f>
        <v/>
      </c>
      <c r="I39">
        <f>BA39*BC39</f>
        <v/>
      </c>
      <c r="J39">
        <f>BE39*BG39</f>
        <v/>
      </c>
      <c r="K39" s="63">
        <f>BI39*BK39</f>
        <v/>
      </c>
      <c r="L39" s="139">
        <f>SUM(S39:U39,Y39:AA39,AE39:AG39,AK39,AO39,AS39,AW39,BA39,BE39,BI39)/($AE$16*$AE$16*3.15/10000*1000)</f>
        <v/>
      </c>
      <c r="N39" s="33" t="n">
        <v>20</v>
      </c>
      <c r="O39" s="28" t="n"/>
      <c r="P39" s="88" t="n"/>
      <c r="Q39" s="88" t="n"/>
      <c r="R39" s="37" t="n"/>
      <c r="S39" s="20" t="n"/>
      <c r="T39" s="3" t="n"/>
      <c r="U39" s="3" t="n"/>
      <c r="V39" s="3" t="n"/>
      <c r="W39" s="3" t="n"/>
      <c r="X39" s="10" t="n"/>
      <c r="Y39" s="17" t="n"/>
      <c r="Z39" s="2" t="n"/>
      <c r="AA39" s="2" t="n"/>
      <c r="AB39" s="2" t="n"/>
      <c r="AC39" s="3" t="n"/>
      <c r="AD39" s="37" t="n"/>
      <c r="AE39" s="9" t="n"/>
      <c r="AF39" s="2" t="n"/>
      <c r="AG39" s="2" t="n"/>
      <c r="AH39" s="2" t="n"/>
      <c r="AI39" s="3" t="n"/>
      <c r="AJ39" s="10" t="n"/>
      <c r="AK39" s="28" t="n"/>
      <c r="AL39" s="3" t="n"/>
      <c r="AM39" s="3" t="n"/>
      <c r="AN39" s="10" t="n"/>
      <c r="AO39" s="28" t="n"/>
      <c r="AP39" s="28" t="n"/>
      <c r="AQ39" s="3" t="n"/>
      <c r="AR39" s="10" t="n"/>
      <c r="AS39" s="20" t="n"/>
      <c r="AT39" s="28" t="n"/>
      <c r="AU39" s="3" t="n"/>
      <c r="AV39" s="10" t="n"/>
      <c r="AW39" s="20" t="n"/>
      <c r="AX39" s="28" t="n"/>
      <c r="AY39" s="3" t="n"/>
      <c r="AZ39" s="10" t="n"/>
      <c r="BA39" s="20" t="n"/>
      <c r="BB39" s="28" t="n"/>
      <c r="BC39" s="3" t="n"/>
      <c r="BD39" s="10" t="n"/>
      <c r="BE39" s="23" t="n"/>
      <c r="BF39" s="28" t="n"/>
      <c r="BG39" s="3" t="n"/>
      <c r="BH39" s="10" t="n"/>
      <c r="BI39" s="20" t="n"/>
      <c r="BJ39" s="28" t="n"/>
      <c r="BK39" s="3" t="n"/>
      <c r="BL39" s="10" t="n"/>
    </row>
    <row r="40" ht="15" customHeight="1" s="141">
      <c r="B40" s="62">
        <f>AC40*AA40</f>
        <v/>
      </c>
      <c r="C40">
        <f>AI40*AG40</f>
        <v/>
      </c>
      <c r="D40">
        <f>W40*U40</f>
        <v/>
      </c>
      <c r="E40">
        <f>AK40*AM40</f>
        <v/>
      </c>
      <c r="F40">
        <f>AO40*AQ40</f>
        <v/>
      </c>
      <c r="G40">
        <f>AS40*AU40</f>
        <v/>
      </c>
      <c r="H40">
        <f>AW40*AY40</f>
        <v/>
      </c>
      <c r="I40">
        <f>BA40*BC40</f>
        <v/>
      </c>
      <c r="J40">
        <f>BE40*BG40</f>
        <v/>
      </c>
      <c r="K40" s="63">
        <f>BI40*BK40</f>
        <v/>
      </c>
      <c r="L40" s="139">
        <f>SUM(S40:U40,Y40:AA40,AE40:AG40,AK40,AO40,AS40,AW40,BA40,BE40,BI40)/($AE$16*$AE$16*3.15/10000*1000)</f>
        <v/>
      </c>
      <c r="N40" s="33" t="n">
        <v>21</v>
      </c>
      <c r="O40" s="28" t="n"/>
      <c r="P40" s="88" t="n"/>
      <c r="Q40" s="88" t="n"/>
      <c r="R40" s="37" t="n"/>
      <c r="S40" s="20" t="n"/>
      <c r="T40" s="3" t="n"/>
      <c r="U40" s="3" t="n"/>
      <c r="V40" s="3" t="n"/>
      <c r="W40" s="3" t="n"/>
      <c r="X40" s="10" t="n"/>
      <c r="Y40" s="17" t="n"/>
      <c r="Z40" s="2" t="n"/>
      <c r="AA40" s="2" t="n"/>
      <c r="AB40" s="2" t="n"/>
      <c r="AC40" s="3" t="n"/>
      <c r="AD40" s="37" t="n"/>
      <c r="AE40" s="9" t="n"/>
      <c r="AF40" s="2" t="n"/>
      <c r="AG40" s="2" t="n"/>
      <c r="AH40" s="2" t="n"/>
      <c r="AI40" s="3" t="n"/>
      <c r="AJ40" s="10" t="n"/>
      <c r="AK40" s="28" t="n"/>
      <c r="AL40" s="3" t="n"/>
      <c r="AM40" s="3" t="n"/>
      <c r="AN40" s="10" t="n"/>
      <c r="AO40" s="28" t="n"/>
      <c r="AP40" s="28" t="n"/>
      <c r="AQ40" s="3" t="n"/>
      <c r="AR40" s="10" t="n"/>
      <c r="AS40" s="20" t="n"/>
      <c r="AT40" s="28" t="n"/>
      <c r="AU40" s="3" t="n"/>
      <c r="AV40" s="10" t="n"/>
      <c r="AW40" s="20" t="n"/>
      <c r="AX40" s="28" t="n"/>
      <c r="AY40" s="3" t="n"/>
      <c r="AZ40" s="10" t="n"/>
      <c r="BA40" s="20" t="n"/>
      <c r="BB40" s="28" t="n"/>
      <c r="BC40" s="3" t="n"/>
      <c r="BD40" s="10" t="n"/>
      <c r="BE40" s="23" t="n"/>
      <c r="BF40" s="28" t="n"/>
      <c r="BG40" s="3" t="n"/>
      <c r="BH40" s="10" t="n"/>
      <c r="BI40" s="20" t="n"/>
      <c r="BJ40" s="28" t="n"/>
      <c r="BK40" s="3" t="n"/>
      <c r="BL40" s="10" t="n"/>
    </row>
    <row r="41" ht="15" customHeight="1" s="141">
      <c r="B41" s="62">
        <f>AC41*AA41</f>
        <v/>
      </c>
      <c r="C41">
        <f>AI41*AG41</f>
        <v/>
      </c>
      <c r="D41">
        <f>W41*U41</f>
        <v/>
      </c>
      <c r="E41">
        <f>AK41*AM41</f>
        <v/>
      </c>
      <c r="F41">
        <f>AO41*AQ41</f>
        <v/>
      </c>
      <c r="G41">
        <f>AS41*AU41</f>
        <v/>
      </c>
      <c r="H41">
        <f>AW41*AY41</f>
        <v/>
      </c>
      <c r="I41">
        <f>BA41*BC41</f>
        <v/>
      </c>
      <c r="J41">
        <f>BE41*BG41</f>
        <v/>
      </c>
      <c r="K41" s="63">
        <f>BI41*BK41</f>
        <v/>
      </c>
      <c r="L41" s="139">
        <f>SUM(S41:U41,Y41:AA41,AE41:AG41,AK41,AO41,AS41,AW41,BA41,BE41,BI41)/($AE$16*$AE$16*3.15/10000*1000)</f>
        <v/>
      </c>
      <c r="N41" s="33" t="n">
        <v>22</v>
      </c>
      <c r="O41" s="28" t="n"/>
      <c r="P41" s="88" t="n"/>
      <c r="Q41" s="88" t="n"/>
      <c r="R41" s="37" t="n"/>
      <c r="S41" s="20" t="n"/>
      <c r="T41" s="3" t="n"/>
      <c r="U41" s="3" t="n"/>
      <c r="V41" s="3" t="n"/>
      <c r="W41" s="3" t="n"/>
      <c r="X41" s="10" t="n"/>
      <c r="Y41" s="17" t="n"/>
      <c r="Z41" s="2" t="n"/>
      <c r="AA41" s="2" t="n"/>
      <c r="AB41" s="2" t="n"/>
      <c r="AC41" s="3" t="n"/>
      <c r="AD41" s="37" t="n"/>
      <c r="AE41" s="9" t="n"/>
      <c r="AF41" s="2" t="n"/>
      <c r="AG41" s="2" t="n"/>
      <c r="AH41" s="2" t="n"/>
      <c r="AI41" s="3" t="n"/>
      <c r="AJ41" s="10" t="n"/>
      <c r="AK41" s="28" t="n"/>
      <c r="AL41" s="3" t="n"/>
      <c r="AM41" s="3" t="n"/>
      <c r="AN41" s="10" t="n"/>
      <c r="AO41" s="28" t="n"/>
      <c r="AP41" s="28" t="n"/>
      <c r="AQ41" s="3" t="n"/>
      <c r="AR41" s="10" t="n"/>
      <c r="AS41" s="20" t="n"/>
      <c r="AT41" s="28" t="n"/>
      <c r="AU41" s="3" t="n"/>
      <c r="AV41" s="10" t="n"/>
      <c r="AW41" s="20" t="n"/>
      <c r="AX41" s="28" t="n"/>
      <c r="AY41" s="3" t="n"/>
      <c r="AZ41" s="10" t="n"/>
      <c r="BA41" s="20" t="n"/>
      <c r="BB41" s="28" t="n"/>
      <c r="BC41" s="3" t="n"/>
      <c r="BD41" s="10" t="n"/>
      <c r="BE41" s="23" t="n"/>
      <c r="BF41" s="28" t="n"/>
      <c r="BG41" s="3" t="n"/>
      <c r="BH41" s="10" t="n"/>
      <c r="BI41" s="20" t="n"/>
      <c r="BJ41" s="28" t="n"/>
      <c r="BK41" s="3" t="n"/>
      <c r="BL41" s="10" t="n"/>
    </row>
    <row r="42" ht="15" customHeight="1" s="141">
      <c r="B42" s="62">
        <f>AC42*AA42</f>
        <v/>
      </c>
      <c r="C42">
        <f>AI42*AG42</f>
        <v/>
      </c>
      <c r="D42">
        <f>W42*U42</f>
        <v/>
      </c>
      <c r="E42">
        <f>AK42*AM42</f>
        <v/>
      </c>
      <c r="F42">
        <f>AO42*AQ42</f>
        <v/>
      </c>
      <c r="G42">
        <f>AS42*AU42</f>
        <v/>
      </c>
      <c r="H42">
        <f>AW42*AY42</f>
        <v/>
      </c>
      <c r="I42">
        <f>BA42*BC42</f>
        <v/>
      </c>
      <c r="J42">
        <f>BE42*BG42</f>
        <v/>
      </c>
      <c r="K42" s="63">
        <f>BI42*BK42</f>
        <v/>
      </c>
      <c r="L42" s="139">
        <f>SUM(S42:U42,Y42:AA42,AE42:AG42,AK42,AO42,AS42,AW42,BA42,BE42,BI42)/($AE$16*$AE$16*3.15/10000*1000)</f>
        <v/>
      </c>
      <c r="N42" s="33" t="n">
        <v>23</v>
      </c>
      <c r="O42" s="28" t="n"/>
      <c r="P42" s="88" t="n"/>
      <c r="Q42" s="88" t="n"/>
      <c r="R42" s="37" t="n"/>
      <c r="S42" s="20" t="n"/>
      <c r="T42" s="3" t="n"/>
      <c r="U42" s="3" t="n"/>
      <c r="V42" s="3" t="n"/>
      <c r="W42" s="3" t="n"/>
      <c r="X42" s="10" t="n"/>
      <c r="Y42" s="17" t="n"/>
      <c r="Z42" s="2" t="n"/>
      <c r="AA42" s="2" t="n"/>
      <c r="AB42" s="2" t="n"/>
      <c r="AC42" s="3" t="n"/>
      <c r="AD42" s="37" t="n"/>
      <c r="AE42" s="9" t="n"/>
      <c r="AF42" s="2" t="n"/>
      <c r="AG42" s="2" t="n"/>
      <c r="AH42" s="2" t="n"/>
      <c r="AI42" s="3" t="n"/>
      <c r="AJ42" s="10" t="n"/>
      <c r="AK42" s="28" t="n"/>
      <c r="AL42" s="3" t="n"/>
      <c r="AM42" s="3" t="n"/>
      <c r="AN42" s="10" t="n"/>
      <c r="AO42" s="28" t="n"/>
      <c r="AP42" s="28" t="n"/>
      <c r="AQ42" s="3" t="n"/>
      <c r="AR42" s="10" t="n"/>
      <c r="AS42" s="20" t="n"/>
      <c r="AT42" s="28" t="n"/>
      <c r="AU42" s="3" t="n"/>
      <c r="AV42" s="10" t="n"/>
      <c r="AW42" s="20" t="n"/>
      <c r="AX42" s="28" t="n"/>
      <c r="AY42" s="3" t="n"/>
      <c r="AZ42" s="10" t="n"/>
      <c r="BA42" s="20" t="n"/>
      <c r="BB42" s="28" t="n"/>
      <c r="BC42" s="3" t="n"/>
      <c r="BD42" s="10" t="n"/>
      <c r="BE42" s="23" t="n"/>
      <c r="BF42" s="28" t="n"/>
      <c r="BG42" s="3" t="n"/>
      <c r="BH42" s="10" t="n"/>
      <c r="BI42" s="20" t="n"/>
      <c r="BJ42" s="28" t="n"/>
      <c r="BK42" s="3" t="n"/>
      <c r="BL42" s="10" t="n"/>
    </row>
    <row r="43">
      <c r="B43" s="62">
        <f>AC43*AA43</f>
        <v/>
      </c>
      <c r="C43">
        <f>AI43*AG43</f>
        <v/>
      </c>
      <c r="D43">
        <f>W43*U43</f>
        <v/>
      </c>
      <c r="E43">
        <f>AK43*AM43</f>
        <v/>
      </c>
      <c r="F43">
        <f>AO43*AQ43</f>
        <v/>
      </c>
      <c r="G43">
        <f>AS43*AU43</f>
        <v/>
      </c>
      <c r="H43">
        <f>AW43*AY43</f>
        <v/>
      </c>
      <c r="I43">
        <f>BA43*BC43</f>
        <v/>
      </c>
      <c r="J43">
        <f>BE43*BG43</f>
        <v/>
      </c>
      <c r="K43" s="63">
        <f>BI43*BK43</f>
        <v/>
      </c>
      <c r="L43" s="139">
        <f>SUM(S43:U43,Y43:AA43,AE43:AG43,AK43,AO43,AS43,AW43,BA43,BE43,BI43)/($AE$16*$AE$16*3.15/10000*1000)</f>
        <v/>
      </c>
      <c r="N43" s="33" t="n">
        <v>24</v>
      </c>
      <c r="O43" s="28" t="n"/>
      <c r="P43" s="88" t="n"/>
      <c r="Q43" s="88" t="n"/>
      <c r="R43" s="37" t="n"/>
      <c r="S43" s="20" t="n"/>
      <c r="T43" s="3" t="n"/>
      <c r="U43" s="3" t="n"/>
      <c r="V43" s="3" t="n"/>
      <c r="W43" s="3" t="n"/>
      <c r="X43" s="10" t="n"/>
      <c r="Y43" s="17" t="n"/>
      <c r="Z43" s="2" t="n"/>
      <c r="AA43" s="2" t="n"/>
      <c r="AB43" s="2" t="n"/>
      <c r="AC43" s="3" t="n"/>
      <c r="AD43" s="37" t="n"/>
      <c r="AE43" s="9" t="n"/>
      <c r="AF43" s="2" t="n"/>
      <c r="AG43" s="2" t="n"/>
      <c r="AH43" s="2" t="n"/>
      <c r="AI43" s="3" t="n"/>
      <c r="AJ43" s="10" t="n"/>
      <c r="AK43" s="28" t="n"/>
      <c r="AL43" s="3" t="n"/>
      <c r="AM43" s="3" t="n"/>
      <c r="AN43" s="10" t="n"/>
      <c r="AO43" s="28" t="n"/>
      <c r="AP43" s="28" t="n"/>
      <c r="AQ43" s="3" t="n"/>
      <c r="AR43" s="10" t="n"/>
      <c r="AS43" s="20" t="n"/>
      <c r="AT43" s="28" t="n"/>
      <c r="AU43" s="3" t="n"/>
      <c r="AV43" s="10" t="n"/>
      <c r="AW43" s="20" t="n"/>
      <c r="AX43" s="28" t="n"/>
      <c r="AY43" s="3" t="n"/>
      <c r="AZ43" s="10" t="n"/>
      <c r="BA43" s="20" t="n"/>
      <c r="BB43" s="28" t="n"/>
      <c r="BC43" s="3" t="n"/>
      <c r="BD43" s="10" t="n"/>
      <c r="BE43" s="23" t="n"/>
      <c r="BF43" s="28" t="n"/>
      <c r="BG43" s="3" t="n"/>
      <c r="BH43" s="10" t="n"/>
      <c r="BI43" s="20" t="n"/>
      <c r="BJ43" s="28" t="n"/>
      <c r="BK43" s="3" t="n"/>
      <c r="BL43" s="10" t="n"/>
    </row>
    <row r="44">
      <c r="B44" s="62">
        <f>AC44*AA44</f>
        <v/>
      </c>
      <c r="C44">
        <f>AI44*AG44</f>
        <v/>
      </c>
      <c r="D44">
        <f>W44*U44</f>
        <v/>
      </c>
      <c r="E44">
        <f>AK44*AM44</f>
        <v/>
      </c>
      <c r="F44">
        <f>AO44*AQ44</f>
        <v/>
      </c>
      <c r="G44">
        <f>AS44*AU44</f>
        <v/>
      </c>
      <c r="H44">
        <f>AW44*AY44</f>
        <v/>
      </c>
      <c r="I44">
        <f>BA44*BC44</f>
        <v/>
      </c>
      <c r="J44">
        <f>BE44*BG44</f>
        <v/>
      </c>
      <c r="K44" s="63">
        <f>BI44*BK44</f>
        <v/>
      </c>
      <c r="L44" s="139">
        <f>SUM(S44:U44,Y44:AA44,AE44:AG44,AK44,AO44,AS44,AW44,BA44,BE44,BI44)/($AE$16*$AE$16*3.15/10000*1000)</f>
        <v/>
      </c>
      <c r="N44" s="33" t="n">
        <v>25</v>
      </c>
      <c r="O44" s="28" t="n"/>
      <c r="P44" s="88" t="n"/>
      <c r="Q44" s="88" t="n"/>
      <c r="R44" s="37" t="n"/>
      <c r="S44" s="20" t="n"/>
      <c r="T44" s="3" t="n"/>
      <c r="U44" s="3" t="n"/>
      <c r="V44" s="3" t="n"/>
      <c r="W44" s="3" t="n"/>
      <c r="X44" s="10" t="n"/>
      <c r="Y44" s="17" t="n"/>
      <c r="Z44" s="2" t="n"/>
      <c r="AA44" s="2" t="n"/>
      <c r="AB44" s="2" t="n"/>
      <c r="AC44" s="3" t="n"/>
      <c r="AD44" s="37" t="n"/>
      <c r="AE44" s="9" t="n"/>
      <c r="AF44" s="2" t="n"/>
      <c r="AG44" s="2" t="n"/>
      <c r="AH44" s="2" t="n"/>
      <c r="AI44" s="3" t="n"/>
      <c r="AJ44" s="10" t="n"/>
      <c r="AK44" s="28" t="n"/>
      <c r="AL44" s="3" t="n"/>
      <c r="AM44" s="3" t="n"/>
      <c r="AN44" s="10" t="n"/>
      <c r="AO44" s="28" t="n"/>
      <c r="AP44" s="28" t="n"/>
      <c r="AQ44" s="3" t="n"/>
      <c r="AR44" s="10" t="n"/>
      <c r="AS44" s="20" t="n"/>
      <c r="AT44" s="28" t="n"/>
      <c r="AU44" s="3" t="n"/>
      <c r="AV44" s="10" t="n"/>
      <c r="AW44" s="20" t="n"/>
      <c r="AX44" s="28" t="n"/>
      <c r="AY44" s="3" t="n"/>
      <c r="AZ44" s="10" t="n"/>
      <c r="BA44" s="20" t="n"/>
      <c r="BB44" s="28" t="n"/>
      <c r="BC44" s="3" t="n"/>
      <c r="BD44" s="10" t="n"/>
      <c r="BE44" s="23" t="n"/>
      <c r="BF44" s="28" t="n"/>
      <c r="BG44" s="3" t="n"/>
      <c r="BH44" s="10" t="n"/>
      <c r="BI44" s="20" t="n"/>
      <c r="BJ44" s="28" t="n"/>
      <c r="BK44" s="3" t="n"/>
      <c r="BL44" s="10" t="n"/>
    </row>
    <row r="45">
      <c r="B45" s="62">
        <f>AC45*AA45</f>
        <v/>
      </c>
      <c r="C45">
        <f>AI45*AG45</f>
        <v/>
      </c>
      <c r="D45">
        <f>W45*U45</f>
        <v/>
      </c>
      <c r="E45">
        <f>AK45*AM45</f>
        <v/>
      </c>
      <c r="F45">
        <f>AO45*AQ45</f>
        <v/>
      </c>
      <c r="G45">
        <f>AS45*AU45</f>
        <v/>
      </c>
      <c r="H45">
        <f>AW45*AY45</f>
        <v/>
      </c>
      <c r="I45">
        <f>BA45*BC45</f>
        <v/>
      </c>
      <c r="J45">
        <f>BE45*BG45</f>
        <v/>
      </c>
      <c r="K45" s="63">
        <f>BI45*BK45</f>
        <v/>
      </c>
      <c r="L45" s="139">
        <f>SUM(S45:U45,Y45:AA45,AE45:AG45,AK45,AO45,AS45,AW45,BA45,BE45,BI45)/($AE$16*$AE$16*3.15/10000*1000)</f>
        <v/>
      </c>
      <c r="N45" s="33" t="n">
        <v>26</v>
      </c>
      <c r="O45" s="28" t="n"/>
      <c r="P45" s="88" t="n"/>
      <c r="Q45" s="88" t="n"/>
      <c r="R45" s="37" t="n"/>
      <c r="S45" s="20" t="n"/>
      <c r="T45" s="3" t="n"/>
      <c r="U45" s="3" t="n"/>
      <c r="V45" s="3" t="n"/>
      <c r="W45" s="3" t="n"/>
      <c r="X45" s="10" t="n"/>
      <c r="Y45" s="17" t="n"/>
      <c r="Z45" s="2" t="n"/>
      <c r="AA45" s="2" t="n"/>
      <c r="AB45" s="2" t="n"/>
      <c r="AC45" s="3" t="n"/>
      <c r="AD45" s="37" t="n"/>
      <c r="AE45" s="9" t="n"/>
      <c r="AF45" s="2" t="n"/>
      <c r="AG45" s="2" t="n"/>
      <c r="AH45" s="2" t="n"/>
      <c r="AI45" s="3" t="n"/>
      <c r="AJ45" s="10" t="n"/>
      <c r="AK45" s="28" t="n"/>
      <c r="AL45" s="3" t="n"/>
      <c r="AM45" s="3" t="n"/>
      <c r="AN45" s="10" t="n"/>
      <c r="AO45" s="28" t="n"/>
      <c r="AP45" s="28" t="n"/>
      <c r="AQ45" s="3" t="n"/>
      <c r="AR45" s="10" t="n"/>
      <c r="AS45" s="20" t="n"/>
      <c r="AT45" s="28" t="n"/>
      <c r="AU45" s="3" t="n"/>
      <c r="AV45" s="10" t="n"/>
      <c r="AW45" s="20" t="n"/>
      <c r="AX45" s="28" t="n"/>
      <c r="AY45" s="3" t="n"/>
      <c r="AZ45" s="10" t="n"/>
      <c r="BA45" s="20" t="n"/>
      <c r="BB45" s="28" t="n"/>
      <c r="BC45" s="3" t="n"/>
      <c r="BD45" s="10" t="n"/>
      <c r="BE45" s="23" t="n"/>
      <c r="BF45" s="28" t="n"/>
      <c r="BG45" s="3" t="n"/>
      <c r="BH45" s="10" t="n"/>
      <c r="BI45" s="20" t="n"/>
      <c r="BJ45" s="28" t="n"/>
      <c r="BK45" s="3" t="n"/>
      <c r="BL45" s="10" t="n"/>
    </row>
    <row r="46">
      <c r="B46" s="62">
        <f>AC46*AA46</f>
        <v/>
      </c>
      <c r="C46">
        <f>AI46*AG46</f>
        <v/>
      </c>
      <c r="D46">
        <f>W46*U46</f>
        <v/>
      </c>
      <c r="E46">
        <f>AK46*AM46</f>
        <v/>
      </c>
      <c r="F46">
        <f>AO46*AQ46</f>
        <v/>
      </c>
      <c r="G46">
        <f>AS46*AU46</f>
        <v/>
      </c>
      <c r="H46">
        <f>AW46*AY46</f>
        <v/>
      </c>
      <c r="I46">
        <f>BA46*BC46</f>
        <v/>
      </c>
      <c r="J46">
        <f>BE46*BG46</f>
        <v/>
      </c>
      <c r="K46" s="63">
        <f>BI46*BK46</f>
        <v/>
      </c>
      <c r="L46" s="139">
        <f>SUM(S46:U46,Y46:AA46,AE46:AG46,AK46,AO46,AS46,AW46,BA46,BE46,BI46)/($AE$16*$AE$16*3.15/10000*1000)</f>
        <v/>
      </c>
      <c r="N46" s="33" t="n">
        <v>27</v>
      </c>
      <c r="O46" s="28" t="n"/>
      <c r="P46" s="88" t="n"/>
      <c r="Q46" s="88" t="n"/>
      <c r="R46" s="37" t="n"/>
      <c r="S46" s="20" t="n"/>
      <c r="T46" s="3" t="n"/>
      <c r="U46" s="3" t="n"/>
      <c r="V46" s="3" t="n"/>
      <c r="W46" s="3" t="n"/>
      <c r="X46" s="10" t="n"/>
      <c r="Y46" s="17" t="n"/>
      <c r="Z46" s="2" t="n"/>
      <c r="AA46" s="2" t="n"/>
      <c r="AB46" s="2" t="n"/>
      <c r="AC46" s="3" t="n"/>
      <c r="AD46" s="37" t="n"/>
      <c r="AE46" s="9" t="n"/>
      <c r="AF46" s="2" t="n"/>
      <c r="AG46" s="2" t="n"/>
      <c r="AH46" s="2" t="n"/>
      <c r="AI46" s="3" t="n"/>
      <c r="AJ46" s="10" t="n"/>
      <c r="AK46" s="28" t="n"/>
      <c r="AL46" s="3" t="n"/>
      <c r="AM46" s="3" t="n"/>
      <c r="AN46" s="10" t="n"/>
      <c r="AO46" s="28" t="n"/>
      <c r="AP46" s="28" t="n"/>
      <c r="AQ46" s="3" t="n"/>
      <c r="AR46" s="10" t="n"/>
      <c r="AS46" s="20" t="n"/>
      <c r="AT46" s="28" t="n"/>
      <c r="AU46" s="3" t="n"/>
      <c r="AV46" s="10" t="n"/>
      <c r="AW46" s="20" t="n"/>
      <c r="AX46" s="28" t="n"/>
      <c r="AY46" s="3" t="n"/>
      <c r="AZ46" s="10" t="n"/>
      <c r="BA46" s="20" t="n"/>
      <c r="BB46" s="28" t="n"/>
      <c r="BC46" s="3" t="n"/>
      <c r="BD46" s="10" t="n"/>
      <c r="BE46" s="23" t="n"/>
      <c r="BF46" s="28" t="n"/>
      <c r="BG46" s="3" t="n"/>
      <c r="BH46" s="10" t="n"/>
      <c r="BI46" s="20" t="n"/>
      <c r="BJ46" s="28" t="n"/>
      <c r="BK46" s="3" t="n"/>
      <c r="BL46" s="10" t="n"/>
    </row>
    <row r="47">
      <c r="B47" s="62">
        <f>AC47*AA47</f>
        <v/>
      </c>
      <c r="C47">
        <f>AI47*AG47</f>
        <v/>
      </c>
      <c r="D47">
        <f>W47*U47</f>
        <v/>
      </c>
      <c r="E47">
        <f>AK47*AM47</f>
        <v/>
      </c>
      <c r="F47">
        <f>AO47*AQ47</f>
        <v/>
      </c>
      <c r="G47">
        <f>AS47*AU47</f>
        <v/>
      </c>
      <c r="H47">
        <f>AW47*AY47</f>
        <v/>
      </c>
      <c r="I47">
        <f>BA47*BC47</f>
        <v/>
      </c>
      <c r="J47">
        <f>BE47*BG47</f>
        <v/>
      </c>
      <c r="K47" s="63">
        <f>BI47*BK47</f>
        <v/>
      </c>
      <c r="L47" s="139">
        <f>SUM(S47:U47,Y47:AA47,AE47:AG47,AK47,AO47,AS47,AW47,BA47,BE47,BI47)/($AE$16*$AE$16*3.15/10000*1000)</f>
        <v/>
      </c>
      <c r="N47" s="33" t="n">
        <v>28</v>
      </c>
      <c r="O47" s="28" t="n"/>
      <c r="P47" s="88" t="n"/>
      <c r="Q47" s="88" t="n"/>
      <c r="R47" s="37" t="n"/>
      <c r="S47" s="20" t="n"/>
      <c r="T47" s="3" t="n"/>
      <c r="U47" s="3" t="n"/>
      <c r="V47" s="3" t="n"/>
      <c r="W47" s="3" t="n"/>
      <c r="X47" s="10" t="n"/>
      <c r="Y47" s="17" t="n"/>
      <c r="Z47" s="2" t="n"/>
      <c r="AA47" s="2" t="n"/>
      <c r="AB47" s="2" t="n"/>
      <c r="AC47" s="3" t="n"/>
      <c r="AD47" s="37" t="n"/>
      <c r="AE47" s="9" t="n"/>
      <c r="AF47" s="2" t="n"/>
      <c r="AG47" s="2" t="n"/>
      <c r="AH47" s="2" t="n"/>
      <c r="AI47" s="3" t="n"/>
      <c r="AJ47" s="10" t="n"/>
      <c r="AK47" s="28" t="n"/>
      <c r="AL47" s="3" t="n"/>
      <c r="AM47" s="3" t="n"/>
      <c r="AN47" s="10" t="n"/>
      <c r="AO47" s="28" t="n"/>
      <c r="AP47" s="28" t="n"/>
      <c r="AQ47" s="3" t="n"/>
      <c r="AR47" s="10" t="n"/>
      <c r="AS47" s="20" t="n"/>
      <c r="AT47" s="28" t="n"/>
      <c r="AU47" s="3" t="n"/>
      <c r="AV47" s="10" t="n"/>
      <c r="AW47" s="20" t="n"/>
      <c r="AX47" s="28" t="n"/>
      <c r="AY47" s="3" t="n"/>
      <c r="AZ47" s="10" t="n"/>
      <c r="BA47" s="20" t="n"/>
      <c r="BB47" s="28" t="n"/>
      <c r="BC47" s="3" t="n"/>
      <c r="BD47" s="10" t="n"/>
      <c r="BE47" s="23" t="n"/>
      <c r="BF47" s="28" t="n"/>
      <c r="BG47" s="3" t="n"/>
      <c r="BH47" s="10" t="n"/>
      <c r="BI47" s="20" t="n"/>
      <c r="BJ47" s="28" t="n"/>
      <c r="BK47" s="3" t="n"/>
      <c r="BL47" s="10" t="n"/>
    </row>
    <row r="48">
      <c r="B48" s="62">
        <f>AC48*AA48</f>
        <v/>
      </c>
      <c r="C48">
        <f>AI48*AG48</f>
        <v/>
      </c>
      <c r="D48">
        <f>W48*U48</f>
        <v/>
      </c>
      <c r="E48">
        <f>AK48*AM48</f>
        <v/>
      </c>
      <c r="F48">
        <f>AO48*AQ48</f>
        <v/>
      </c>
      <c r="G48">
        <f>AS48*AU48</f>
        <v/>
      </c>
      <c r="H48">
        <f>AW48*AY48</f>
        <v/>
      </c>
      <c r="I48">
        <f>BA48*BC48</f>
        <v/>
      </c>
      <c r="J48">
        <f>BE48*BG48</f>
        <v/>
      </c>
      <c r="K48" s="63">
        <f>BI48*BK48</f>
        <v/>
      </c>
      <c r="L48" s="139">
        <f>SUM(S48:U48,Y48:AA48,AE48:AG48,AK48,AO48,AS48,AW48,BA48,BE48,BI48)/($AE$16*$AE$16*3.15/10000*1000)</f>
        <v/>
      </c>
      <c r="N48" s="33" t="n">
        <v>29</v>
      </c>
      <c r="O48" s="28" t="n"/>
      <c r="P48" s="88" t="n"/>
      <c r="Q48" s="88" t="n"/>
      <c r="R48" s="37" t="n"/>
      <c r="S48" s="20" t="n"/>
      <c r="T48" s="3" t="n"/>
      <c r="U48" s="3" t="n"/>
      <c r="V48" s="3" t="n"/>
      <c r="W48" s="3" t="n"/>
      <c r="X48" s="10" t="n"/>
      <c r="Y48" s="17" t="n"/>
      <c r="Z48" s="2" t="n"/>
      <c r="AA48" s="2" t="n"/>
      <c r="AB48" s="2" t="n"/>
      <c r="AC48" s="3" t="n"/>
      <c r="AD48" s="37" t="n"/>
      <c r="AE48" s="9" t="n"/>
      <c r="AF48" s="2" t="n"/>
      <c r="AG48" s="2" t="n"/>
      <c r="AH48" s="2" t="n"/>
      <c r="AI48" s="3" t="n"/>
      <c r="AJ48" s="10" t="n"/>
      <c r="AK48" s="28" t="n"/>
      <c r="AL48" s="3" t="n"/>
      <c r="AM48" s="3" t="n"/>
      <c r="AN48" s="10" t="n"/>
      <c r="AO48" s="28" t="n"/>
      <c r="AP48" s="28" t="n"/>
      <c r="AQ48" s="3" t="n"/>
      <c r="AR48" s="10" t="n"/>
      <c r="AS48" s="20" t="n"/>
      <c r="AT48" s="28" t="n"/>
      <c r="AU48" s="3" t="n"/>
      <c r="AV48" s="10" t="n"/>
      <c r="AW48" s="20" t="n"/>
      <c r="AX48" s="28" t="n"/>
      <c r="AY48" s="3" t="n"/>
      <c r="AZ48" s="10" t="n"/>
      <c r="BA48" s="20" t="n"/>
      <c r="BB48" s="28" t="n"/>
      <c r="BC48" s="3" t="n"/>
      <c r="BD48" s="10" t="n"/>
      <c r="BE48" s="23" t="n"/>
      <c r="BF48" s="28" t="n"/>
      <c r="BG48" s="3" t="n"/>
      <c r="BH48" s="10" t="n"/>
      <c r="BI48" s="20" t="n"/>
      <c r="BJ48" s="28" t="n"/>
      <c r="BK48" s="3" t="n"/>
      <c r="BL48" s="10" t="n"/>
    </row>
    <row r="49">
      <c r="B49" s="62">
        <f>AC49*AA49</f>
        <v/>
      </c>
      <c r="C49">
        <f>AI49*AG49</f>
        <v/>
      </c>
      <c r="D49">
        <f>W49*U49</f>
        <v/>
      </c>
      <c r="E49">
        <f>AK49*AM49</f>
        <v/>
      </c>
      <c r="F49">
        <f>AO49*AQ49</f>
        <v/>
      </c>
      <c r="G49">
        <f>AS49*AU49</f>
        <v/>
      </c>
      <c r="H49">
        <f>AW49*AY49</f>
        <v/>
      </c>
      <c r="I49">
        <f>BA49*BC49</f>
        <v/>
      </c>
      <c r="J49">
        <f>BE49*BG49</f>
        <v/>
      </c>
      <c r="K49" s="63">
        <f>BI49*BK49</f>
        <v/>
      </c>
      <c r="L49" s="139">
        <f>SUM(S49:U49,Y49:AA49,AE49:AG49,AK49,AO49,AS49,AW49,BA49,BE49,BI49)/($AE$16*$AE$16*3.15/10000*1000)</f>
        <v/>
      </c>
      <c r="N49" s="33" t="n">
        <v>30</v>
      </c>
      <c r="O49" s="28" t="n"/>
      <c r="P49" s="88" t="n"/>
      <c r="Q49" s="88" t="n"/>
      <c r="R49" s="37" t="n"/>
      <c r="S49" s="20" t="n"/>
      <c r="T49" s="3" t="n"/>
      <c r="U49" s="3" t="n"/>
      <c r="V49" s="3" t="n"/>
      <c r="W49" s="3" t="n"/>
      <c r="X49" s="10" t="n"/>
      <c r="Y49" s="17" t="n"/>
      <c r="Z49" s="2" t="n"/>
      <c r="AA49" s="2" t="n"/>
      <c r="AB49" s="2" t="n"/>
      <c r="AC49" s="3" t="n"/>
      <c r="AD49" s="37" t="n"/>
      <c r="AE49" s="9" t="n"/>
      <c r="AF49" s="2" t="n"/>
      <c r="AG49" s="2" t="n"/>
      <c r="AH49" s="2" t="n"/>
      <c r="AI49" s="3" t="n"/>
      <c r="AJ49" s="10" t="n"/>
      <c r="AK49" s="28" t="n"/>
      <c r="AL49" s="3" t="n"/>
      <c r="AM49" s="3" t="n"/>
      <c r="AN49" s="10" t="n"/>
      <c r="AO49" s="28" t="n"/>
      <c r="AP49" s="28" t="n"/>
      <c r="AQ49" s="3" t="n"/>
      <c r="AR49" s="10" t="n"/>
      <c r="AS49" s="20" t="n"/>
      <c r="AT49" s="28" t="n"/>
      <c r="AU49" s="3" t="n"/>
      <c r="AV49" s="10" t="n"/>
      <c r="AW49" s="20" t="n"/>
      <c r="AX49" s="28" t="n"/>
      <c r="AY49" s="3" t="n"/>
      <c r="AZ49" s="10" t="n"/>
      <c r="BA49" s="20" t="n"/>
      <c r="BB49" s="28" t="n"/>
      <c r="BC49" s="3" t="n"/>
      <c r="BD49" s="10" t="n"/>
      <c r="BE49" s="23" t="n"/>
      <c r="BF49" s="28" t="n"/>
      <c r="BG49" s="3" t="n"/>
      <c r="BH49" s="10" t="n"/>
      <c r="BI49" s="20" t="n"/>
      <c r="BJ49" s="28" t="n"/>
      <c r="BK49" s="3" t="n"/>
      <c r="BL49" s="10" t="n"/>
    </row>
    <row r="50">
      <c r="B50" s="62">
        <f>AC50*AA50</f>
        <v/>
      </c>
      <c r="C50">
        <f>AI50*AG50</f>
        <v/>
      </c>
      <c r="D50">
        <f>W50*U50</f>
        <v/>
      </c>
      <c r="E50">
        <f>AK50*AM50</f>
        <v/>
      </c>
      <c r="F50">
        <f>AO50*AQ50</f>
        <v/>
      </c>
      <c r="G50">
        <f>AS50*AU50</f>
        <v/>
      </c>
      <c r="H50">
        <f>AW50*AY50</f>
        <v/>
      </c>
      <c r="I50">
        <f>BA50*BC50</f>
        <v/>
      </c>
      <c r="J50">
        <f>BE50*BG50</f>
        <v/>
      </c>
      <c r="K50" s="63">
        <f>BI50*BK50</f>
        <v/>
      </c>
      <c r="L50" s="139">
        <f>SUM(S50:U50,Y50:AA50,AE50:AG50,AK50,AO50,AS50,AW50,BA50,BE50,BI50)/($AE$16*$AE$16*3.15/10000*1000)</f>
        <v/>
      </c>
      <c r="N50" s="33" t="n">
        <v>31</v>
      </c>
      <c r="O50" s="28" t="n"/>
      <c r="P50" s="88" t="n"/>
      <c r="Q50" s="88" t="n"/>
      <c r="R50" s="37" t="n"/>
      <c r="S50" s="20" t="n"/>
      <c r="T50" s="3" t="n"/>
      <c r="U50" s="3" t="n"/>
      <c r="V50" s="3" t="n"/>
      <c r="W50" s="3" t="n"/>
      <c r="X50" s="10" t="n"/>
      <c r="Y50" s="17" t="n"/>
      <c r="Z50" s="2" t="n"/>
      <c r="AA50" s="2" t="n"/>
      <c r="AB50" s="2" t="n"/>
      <c r="AC50" s="3" t="n"/>
      <c r="AD50" s="37" t="n"/>
      <c r="AE50" s="9" t="n"/>
      <c r="AF50" s="2" t="n"/>
      <c r="AG50" s="2" t="n"/>
      <c r="AH50" s="2" t="n"/>
      <c r="AI50" s="3" t="n"/>
      <c r="AJ50" s="10" t="n"/>
      <c r="AK50" s="28" t="n"/>
      <c r="AL50" s="3" t="n"/>
      <c r="AM50" s="3" t="n"/>
      <c r="AN50" s="10" t="n"/>
      <c r="AO50" s="28" t="n"/>
      <c r="AP50" s="28" t="n"/>
      <c r="AQ50" s="3" t="n"/>
      <c r="AR50" s="10" t="n"/>
      <c r="AS50" s="20" t="n"/>
      <c r="AT50" s="28" t="n"/>
      <c r="AU50" s="3" t="n"/>
      <c r="AV50" s="10" t="n"/>
      <c r="AW50" s="20" t="n"/>
      <c r="AX50" s="28" t="n"/>
      <c r="AY50" s="3" t="n"/>
      <c r="AZ50" s="10" t="n"/>
      <c r="BA50" s="20" t="n"/>
      <c r="BB50" s="28" t="n"/>
      <c r="BC50" s="3" t="n"/>
      <c r="BD50" s="10" t="n"/>
      <c r="BE50" s="23" t="n"/>
      <c r="BF50" s="28" t="n"/>
      <c r="BG50" s="3" t="n"/>
      <c r="BH50" s="10" t="n"/>
      <c r="BI50" s="20" t="n"/>
      <c r="BJ50" s="28" t="n"/>
      <c r="BK50" s="3" t="n"/>
      <c r="BL50" s="10" t="n"/>
    </row>
    <row r="51" ht="15" customHeight="1" s="141" thickBot="1">
      <c r="B51" s="64">
        <f>AC51*AA51</f>
        <v/>
      </c>
      <c r="C51" s="65">
        <f>AI51*AG51</f>
        <v/>
      </c>
      <c r="D51" s="65">
        <f>W51*U51</f>
        <v/>
      </c>
      <c r="E51" s="65">
        <f>AK51*AM51</f>
        <v/>
      </c>
      <c r="F51" s="65">
        <f>AO51*AQ51</f>
        <v/>
      </c>
      <c r="G51" s="65">
        <f>AS51*AU51</f>
        <v/>
      </c>
      <c r="H51" s="65">
        <f>AW51*AY51</f>
        <v/>
      </c>
      <c r="I51" s="65">
        <f>BA51*BC51</f>
        <v/>
      </c>
      <c r="J51" s="65">
        <f>BE51*BG51</f>
        <v/>
      </c>
      <c r="K51" s="66">
        <f>BI51*BK51</f>
        <v/>
      </c>
      <c r="L51" s="139">
        <f>SUM(S51:U51,Y51:AA51,AE51:AG51,AK51,AO51,AS51,AW51,BA51,BE51,BI51)/($AE$16*$AE$16*3.15/10000*1000)</f>
        <v/>
      </c>
      <c r="N51" s="33" t="n">
        <v>32</v>
      </c>
      <c r="O51" s="28" t="n"/>
      <c r="P51" s="88" t="n"/>
      <c r="Q51" s="88" t="n"/>
      <c r="R51" s="37" t="n"/>
      <c r="S51" s="20" t="n"/>
      <c r="T51" s="3" t="n"/>
      <c r="U51" s="3" t="n"/>
      <c r="V51" s="3" t="n"/>
      <c r="W51" s="3" t="n"/>
      <c r="X51" s="10" t="n"/>
      <c r="Y51" s="17" t="n"/>
      <c r="Z51" s="2" t="n"/>
      <c r="AA51" s="2" t="n"/>
      <c r="AB51" s="2" t="n"/>
      <c r="AC51" s="3" t="n"/>
      <c r="AD51" s="37" t="n"/>
      <c r="AE51" s="9" t="n"/>
      <c r="AF51" s="2" t="n"/>
      <c r="AG51" s="2" t="n"/>
      <c r="AH51" s="2" t="n"/>
      <c r="AI51" s="3" t="n"/>
      <c r="AJ51" s="10" t="n"/>
      <c r="AK51" s="28" t="n"/>
      <c r="AL51" s="3" t="n"/>
      <c r="AM51" s="3" t="n"/>
      <c r="AN51" s="10" t="n"/>
      <c r="AO51" s="28" t="n"/>
      <c r="AP51" s="28" t="n"/>
      <c r="AQ51" s="3" t="n"/>
      <c r="AR51" s="10" t="n"/>
      <c r="AS51" s="20" t="n"/>
      <c r="AT51" s="28" t="n"/>
      <c r="AU51" s="3" t="n"/>
      <c r="AV51" s="10" t="n"/>
      <c r="AW51" s="20" t="n"/>
      <c r="AX51" s="28" t="n"/>
      <c r="AY51" s="3" t="n"/>
      <c r="AZ51" s="10" t="n"/>
      <c r="BA51" s="20" t="n"/>
      <c r="BB51" s="28" t="n"/>
      <c r="BC51" s="3" t="n"/>
      <c r="BD51" s="10" t="n"/>
      <c r="BE51" s="23" t="n"/>
      <c r="BF51" s="28" t="n"/>
      <c r="BG51" s="3" t="n"/>
      <c r="BH51" s="10" t="n"/>
      <c r="BI51" s="20" t="n"/>
      <c r="BJ51" s="28" t="n"/>
      <c r="BK51" s="3" t="n"/>
      <c r="BL51" s="10" t="n"/>
    </row>
    <row r="52">
      <c r="N52" s="34" t="inlineStr">
        <is>
          <t>Среднее</t>
        </is>
      </c>
      <c r="O52" s="29" t="n"/>
      <c r="P52" s="89" t="n"/>
      <c r="Q52" s="89" t="n"/>
      <c r="R52" s="38" t="n"/>
      <c r="S52" s="18">
        <f>AVERAGE(S20:S51)</f>
        <v/>
      </c>
      <c r="T52" s="4">
        <f>AVERAGE(T20:T51)</f>
        <v/>
      </c>
      <c r="U52" s="4">
        <f>AVERAGE(U20:U51)</f>
        <v/>
      </c>
      <c r="V52" s="4">
        <f>AVERAGE(V20:V51)</f>
        <v/>
      </c>
      <c r="W52" s="4">
        <f>(SUM(D20:D51)+SUM(T20:T51)+SUM(S20:S51)*0.35)/SUM(S20:U51)</f>
        <v/>
      </c>
      <c r="X52" s="48">
        <f>AVERAGE(X20:X51)</f>
        <v/>
      </c>
      <c r="Y52" s="58">
        <f>AVERAGE(Y20:Y51)</f>
        <v/>
      </c>
      <c r="Z52" s="56">
        <f>AVERAGE(Z20:Z51)</f>
        <v/>
      </c>
      <c r="AA52" s="56">
        <f>AVERAGE(AA20:AA51)</f>
        <v/>
      </c>
      <c r="AB52" s="56">
        <f>AVERAGE(AB20:AB51)</f>
        <v/>
      </c>
      <c r="AC52" s="56">
        <f>(SUM(B20:B51)+SUM(Z20:Z51)+SUM(Y20:Y51)*0.35)/SUM(Y20:AA51)</f>
        <v/>
      </c>
      <c r="AD52" s="76">
        <f>AVERAGE(AD20:AD51)</f>
        <v/>
      </c>
      <c r="AE52" s="79">
        <f>AVERAGE(AE20:AE51)</f>
        <v/>
      </c>
      <c r="AF52" s="56">
        <f>AVERAGE(AF20:AF51)</f>
        <v/>
      </c>
      <c r="AG52" s="56">
        <f>AVERAGE(AG20:AG51)</f>
        <v/>
      </c>
      <c r="AH52" s="56">
        <f>AVERAGE(AH20:AH51)</f>
        <v/>
      </c>
      <c r="AI52" s="56">
        <f>(SUM(C20:C51)+SUM(AF20:AF51)+SUM(AE20:AE51)*0.35)/SUM(AE20:AG51)</f>
        <v/>
      </c>
      <c r="AJ52" s="57">
        <f>AVERAGE(AJ20:AJ51)</f>
        <v/>
      </c>
      <c r="AK52" s="58">
        <f>AVERAGE(AK20:AK51)</f>
        <v/>
      </c>
      <c r="AL52" s="56">
        <f>AVERAGE(AL20:AL51)</f>
        <v/>
      </c>
      <c r="AM52" s="56">
        <f>SUM(E20:E51)/SUM(AK20:AK51)</f>
        <v/>
      </c>
      <c r="AN52" s="57">
        <f>AVERAGE(AN20:AN51)</f>
        <v/>
      </c>
      <c r="AO52" s="58">
        <f>AVERAGE(AO20:AO51)</f>
        <v/>
      </c>
      <c r="AP52" s="56">
        <f>AVERAGE(AP20:AP51)</f>
        <v/>
      </c>
      <c r="AQ52" s="56">
        <f>SUM(F20:F51)/SUM(AO20:AO51)</f>
        <v/>
      </c>
      <c r="AR52" s="57">
        <f>AVERAGE(AR20:AR51)</f>
        <v/>
      </c>
      <c r="AS52" s="58">
        <f>AVERAGE(AS20:AS51)</f>
        <v/>
      </c>
      <c r="AT52" s="56">
        <f>AVERAGE(AT20:AT51)</f>
        <v/>
      </c>
      <c r="AU52" s="56">
        <f>SUM(G20:G51)/SUM(AS20:AS51)</f>
        <v/>
      </c>
      <c r="AV52" s="57">
        <f>AVERAGE(AV20:AV51)</f>
        <v/>
      </c>
      <c r="AW52" s="58">
        <f>AVERAGE(AW20:AW51)</f>
        <v/>
      </c>
      <c r="AX52" s="56">
        <f>AVERAGE(AX20:AX51)</f>
        <v/>
      </c>
      <c r="AY52" s="56">
        <f>SUM(H20:H51)/SUM(AW20:AW51)</f>
        <v/>
      </c>
      <c r="AZ52" s="57">
        <f>AVERAGE(AZ20:AZ51)</f>
        <v/>
      </c>
      <c r="BA52" s="58">
        <f>AVERAGE(BA20:BA51)</f>
        <v/>
      </c>
      <c r="BB52" s="56">
        <f>AVERAGE(BB20:BB51)</f>
        <v/>
      </c>
      <c r="BC52" s="56">
        <f>SUM(I20:I51)/SUM(BA20:BA51)</f>
        <v/>
      </c>
      <c r="BD52" s="57">
        <f>AVERAGE(BD20:BD51)</f>
        <v/>
      </c>
      <c r="BE52" s="58">
        <f>AVERAGE(BE20:BE51)</f>
        <v/>
      </c>
      <c r="BF52" s="56">
        <f>AVERAGE(BF20:BF51)</f>
        <v/>
      </c>
      <c r="BG52" s="56">
        <f>SUM(J20:J51)/SUM(BE20:BE51)</f>
        <v/>
      </c>
      <c r="BH52" s="57">
        <f>AVERAGE(BH20:BH51)</f>
        <v/>
      </c>
      <c r="BI52" s="58">
        <f>AVERAGE(BI20:BI51)</f>
        <v/>
      </c>
      <c r="BJ52" s="56">
        <f>AVERAGE(BJ20:BJ51)</f>
        <v/>
      </c>
      <c r="BK52" s="56">
        <f>SUM(K20:K51)/SUM(BI20:BI51)</f>
        <v/>
      </c>
      <c r="BL52" s="57">
        <f>AVERAGE(BL20:BL51)</f>
        <v/>
      </c>
    </row>
    <row r="53">
      <c r="N53" s="34" t="inlineStr">
        <is>
          <t>H выше 1.5</t>
        </is>
      </c>
      <c r="O53" s="29" t="n"/>
      <c r="P53" s="89" t="n"/>
      <c r="Q53" s="89" t="n"/>
      <c r="R53" s="38" t="n"/>
      <c r="S53" s="18" t="n"/>
      <c r="T53" s="4" t="n"/>
      <c r="U53" s="4" t="n"/>
      <c r="V53" s="4" t="n"/>
      <c r="W53" s="5">
        <f>SUM(D20:D51)/SUM(U20:U51)</f>
        <v/>
      </c>
      <c r="X53" s="38" t="n"/>
      <c r="Y53" s="58" t="n"/>
      <c r="Z53" s="56" t="n"/>
      <c r="AA53" s="56" t="n"/>
      <c r="AB53" s="56" t="n"/>
      <c r="AC53" s="77">
        <f>SUM(B20:B51)/SUM(AA20:AA51)</f>
        <v/>
      </c>
      <c r="AD53" s="78" t="n"/>
      <c r="AE53" s="79" t="n"/>
      <c r="AF53" s="56" t="n"/>
      <c r="AG53" s="56" t="n"/>
      <c r="AH53" s="56" t="n"/>
      <c r="AI53" s="77">
        <f>SUM(C20:C51)/SUM(AG20:AG51)</f>
        <v/>
      </c>
      <c r="AJ53" s="80" t="n"/>
      <c r="AK53" s="29" t="n"/>
      <c r="AL53" s="5" t="n"/>
      <c r="AM53" s="5" t="n"/>
      <c r="AN53" s="12" t="n"/>
      <c r="AO53" s="29" t="n"/>
      <c r="AP53" s="29" t="n"/>
      <c r="AQ53" s="5" t="n"/>
      <c r="AR53" s="12" t="n"/>
      <c r="AS53" s="21" t="n"/>
      <c r="AT53" s="29" t="n"/>
      <c r="AU53" s="5" t="n"/>
      <c r="AV53" s="12" t="n"/>
      <c r="AW53" s="21" t="n"/>
      <c r="AX53" s="29" t="n"/>
      <c r="AY53" s="5" t="n"/>
      <c r="AZ53" s="12" t="n"/>
      <c r="BA53" s="21" t="n"/>
      <c r="BB53" s="29" t="n"/>
      <c r="BC53" s="5" t="n"/>
      <c r="BD53" s="12" t="n"/>
      <c r="BE53" s="21" t="n"/>
      <c r="BF53" s="29" t="n"/>
      <c r="BG53" s="5" t="n"/>
      <c r="BH53" s="12" t="n"/>
      <c r="BI53" s="21" t="n"/>
      <c r="BJ53" s="29" t="n"/>
      <c r="BK53" s="5" t="n"/>
      <c r="BL53" s="12" t="n"/>
    </row>
    <row r="54">
      <c r="N54" s="34" t="inlineStr">
        <is>
          <t>D</t>
        </is>
      </c>
      <c r="O54" s="29" t="n"/>
      <c r="P54" s="89" t="n"/>
      <c r="Q54" s="89" t="n"/>
      <c r="R54" s="38" t="n"/>
      <c r="S54" s="21" t="n"/>
      <c r="T54" s="5" t="n"/>
      <c r="U54" s="5" t="n"/>
      <c r="V54" s="5" t="n"/>
      <c r="W54" s="5" t="n"/>
      <c r="X54" s="12" t="n"/>
      <c r="Y54" s="18" t="n"/>
      <c r="Z54" s="4" t="n"/>
      <c r="AA54" s="4" t="n"/>
      <c r="AB54" s="4" t="n"/>
      <c r="AC54" s="5" t="n"/>
      <c r="AD54" s="38" t="n"/>
      <c r="AE54" s="11" t="n"/>
      <c r="AF54" s="4" t="n"/>
      <c r="AG54" s="4" t="n"/>
      <c r="AH54" s="4" t="n"/>
      <c r="AI54" s="5" t="n"/>
      <c r="AJ54" s="12" t="n"/>
      <c r="AK54" s="29" t="n"/>
      <c r="AL54" s="5" t="n"/>
      <c r="AM54" s="5" t="n"/>
      <c r="AN54" s="12" t="n"/>
      <c r="AO54" s="29" t="n"/>
      <c r="AP54" s="29" t="n"/>
      <c r="AQ54" s="5" t="n"/>
      <c r="AR54" s="12" t="n"/>
      <c r="AS54" s="21" t="n"/>
      <c r="AT54" s="29" t="n"/>
      <c r="AU54" s="5" t="n"/>
      <c r="AV54" s="12" t="n"/>
      <c r="AW54" s="21" t="n"/>
      <c r="AX54" s="29" t="n"/>
      <c r="AY54" s="5" t="n"/>
      <c r="AZ54" s="12" t="n"/>
      <c r="BA54" s="21" t="n"/>
      <c r="BB54" s="29" t="n"/>
      <c r="BC54" s="5" t="n"/>
      <c r="BD54" s="12" t="n"/>
      <c r="BE54" s="21" t="n"/>
      <c r="BF54" s="29" t="n"/>
      <c r="BG54" s="5" t="n"/>
      <c r="BH54" s="12" t="n"/>
      <c r="BI54" s="21" t="n"/>
      <c r="BJ54" s="29" t="n"/>
      <c r="BK54" s="5" t="n"/>
      <c r="BL54" s="12" t="n"/>
    </row>
    <row r="55" ht="15" customHeight="1" s="141" thickBot="1">
      <c r="N55" s="35" t="inlineStr">
        <is>
          <t>A</t>
        </is>
      </c>
      <c r="O55" s="30" t="n"/>
      <c r="P55" s="90" t="n"/>
      <c r="Q55" s="90" t="n"/>
      <c r="R55" s="39" t="n"/>
      <c r="S55" s="22" t="n"/>
      <c r="T55" s="15" t="n"/>
      <c r="U55" s="15" t="n"/>
      <c r="V55" s="15" t="n"/>
      <c r="W55" s="15" t="n"/>
      <c r="X55" s="16" t="n"/>
      <c r="Y55" s="19" t="n"/>
      <c r="Z55" s="14" t="n"/>
      <c r="AA55" s="14" t="n"/>
      <c r="AB55" s="14" t="n"/>
      <c r="AC55" s="15" t="n"/>
      <c r="AD55" s="39" t="n"/>
      <c r="AE55" s="13" t="n"/>
      <c r="AF55" s="14" t="n"/>
      <c r="AG55" s="14" t="n"/>
      <c r="AH55" s="14" t="n"/>
      <c r="AI55" s="15" t="n"/>
      <c r="AJ55" s="16" t="n"/>
      <c r="AK55" s="30" t="n"/>
      <c r="AL55" s="15" t="n"/>
      <c r="AM55" s="15" t="n"/>
      <c r="AN55" s="16" t="n"/>
      <c r="AO55" s="30" t="n"/>
      <c r="AP55" s="30" t="n"/>
      <c r="AQ55" s="15" t="n"/>
      <c r="AR55" s="16" t="n"/>
      <c r="AS55" s="22" t="n"/>
      <c r="AT55" s="30" t="n"/>
      <c r="AU55" s="15" t="n"/>
      <c r="AV55" s="16" t="n"/>
      <c r="AW55" s="22" t="n"/>
      <c r="AX55" s="30" t="n"/>
      <c r="AY55" s="15" t="n"/>
      <c r="AZ55" s="16" t="n"/>
      <c r="BA55" s="22" t="n"/>
      <c r="BB55" s="30" t="n"/>
      <c r="BC55" s="15" t="n"/>
      <c r="BD55" s="16" t="n"/>
      <c r="BE55" s="22" t="n"/>
      <c r="BF55" s="30" t="n"/>
      <c r="BG55" s="15" t="n"/>
      <c r="BH55" s="16" t="n"/>
      <c r="BI55" s="22" t="n"/>
      <c r="BJ55" s="30" t="n"/>
      <c r="BK55" s="15" t="n"/>
      <c r="BL55" s="16" t="n"/>
    </row>
    <row r="60" ht="15" customHeight="1" s="141" thickBot="1">
      <c r="U60">
        <f>T13</f>
        <v/>
      </c>
      <c r="V60" t="inlineStr">
        <is>
          <t>Рубки</t>
        </is>
      </c>
    </row>
    <row r="61" ht="15" customHeight="1" s="141" thickBot="1">
      <c r="B61" s="59" t="inlineStr">
        <is>
          <t>Костыль для итоговых значений</t>
        </is>
      </c>
      <c r="C61" s="60" t="n"/>
      <c r="D61" s="61" t="n"/>
      <c r="O61" t="inlineStr">
        <is>
          <t>Итоговая характеристика насаждения</t>
        </is>
      </c>
    </row>
    <row r="62" ht="15" customHeight="1" s="141" thickBot="1">
      <c r="B62" s="73">
        <f>V62</f>
        <v/>
      </c>
      <c r="C62" s="74">
        <f>W62</f>
        <v/>
      </c>
      <c r="D62" s="75">
        <f>X62</f>
        <v/>
      </c>
      <c r="O62" s="115" t="n"/>
      <c r="P62" s="116" t="n"/>
      <c r="Q62" s="116" t="n"/>
      <c r="R62" s="116" t="n"/>
      <c r="S62" s="116" t="n"/>
      <c r="T62" s="116" t="n"/>
      <c r="U62" s="116" t="inlineStr">
        <is>
          <t>Густота</t>
        </is>
      </c>
      <c r="V62" s="116">
        <f>AB19</f>
        <v/>
      </c>
      <c r="W62" s="116">
        <f>AC19</f>
        <v/>
      </c>
      <c r="X62" s="117">
        <f>AD19</f>
        <v/>
      </c>
    </row>
    <row r="63">
      <c r="B63" s="81">
        <f>V63*U63</f>
        <v/>
      </c>
      <c r="C63" s="82">
        <f>W63*U63</f>
        <v/>
      </c>
      <c r="D63" s="83">
        <f>X63*U63</f>
        <v/>
      </c>
      <c r="O63" s="138">
        <f>U63/$U$75*10</f>
        <v/>
      </c>
      <c r="P63" s="139" t="n"/>
      <c r="Q63" s="139" t="n"/>
      <c r="R63">
        <f>S18</f>
        <v/>
      </c>
      <c r="U63" s="123">
        <f>SUM(S52:U52)/(AE16*AE16*3.15/10000*1000)</f>
        <v/>
      </c>
      <c r="V63" s="139">
        <f>V52</f>
        <v/>
      </c>
      <c r="W63" s="139">
        <f>W52</f>
        <v/>
      </c>
      <c r="X63" s="140">
        <f>X52</f>
        <v/>
      </c>
      <c r="Y63" s="139" t="n"/>
    </row>
    <row r="64">
      <c r="B64" s="81">
        <f>V64*U64</f>
        <v/>
      </c>
      <c r="C64" s="82">
        <f>W64*U64</f>
        <v/>
      </c>
      <c r="D64" s="83">
        <f>X64*U64</f>
        <v/>
      </c>
      <c r="O64" s="138">
        <f>U64/$U$75*10</f>
        <v/>
      </c>
      <c r="P64" s="139" t="n"/>
      <c r="Q64" s="139" t="n"/>
      <c r="R64">
        <f>Y18</f>
        <v/>
      </c>
      <c r="U64" s="123">
        <f>SUM(Y52:AA52)/(AE16*AE16*3.15/10000*1000)</f>
        <v/>
      </c>
      <c r="V64" s="139">
        <f>AB52</f>
        <v/>
      </c>
      <c r="W64" s="139">
        <f>AC52</f>
        <v/>
      </c>
      <c r="X64" s="140">
        <f>AD52</f>
        <v/>
      </c>
      <c r="Y64" s="139" t="n"/>
    </row>
    <row r="65">
      <c r="B65" s="81">
        <f>V65*U65</f>
        <v/>
      </c>
      <c r="C65" s="82">
        <f>W65*U65</f>
        <v/>
      </c>
      <c r="D65" s="83">
        <f>X65*U65</f>
        <v/>
      </c>
      <c r="O65" s="138">
        <f>U65/$U$75*10</f>
        <v/>
      </c>
      <c r="P65" s="139" t="n"/>
      <c r="Q65" s="139" t="n"/>
      <c r="R65">
        <f>AE18</f>
        <v/>
      </c>
      <c r="U65" s="123">
        <f>SUM(AE52:AG52)/(AE16*AE16*3.15/10000*1000)</f>
        <v/>
      </c>
      <c r="V65" s="139">
        <f>AH52</f>
        <v/>
      </c>
      <c r="W65" s="139">
        <f>AI52</f>
        <v/>
      </c>
      <c r="X65" s="140">
        <f>AJ52</f>
        <v/>
      </c>
      <c r="Y65" s="139" t="n"/>
    </row>
    <row r="66">
      <c r="B66" s="81">
        <f>V66*U66</f>
        <v/>
      </c>
      <c r="C66" s="82">
        <f>W66*U66</f>
        <v/>
      </c>
      <c r="D66" s="83">
        <f>X66*U66</f>
        <v/>
      </c>
      <c r="O66" s="138">
        <f>U66/$U$75*10</f>
        <v/>
      </c>
      <c r="P66" s="139" t="n"/>
      <c r="Q66" s="139" t="n"/>
      <c r="R66">
        <f>AK18</f>
        <v/>
      </c>
      <c r="U66" s="123">
        <f>AK52/(AE16*AE16*3.15/10000*1000)</f>
        <v/>
      </c>
      <c r="V66" s="139">
        <f>AL52</f>
        <v/>
      </c>
      <c r="W66" s="139">
        <f>AM52</f>
        <v/>
      </c>
      <c r="X66" s="140">
        <f>AN52</f>
        <v/>
      </c>
      <c r="Y66" s="139" t="n"/>
    </row>
    <row r="67">
      <c r="B67" s="81">
        <f>V67*U67</f>
        <v/>
      </c>
      <c r="C67" s="82">
        <f>W67*U67</f>
        <v/>
      </c>
      <c r="D67" s="83">
        <f>X67*U67</f>
        <v/>
      </c>
      <c r="O67" s="138">
        <f>U67/$U$75*10</f>
        <v/>
      </c>
      <c r="P67" s="139" t="n"/>
      <c r="Q67" s="139" t="n"/>
      <c r="R67">
        <f>AO18</f>
        <v/>
      </c>
      <c r="U67" s="123">
        <f>AO52/(AE16*AE16*3.15/10000*1000)</f>
        <v/>
      </c>
      <c r="V67" s="139">
        <f>AP52</f>
        <v/>
      </c>
      <c r="W67" s="139">
        <f>AQ52</f>
        <v/>
      </c>
      <c r="X67" s="140">
        <f>AR52</f>
        <v/>
      </c>
      <c r="Y67" s="139" t="n"/>
    </row>
    <row r="68">
      <c r="B68" s="81">
        <f>V68*U68</f>
        <v/>
      </c>
      <c r="C68" s="82">
        <f>W68*U68</f>
        <v/>
      </c>
      <c r="D68" s="83">
        <f>X68*U68</f>
        <v/>
      </c>
      <c r="O68" s="138">
        <f>U68/$U$75*10</f>
        <v/>
      </c>
      <c r="P68" s="139" t="n"/>
      <c r="Q68" s="139" t="n"/>
      <c r="R68">
        <f>AS18</f>
        <v/>
      </c>
      <c r="U68" s="123">
        <f>AS52/(AE16*AE16*3.15/10000*1000)</f>
        <v/>
      </c>
      <c r="V68" s="139">
        <f>AT52</f>
        <v/>
      </c>
      <c r="W68" s="139">
        <f>AU52</f>
        <v/>
      </c>
      <c r="X68" s="140">
        <f>AV52</f>
        <v/>
      </c>
      <c r="Y68" s="139" t="n"/>
    </row>
    <row r="69">
      <c r="B69" s="81">
        <f>V69*U69</f>
        <v/>
      </c>
      <c r="C69" s="82">
        <f>W69*U69</f>
        <v/>
      </c>
      <c r="D69" s="83">
        <f>X69*U69</f>
        <v/>
      </c>
      <c r="O69" s="138">
        <f>U69/$U$75*10</f>
        <v/>
      </c>
      <c r="P69" s="139" t="n"/>
      <c r="Q69" s="139" t="n"/>
      <c r="R69">
        <f>AW18</f>
        <v/>
      </c>
      <c r="U69" s="123">
        <f>AW52/(AE16*AE16*3.15/10000*1000)</f>
        <v/>
      </c>
      <c r="V69" s="139">
        <f>AX52</f>
        <v/>
      </c>
      <c r="W69" s="139">
        <f>AY52</f>
        <v/>
      </c>
      <c r="X69" s="140">
        <f>AZ52</f>
        <v/>
      </c>
      <c r="Y69" s="139" t="n"/>
    </row>
    <row r="70">
      <c r="B70" s="81">
        <f>V70*U70</f>
        <v/>
      </c>
      <c r="C70" s="82">
        <f>W70*U70</f>
        <v/>
      </c>
      <c r="D70" s="83">
        <f>X70*U70</f>
        <v/>
      </c>
      <c r="O70" s="138">
        <f>U70/$U$75*10</f>
        <v/>
      </c>
      <c r="P70" s="139" t="n"/>
      <c r="Q70" s="139" t="n"/>
      <c r="R70">
        <f>BA18</f>
        <v/>
      </c>
      <c r="U70" s="123">
        <f>BA52/(AE16*AE16*3.15/10000*1000)</f>
        <v/>
      </c>
      <c r="V70" s="139">
        <f>BB52</f>
        <v/>
      </c>
      <c r="W70" s="139">
        <f>BC52</f>
        <v/>
      </c>
      <c r="X70" s="140">
        <f>BD52</f>
        <v/>
      </c>
      <c r="Y70" s="139" t="n"/>
    </row>
    <row r="71">
      <c r="B71" s="81">
        <f>V71*U71</f>
        <v/>
      </c>
      <c r="C71" s="82">
        <f>W71*U71</f>
        <v/>
      </c>
      <c r="D71" s="83">
        <f>X71*U71</f>
        <v/>
      </c>
      <c r="O71" s="138">
        <f>U71/$U$75*10</f>
        <v/>
      </c>
      <c r="P71" s="139" t="n"/>
      <c r="Q71" s="139" t="n"/>
      <c r="R71">
        <f>BE18</f>
        <v/>
      </c>
      <c r="U71" s="123">
        <f>BE52/(AE16*AE16*3.15/10000*1000)</f>
        <v/>
      </c>
      <c r="V71" s="139">
        <f>BF52</f>
        <v/>
      </c>
      <c r="W71" s="139">
        <f>BG52</f>
        <v/>
      </c>
      <c r="X71" s="140">
        <f>BH52</f>
        <v/>
      </c>
      <c r="Y71" s="139" t="n"/>
    </row>
    <row r="72">
      <c r="B72" s="81">
        <f>V72*U72</f>
        <v/>
      </c>
      <c r="C72" s="82">
        <f>W72*U72</f>
        <v/>
      </c>
      <c r="D72" s="83">
        <f>X72*U72</f>
        <v/>
      </c>
      <c r="O72" s="138">
        <f>U72/$U$75*10</f>
        <v/>
      </c>
      <c r="P72" s="139" t="n"/>
      <c r="Q72" s="139" t="n"/>
      <c r="R72">
        <f>BI18</f>
        <v/>
      </c>
      <c r="U72" s="123">
        <f>BI52/(AE16*AE16*3.15/10000*1000)</f>
        <v/>
      </c>
      <c r="V72" s="139">
        <f>BJ52</f>
        <v/>
      </c>
      <c r="W72" s="139">
        <f>BK52</f>
        <v/>
      </c>
      <c r="X72" s="140">
        <f>BL52</f>
        <v/>
      </c>
      <c r="Y72" s="139" t="n"/>
    </row>
    <row r="73">
      <c r="B73" s="62">
        <f>AC72*AA72</f>
        <v/>
      </c>
      <c r="C73" s="71">
        <f>AI72*AG72</f>
        <v/>
      </c>
      <c r="D73" s="63" t="n"/>
      <c r="O73" s="118" t="n"/>
      <c r="X73" s="140" t="n"/>
      <c r="Y73" s="139" t="n"/>
    </row>
    <row r="74">
      <c r="B74" s="62">
        <f>AC73*AA73</f>
        <v/>
      </c>
      <c r="C74" s="71">
        <f>AI73*AG73</f>
        <v/>
      </c>
      <c r="D74" s="63">
        <f>W73*U73</f>
        <v/>
      </c>
      <c r="O74" s="118" t="n"/>
      <c r="X74" s="140" t="n"/>
      <c r="Y74" s="139" t="n"/>
    </row>
    <row r="75">
      <c r="B75" s="62">
        <f>AC74*AA74</f>
        <v/>
      </c>
      <c r="C75" s="71">
        <f>AI74*AG74</f>
        <v/>
      </c>
      <c r="D75" s="63">
        <f>W74*U74</f>
        <v/>
      </c>
      <c r="O75" s="142">
        <f>SUM(O63:O72)</f>
        <v/>
      </c>
      <c r="P75" s="143" t="n"/>
      <c r="Q75" s="143" t="n"/>
      <c r="R75" s="45" t="inlineStr">
        <is>
          <t>Итого</t>
        </is>
      </c>
      <c r="S75" s="45" t="n"/>
      <c r="T75" s="45" t="n"/>
      <c r="U75" s="144">
        <f>SUM(U63:U72)</f>
        <v/>
      </c>
      <c r="V75" s="144">
        <f>SUM(B63:B72)/$U$75</f>
        <v/>
      </c>
      <c r="W75" s="144">
        <f>SUM(C63:C72)/$U$75</f>
        <v/>
      </c>
      <c r="X75" s="145">
        <f>SUM(D63:D72)/$U$75</f>
        <v/>
      </c>
      <c r="Y75" s="139" t="n"/>
    </row>
    <row r="76">
      <c r="B76" s="62">
        <f>AC75*AA75</f>
        <v/>
      </c>
      <c r="C76" s="71">
        <f>AI75*AG75</f>
        <v/>
      </c>
      <c r="D76" s="63" t="n"/>
    </row>
    <row r="77" ht="15" customHeight="1" s="141" thickBot="1">
      <c r="B77" s="64">
        <f>AC93*AA93</f>
        <v/>
      </c>
      <c r="C77" s="72">
        <f>AI93*AG93</f>
        <v/>
      </c>
      <c r="D77" s="66">
        <f>W93*U93</f>
        <v/>
      </c>
    </row>
  </sheetData>
  <mergeCells count="11">
    <mergeCell ref="AO18:AR18"/>
    <mergeCell ref="AS18:AV18"/>
    <mergeCell ref="AW18:AZ18"/>
    <mergeCell ref="BE18:BH18"/>
    <mergeCell ref="BI18:BL18"/>
    <mergeCell ref="AK18:AN18"/>
    <mergeCell ref="S18:X18"/>
    <mergeCell ref="BA18:BD18"/>
    <mergeCell ref="Y18:AD18"/>
    <mergeCell ref="AE18:AJ18"/>
    <mergeCell ref="O18:R1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E6:Y43"/>
  <sheetViews>
    <sheetView topLeftCell="B16" zoomScaleNormal="100" workbookViewId="0">
      <selection activeCell="G38" sqref="G38"/>
    </sheetView>
  </sheetViews>
  <sheetFormatPr baseColWidth="8" defaultRowHeight="14.4"/>
  <sheetData>
    <row r="6">
      <c r="E6" t="inlineStr">
        <is>
          <t>До рубки</t>
        </is>
      </c>
      <c r="F6" t="inlineStr">
        <is>
          <t>(скопировать из листа "До рубки", режим вставки выбрать "только значения")</t>
        </is>
      </c>
      <c r="P6" t="inlineStr">
        <is>
          <t>После рубки</t>
        </is>
      </c>
      <c r="R6" t="inlineStr">
        <is>
          <t>(скопировать из листа "До рубки", режим вставки выбрать "только значения")</t>
        </is>
      </c>
    </row>
    <row r="8">
      <c r="E8" t="inlineStr">
        <is>
          <t>Итоговая характеристика насаждения</t>
        </is>
      </c>
      <c r="P8" t="inlineStr">
        <is>
          <t>Итоговая характеристика насаждения</t>
        </is>
      </c>
    </row>
    <row r="9">
      <c r="E9" s="115" t="inlineStr">
        <is>
          <t>К-т состава</t>
        </is>
      </c>
      <c r="F9" s="116" t="n"/>
      <c r="G9" s="116" t="n"/>
      <c r="H9" s="116" t="n"/>
      <c r="I9" s="116" t="n"/>
      <c r="J9" s="116" t="n"/>
      <c r="K9" s="116" t="inlineStr">
        <is>
          <t>Густота</t>
        </is>
      </c>
      <c r="L9" s="116" t="inlineStr">
        <is>
          <t>D, см</t>
        </is>
      </c>
      <c r="M9" s="116" t="inlineStr">
        <is>
          <t>h, м</t>
        </is>
      </c>
      <c r="N9" s="117" t="inlineStr">
        <is>
          <t>A, лет</t>
        </is>
      </c>
      <c r="P9" s="115" t="inlineStr">
        <is>
          <t>К-т состава</t>
        </is>
      </c>
      <c r="Q9" s="116" t="n"/>
      <c r="R9" s="116" t="n"/>
      <c r="S9" s="116" t="n"/>
      <c r="T9" s="116" t="n"/>
      <c r="U9" s="116" t="n"/>
      <c r="V9" s="116" t="inlineStr">
        <is>
          <t>Густота</t>
        </is>
      </c>
      <c r="W9" s="116" t="inlineStr">
        <is>
          <t>D, см</t>
        </is>
      </c>
      <c r="X9" s="116" t="inlineStr">
        <is>
          <t>h, м</t>
        </is>
      </c>
      <c r="Y9" s="117" t="inlineStr">
        <is>
          <t>A, лет</t>
        </is>
      </c>
    </row>
    <row r="10">
      <c r="E10" s="118" t="n">
        <v>0.7822414969001741</v>
      </c>
      <c r="H10" t="inlineStr">
        <is>
          <t>Сосна</t>
        </is>
      </c>
      <c r="K10" t="n">
        <v>0.4918746854538715</v>
      </c>
      <c r="L10" t="n">
        <v>7.636363636363637</v>
      </c>
      <c r="M10" t="n">
        <v>5.108107868480655</v>
      </c>
      <c r="N10" s="119" t="n">
        <v>12.81818181818182</v>
      </c>
      <c r="P10" s="118" t="n">
        <v>2.244883293181478</v>
      </c>
      <c r="S10" t="inlineStr">
        <is>
          <t>Сосна</t>
        </is>
      </c>
      <c r="V10" t="n">
        <v>0.4386990868985328</v>
      </c>
      <c r="W10" t="n">
        <v>7.9</v>
      </c>
      <c r="X10" t="n">
        <v>5.121211851744736</v>
      </c>
      <c r="Y10" s="119" t="n">
        <v>12.8</v>
      </c>
    </row>
    <row r="11">
      <c r="E11" s="118" t="n">
        <v>4.883719980333535</v>
      </c>
      <c r="H11" t="inlineStr">
        <is>
          <t>Ель из подроста</t>
        </is>
      </c>
      <c r="K11" t="n">
        <v>3.070890816570806</v>
      </c>
      <c r="L11" t="n">
        <v>4.066666666666666</v>
      </c>
      <c r="M11" t="n">
        <v>3.36991341991342</v>
      </c>
      <c r="N11" s="119" t="n">
        <v>13</v>
      </c>
      <c r="P11" s="118" t="n">
        <v>6.462536938670675</v>
      </c>
      <c r="S11" t="inlineStr">
        <is>
          <t>Ель из подроста</t>
        </is>
      </c>
      <c r="V11" t="n">
        <v>1.262920465689292</v>
      </c>
      <c r="W11" t="n">
        <v>4.066666666666666</v>
      </c>
      <c r="X11" t="n">
        <v>4.275789473684211</v>
      </c>
      <c r="Y11" s="119" t="n">
        <v>13</v>
      </c>
    </row>
    <row r="12">
      <c r="E12" s="118" t="n">
        <v>0.1691338148830635</v>
      </c>
      <c r="H12" t="inlineStr">
        <is>
          <t>ЕЛЬ лесные культуры</t>
        </is>
      </c>
      <c r="K12" t="n">
        <v>0.1063516092215661</v>
      </c>
      <c r="L12" t="n">
        <v>13</v>
      </c>
      <c r="M12" t="n">
        <v>10.74999613750145</v>
      </c>
      <c r="N12" s="119" t="n">
        <v>28.33333333333333</v>
      </c>
      <c r="P12" s="118" t="n">
        <v>0.4761890411509456</v>
      </c>
      <c r="S12" t="inlineStr">
        <is>
          <t>ЕЛЬ лесные культуры</t>
        </is>
      </c>
      <c r="V12" t="n">
        <v>0.09305770958273141</v>
      </c>
      <c r="W12" t="n">
        <v>13</v>
      </c>
      <c r="X12" t="n">
        <v>10.85713839694069</v>
      </c>
      <c r="Y12" s="119" t="n">
        <v>28.33333333333333</v>
      </c>
    </row>
    <row r="13">
      <c r="E13" s="118" t="n">
        <v>2.452430812635022</v>
      </c>
      <c r="H13" t="inlineStr">
        <is>
          <t>Берёза</t>
        </is>
      </c>
      <c r="K13" t="n">
        <v>1.54209235810482</v>
      </c>
      <c r="L13" t="n">
        <v>1.25</v>
      </c>
      <c r="M13" t="n">
        <v>2.732758620689655</v>
      </c>
      <c r="N13" s="119" t="n">
        <v>5</v>
      </c>
      <c r="P13" s="118" t="n">
        <v>0.8163204554110327</v>
      </c>
      <c r="S13" t="inlineStr">
        <is>
          <t>Берёза</t>
        </is>
      </c>
      <c r="V13" t="n">
        <v>0.1595267956660159</v>
      </c>
      <c r="W13" t="n">
        <v>0.5833333333333334</v>
      </c>
      <c r="X13" t="n">
        <v>3.208333333333333</v>
      </c>
      <c r="Y13" s="119" t="n">
        <v>5</v>
      </c>
    </row>
    <row r="14">
      <c r="E14" s="118" t="n">
        <v>0.6553909930317732</v>
      </c>
      <c r="H14" t="inlineStr">
        <is>
          <t>Осина</t>
        </is>
      </c>
      <c r="K14" t="n">
        <v>0.4121108888038744</v>
      </c>
      <c r="L14" t="n">
        <v>1.666666666666667</v>
      </c>
      <c r="M14" t="n">
        <v>2.725806451612903</v>
      </c>
      <c r="N14" s="119" t="n">
        <v>5</v>
      </c>
      <c r="P14" s="118" t="n">
        <v>6.802670461758606e-08</v>
      </c>
      <c r="S14" t="inlineStr">
        <is>
          <t>Осина</t>
        </is>
      </c>
      <c r="V14" t="n">
        <v>1.329389963883466e-08</v>
      </c>
      <c r="W14" t="n">
        <v>1e-06</v>
      </c>
      <c r="X14" t="n">
        <v>1e-06</v>
      </c>
      <c r="Y14" s="119" t="n">
        <v>1e-06</v>
      </c>
    </row>
    <row r="15">
      <c r="E15" s="118" t="n">
        <v>3.171246740476322e-07</v>
      </c>
      <c r="H15" t="inlineStr">
        <is>
          <t>Ольха серая</t>
        </is>
      </c>
      <c r="K15" t="n">
        <v>1.994084945825198e-07</v>
      </c>
      <c r="L15" t="n">
        <v>1e-06</v>
      </c>
      <c r="M15" t="n">
        <v>1e-06</v>
      </c>
      <c r="N15" s="119" t="n">
        <v>1e-06</v>
      </c>
      <c r="P15" s="118" t="n">
        <v>1.020400569263791e-06</v>
      </c>
      <c r="S15" t="inlineStr">
        <is>
          <t>Ольха серая</t>
        </is>
      </c>
      <c r="V15" t="n">
        <v>1.994084945825198e-07</v>
      </c>
      <c r="W15" t="n">
        <v>1e-06</v>
      </c>
      <c r="X15" t="n">
        <v>1e-06</v>
      </c>
      <c r="Y15" s="119" t="n">
        <v>1e-06</v>
      </c>
    </row>
    <row r="16">
      <c r="E16" s="118" t="n">
        <v>0.7610992177143172</v>
      </c>
      <c r="H16" t="inlineStr">
        <is>
          <t>Ива</t>
        </is>
      </c>
      <c r="K16" t="n">
        <v>0.4785803869980476</v>
      </c>
      <c r="L16" t="n">
        <v>2</v>
      </c>
      <c r="M16" t="n">
        <v>3.861111111111111</v>
      </c>
      <c r="N16" s="119" t="n">
        <v>5</v>
      </c>
      <c r="P16" s="118" t="n">
        <v>6.802670461758606e-08</v>
      </c>
      <c r="S16" t="inlineStr">
        <is>
          <t>Ива</t>
        </is>
      </c>
      <c r="V16" t="n">
        <v>1.329389963883466e-08</v>
      </c>
      <c r="W16" t="n">
        <v>1e-06</v>
      </c>
      <c r="X16" t="n">
        <v>1e-06</v>
      </c>
      <c r="Y16" s="119" t="n">
        <v>1e-06</v>
      </c>
    </row>
    <row r="17">
      <c r="E17" s="118" t="n">
        <v>0.2536997603797506</v>
      </c>
      <c r="H17" t="inlineStr">
        <is>
          <t>Чёрёмуха</t>
        </is>
      </c>
      <c r="K17" t="n">
        <v>0.1595268089599155</v>
      </c>
      <c r="L17" t="n">
        <v>1</v>
      </c>
      <c r="M17" t="n">
        <v>1.966666502777792</v>
      </c>
      <c r="N17" s="119" t="n">
        <v>5</v>
      </c>
      <c r="P17" s="118" t="n">
        <v>6.802670461758606e-08</v>
      </c>
      <c r="S17" t="inlineStr">
        <is>
          <t>Чёрёмуха</t>
        </is>
      </c>
      <c r="V17" t="n">
        <v>1.329389963883466e-08</v>
      </c>
      <c r="W17" t="n">
        <v>0.0001</v>
      </c>
      <c r="X17" t="n">
        <v>0.0001</v>
      </c>
      <c r="Y17" s="119" t="n">
        <v>0.001</v>
      </c>
    </row>
    <row r="18">
      <c r="E18" s="118" t="n">
        <v>3.171246740476322e-07</v>
      </c>
      <c r="H18" t="inlineStr">
        <is>
          <t>Дуб</t>
        </is>
      </c>
      <c r="K18" t="n">
        <v>1.994084945825198e-07</v>
      </c>
      <c r="L18" t="n">
        <v>1e-06</v>
      </c>
      <c r="M18" t="n">
        <v>1e-06</v>
      </c>
      <c r="N18" s="119" t="n">
        <v>1e-06</v>
      </c>
      <c r="P18" s="118" t="n">
        <v>1.020400569263791e-06</v>
      </c>
      <c r="S18" t="inlineStr">
        <is>
          <t>Дуб</t>
        </is>
      </c>
      <c r="V18" t="n">
        <v>1.994084945825198e-07</v>
      </c>
      <c r="W18" t="n">
        <v>1e-06</v>
      </c>
      <c r="X18" t="n">
        <v>1e-06</v>
      </c>
      <c r="Y18" s="119" t="n">
        <v>1e-06</v>
      </c>
    </row>
    <row r="19">
      <c r="E19" s="118" t="n">
        <v>0.04228328987301762</v>
      </c>
      <c r="H19" t="inlineStr">
        <is>
          <t>Рябина</t>
        </is>
      </c>
      <c r="K19" t="n">
        <v>0.02658779927766931</v>
      </c>
      <c r="L19" t="n">
        <v>1</v>
      </c>
      <c r="M19" t="n">
        <v>2</v>
      </c>
      <c r="N19" s="119" t="n">
        <v>5</v>
      </c>
      <c r="P19" s="118" t="n">
        <v>6.802670461758606e-05</v>
      </c>
      <c r="S19" t="inlineStr">
        <is>
          <t>Рябина</t>
        </is>
      </c>
      <c r="V19" t="n">
        <v>1.329389963883466e-05</v>
      </c>
      <c r="W19" t="n">
        <v>0.0001</v>
      </c>
      <c r="X19" t="n">
        <v>1e-05</v>
      </c>
      <c r="Y19" s="119" t="n">
        <v>0.001</v>
      </c>
    </row>
    <row r="20" ht="15" customHeight="1" s="141">
      <c r="E20" s="118" t="n"/>
      <c r="N20" s="119" t="n"/>
      <c r="P20" s="118" t="n"/>
      <c r="Y20" s="119" t="n"/>
    </row>
    <row r="21" ht="15" customHeight="1" s="141">
      <c r="E21" s="118" t="n"/>
      <c r="N21" s="119" t="n"/>
      <c r="P21" s="118" t="n"/>
      <c r="Y21" s="119" t="n"/>
    </row>
    <row r="22">
      <c r="E22" s="120" t="n">
        <v>10</v>
      </c>
      <c r="F22" s="45" t="n"/>
      <c r="G22" s="45" t="n"/>
      <c r="H22" s="45" t="inlineStr">
        <is>
          <t>Итого</t>
        </is>
      </c>
      <c r="I22" s="45" t="n"/>
      <c r="J22" s="45" t="n"/>
      <c r="K22" s="45" t="n">
        <v>6.288015752207558</v>
      </c>
      <c r="L22" s="45" t="n">
        <v>3.400871969181478</v>
      </c>
      <c r="M22" s="45" t="n">
        <v>3.428224379133825</v>
      </c>
      <c r="N22" s="121" t="n">
        <v>9.913191860051928</v>
      </c>
      <c r="P22" s="120" t="n">
        <v>10</v>
      </c>
      <c r="Q22" s="45" t="n"/>
      <c r="R22" s="45" t="n"/>
      <c r="S22" s="45" t="inlineStr">
        <is>
          <t>Итого</t>
        </is>
      </c>
      <c r="T22" s="45" t="n"/>
      <c r="U22" s="45" t="n"/>
      <c r="V22" s="45" t="n">
        <v>1.954217790434899</v>
      </c>
      <c r="W22" s="45" t="n">
        <v>5.068220604082478</v>
      </c>
      <c r="X22" s="45" t="n">
        <v>4.691804879383678</v>
      </c>
      <c r="Y22" s="121" t="n">
        <v>13.03211115332039</v>
      </c>
    </row>
    <row r="26">
      <c r="E26" t="inlineStr">
        <is>
          <t>Вырубленна часть</t>
        </is>
      </c>
      <c r="G26" s="143">
        <f>L28*E43/100</f>
        <v/>
      </c>
      <c r="H26" t="inlineStr">
        <is>
          <t>м3 на 1 га</t>
        </is>
      </c>
    </row>
    <row r="28">
      <c r="E28" t="inlineStr">
        <is>
          <t>S делянки</t>
        </is>
      </c>
      <c r="F28" s="45" t="inlineStr">
        <is>
          <t>ххх</t>
        </is>
      </c>
      <c r="G28" s="45">
        <f>F28*G26</f>
        <v/>
      </c>
      <c r="H28" t="inlineStr">
        <is>
          <t>м3 на делянку</t>
        </is>
      </c>
      <c r="J28" t="inlineStr">
        <is>
          <t xml:space="preserve">Средний запас </t>
        </is>
      </c>
      <c r="L28" s="45" t="n">
        <v>19</v>
      </c>
      <c r="M28" t="inlineStr">
        <is>
          <t>м3 на 1 га</t>
        </is>
      </c>
      <c r="N28" t="inlineStr">
        <is>
          <t>(берётся из ТО)</t>
        </is>
      </c>
    </row>
    <row r="30">
      <c r="E30" s="115" t="inlineStr">
        <is>
          <t>К-т состава</t>
        </is>
      </c>
      <c r="F30" s="116" t="n"/>
      <c r="G30" s="116" t="inlineStr">
        <is>
          <t>м3 на 1 га</t>
        </is>
      </c>
      <c r="H30" s="116" t="n"/>
      <c r="I30" s="116" t="n"/>
      <c r="J30" s="116" t="n"/>
      <c r="K30" s="116" t="inlineStr">
        <is>
          <t>Густота</t>
        </is>
      </c>
      <c r="L30" s="116" t="inlineStr">
        <is>
          <t>D, см</t>
        </is>
      </c>
      <c r="M30" s="116" t="inlineStr">
        <is>
          <t>h, м</t>
        </is>
      </c>
      <c r="N30" s="117" t="inlineStr">
        <is>
          <t>A, лет</t>
        </is>
      </c>
    </row>
    <row r="31">
      <c r="E31" s="124">
        <f>K31/K$43</f>
        <v/>
      </c>
      <c r="G31" s="123">
        <f>E31*G$26</f>
        <v/>
      </c>
      <c r="H31" t="inlineStr">
        <is>
          <t>Сосна</t>
        </is>
      </c>
      <c r="K31" s="122">
        <f>K10-V10</f>
        <v/>
      </c>
      <c r="N31" s="119" t="n"/>
    </row>
    <row r="32">
      <c r="E32" s="124">
        <f>K32/K$43</f>
        <v/>
      </c>
      <c r="G32" s="123">
        <f>E32*G$26</f>
        <v/>
      </c>
      <c r="H32" t="inlineStr">
        <is>
          <t>Ель из подроста</t>
        </is>
      </c>
      <c r="K32" s="122">
        <f>K11-V11</f>
        <v/>
      </c>
      <c r="N32" s="119" t="n"/>
    </row>
    <row r="33">
      <c r="E33" s="124">
        <f>K33/K$43</f>
        <v/>
      </c>
      <c r="G33" s="123">
        <f>E33*G$26</f>
        <v/>
      </c>
      <c r="H33" t="inlineStr">
        <is>
          <t>ЕЛЬ лесные культуры</t>
        </is>
      </c>
      <c r="K33" s="122">
        <f>K12-V12</f>
        <v/>
      </c>
      <c r="N33" s="119" t="n"/>
    </row>
    <row r="34">
      <c r="E34" s="124">
        <f>K34/K$43</f>
        <v/>
      </c>
      <c r="G34" s="123">
        <f>E34*G$26</f>
        <v/>
      </c>
      <c r="H34" t="inlineStr">
        <is>
          <t>Берёза</t>
        </is>
      </c>
      <c r="K34" s="122">
        <f>K13-V13</f>
        <v/>
      </c>
      <c r="N34" s="119" t="n"/>
    </row>
    <row r="35">
      <c r="E35" s="124">
        <f>K35/K$43</f>
        <v/>
      </c>
      <c r="G35" s="123">
        <f>E35*G$26</f>
        <v/>
      </c>
      <c r="H35" t="inlineStr">
        <is>
          <t>Осина</t>
        </is>
      </c>
      <c r="K35" s="122">
        <f>K14-V14</f>
        <v/>
      </c>
      <c r="N35" s="119" t="n"/>
    </row>
    <row r="36">
      <c r="E36" s="124">
        <f>K36/K$43</f>
        <v/>
      </c>
      <c r="G36" s="123">
        <f>E36*G$26</f>
        <v/>
      </c>
      <c r="H36" t="inlineStr">
        <is>
          <t>Ольха серая</t>
        </is>
      </c>
      <c r="K36" s="122">
        <f>K15-V15</f>
        <v/>
      </c>
      <c r="N36" s="119" t="n"/>
    </row>
    <row r="37">
      <c r="E37" s="124">
        <f>K37/K$43</f>
        <v/>
      </c>
      <c r="G37" s="123">
        <f>E37*G$26</f>
        <v/>
      </c>
      <c r="H37" t="inlineStr">
        <is>
          <t>Ива</t>
        </is>
      </c>
      <c r="K37" s="122">
        <f>K16-V16</f>
        <v/>
      </c>
      <c r="N37" s="119" t="n"/>
    </row>
    <row r="38">
      <c r="E38" s="124">
        <f>K38/K$43</f>
        <v/>
      </c>
      <c r="G38" s="123">
        <f>E38*G$26</f>
        <v/>
      </c>
      <c r="H38" t="inlineStr">
        <is>
          <t>Чёрёмуха</t>
        </is>
      </c>
      <c r="K38" s="122">
        <f>K17-V17</f>
        <v/>
      </c>
      <c r="N38" s="119" t="n"/>
    </row>
    <row r="39">
      <c r="E39" s="124">
        <f>K39/K$43</f>
        <v/>
      </c>
      <c r="G39" s="123">
        <f>E39*G$26</f>
        <v/>
      </c>
      <c r="H39" t="inlineStr">
        <is>
          <t>Дуб</t>
        </is>
      </c>
      <c r="K39" s="122">
        <f>K18-V18</f>
        <v/>
      </c>
      <c r="N39" s="119" t="n"/>
    </row>
    <row r="40">
      <c r="E40" s="124">
        <f>K40/K$43</f>
        <v/>
      </c>
      <c r="G40" s="123">
        <f>E40*G$26</f>
        <v/>
      </c>
      <c r="H40" t="inlineStr">
        <is>
          <t>Рябина</t>
        </is>
      </c>
      <c r="K40" s="122">
        <f>K19-V19</f>
        <v/>
      </c>
      <c r="N40" s="119" t="n"/>
    </row>
    <row r="41">
      <c r="E41" s="118" t="n"/>
      <c r="N41" s="119" t="n"/>
    </row>
    <row r="42">
      <c r="E42" s="118" t="inlineStr">
        <is>
          <t>Интенсивность</t>
        </is>
      </c>
      <c r="N42" s="119" t="n"/>
    </row>
    <row r="43">
      <c r="E43" s="126">
        <f>K43/K22*100</f>
        <v/>
      </c>
      <c r="F43" s="45" t="inlineStr">
        <is>
          <t>%</t>
        </is>
      </c>
      <c r="G43" s="45" t="n"/>
      <c r="H43" s="45" t="inlineStr">
        <is>
          <t>Итого</t>
        </is>
      </c>
      <c r="I43" s="45" t="n"/>
      <c r="J43" s="45" t="n"/>
      <c r="K43" s="125">
        <f>K31+K32+K33+K34+K35+K36+K37+K38+K39+K40</f>
        <v/>
      </c>
      <c r="L43" s="45" t="n"/>
      <c r="M43" s="45" t="n"/>
      <c r="N43" s="12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2:X58"/>
  <sheetViews>
    <sheetView view="pageBreakPreview" zoomScaleNormal="100" zoomScaleSheetLayoutView="100" workbookViewId="0">
      <selection activeCell="M23" sqref="M23:M26"/>
    </sheetView>
  </sheetViews>
  <sheetFormatPr baseColWidth="8" defaultRowHeight="13.2"/>
  <cols>
    <col width="7.6640625" customWidth="1" style="146" min="1" max="3"/>
    <col width="10.44140625" customWidth="1" style="146" min="4" max="4"/>
    <col width="7.6640625" customWidth="1" style="146" min="5" max="5"/>
    <col width="9.6640625" customWidth="1" style="146" min="6" max="6"/>
    <col width="9.109375" customWidth="1" style="146" min="7" max="7"/>
    <col width="7.6640625" customWidth="1" style="146" min="8" max="11"/>
    <col width="10.33203125" customWidth="1" style="146" min="12" max="13"/>
    <col hidden="1" width="2.6640625" customWidth="1" style="146" min="14" max="14"/>
    <col width="9.109375" customWidth="1" style="146" min="15" max="15"/>
    <col width="15.88671875" customWidth="1" style="146" min="16" max="16"/>
    <col width="9.109375" customWidth="1" style="146" min="17" max="256"/>
    <col width="7.6640625" customWidth="1" style="146" min="257" max="259"/>
    <col width="10.44140625" customWidth="1" style="146" min="260" max="260"/>
    <col width="7.6640625" customWidth="1" style="146" min="261" max="261"/>
    <col width="9.6640625" customWidth="1" style="146" min="262" max="262"/>
    <col width="9.109375" customWidth="1" style="146" min="263" max="263"/>
    <col width="7.6640625" customWidth="1" style="146" min="264" max="267"/>
    <col width="10.33203125" customWidth="1" style="146" min="268" max="269"/>
    <col hidden="1" style="146" min="270" max="270"/>
    <col width="9.109375" customWidth="1" style="146" min="271" max="512"/>
    <col width="7.6640625" customWidth="1" style="146" min="513" max="515"/>
    <col width="10.44140625" customWidth="1" style="146" min="516" max="516"/>
    <col width="7.6640625" customWidth="1" style="146" min="517" max="517"/>
    <col width="9.6640625" customWidth="1" style="146" min="518" max="518"/>
    <col width="9.109375" customWidth="1" style="146" min="519" max="519"/>
    <col width="7.6640625" customWidth="1" style="146" min="520" max="523"/>
    <col width="10.33203125" customWidth="1" style="146" min="524" max="525"/>
    <col hidden="1" style="146" min="526" max="526"/>
    <col width="9.109375" customWidth="1" style="146" min="527" max="768"/>
    <col width="7.6640625" customWidth="1" style="146" min="769" max="771"/>
    <col width="10.44140625" customWidth="1" style="146" min="772" max="772"/>
    <col width="7.6640625" customWidth="1" style="146" min="773" max="773"/>
    <col width="9.6640625" customWidth="1" style="146" min="774" max="774"/>
    <col width="9.109375" customWidth="1" style="146" min="775" max="775"/>
    <col width="7.6640625" customWidth="1" style="146" min="776" max="779"/>
    <col width="10.33203125" customWidth="1" style="146" min="780" max="781"/>
    <col hidden="1" style="146" min="782" max="782"/>
    <col width="9.109375" customWidth="1" style="146" min="783" max="1024"/>
    <col width="7.6640625" customWidth="1" style="146" min="1025" max="1027"/>
    <col width="10.44140625" customWidth="1" style="146" min="1028" max="1028"/>
    <col width="7.6640625" customWidth="1" style="146" min="1029" max="1029"/>
    <col width="9.6640625" customWidth="1" style="146" min="1030" max="1030"/>
    <col width="9.109375" customWidth="1" style="146" min="1031" max="1031"/>
    <col width="7.6640625" customWidth="1" style="146" min="1032" max="1035"/>
    <col width="10.33203125" customWidth="1" style="146" min="1036" max="1037"/>
    <col hidden="1" style="146" min="1038" max="1038"/>
    <col width="9.109375" customWidth="1" style="146" min="1039" max="1280"/>
    <col width="7.6640625" customWidth="1" style="146" min="1281" max="1283"/>
    <col width="10.44140625" customWidth="1" style="146" min="1284" max="1284"/>
    <col width="7.6640625" customWidth="1" style="146" min="1285" max="1285"/>
    <col width="9.6640625" customWidth="1" style="146" min="1286" max="1286"/>
    <col width="9.109375" customWidth="1" style="146" min="1287" max="1287"/>
    <col width="7.6640625" customWidth="1" style="146" min="1288" max="1291"/>
    <col width="10.33203125" customWidth="1" style="146" min="1292" max="1293"/>
    <col hidden="1" style="146" min="1294" max="1294"/>
    <col width="9.109375" customWidth="1" style="146" min="1295" max="1536"/>
    <col width="7.6640625" customWidth="1" style="146" min="1537" max="1539"/>
    <col width="10.44140625" customWidth="1" style="146" min="1540" max="1540"/>
    <col width="7.6640625" customWidth="1" style="146" min="1541" max="1541"/>
    <col width="9.6640625" customWidth="1" style="146" min="1542" max="1542"/>
    <col width="9.109375" customWidth="1" style="146" min="1543" max="1543"/>
    <col width="7.6640625" customWidth="1" style="146" min="1544" max="1547"/>
    <col width="10.33203125" customWidth="1" style="146" min="1548" max="1549"/>
    <col hidden="1" style="146" min="1550" max="1550"/>
    <col width="9.109375" customWidth="1" style="146" min="1551" max="1792"/>
    <col width="7.6640625" customWidth="1" style="146" min="1793" max="1795"/>
    <col width="10.44140625" customWidth="1" style="146" min="1796" max="1796"/>
    <col width="7.6640625" customWidth="1" style="146" min="1797" max="1797"/>
    <col width="9.6640625" customWidth="1" style="146" min="1798" max="1798"/>
    <col width="9.109375" customWidth="1" style="146" min="1799" max="1799"/>
    <col width="7.6640625" customWidth="1" style="146" min="1800" max="1803"/>
    <col width="10.33203125" customWidth="1" style="146" min="1804" max="1805"/>
    <col hidden="1" style="146" min="1806" max="1806"/>
    <col width="9.109375" customWidth="1" style="146" min="1807" max="2048"/>
    <col width="7.6640625" customWidth="1" style="146" min="2049" max="2051"/>
    <col width="10.44140625" customWidth="1" style="146" min="2052" max="2052"/>
    <col width="7.6640625" customWidth="1" style="146" min="2053" max="2053"/>
    <col width="9.6640625" customWidth="1" style="146" min="2054" max="2054"/>
    <col width="9.109375" customWidth="1" style="146" min="2055" max="2055"/>
    <col width="7.6640625" customWidth="1" style="146" min="2056" max="2059"/>
    <col width="10.33203125" customWidth="1" style="146" min="2060" max="2061"/>
    <col hidden="1" style="146" min="2062" max="2062"/>
    <col width="9.109375" customWidth="1" style="146" min="2063" max="2304"/>
    <col width="7.6640625" customWidth="1" style="146" min="2305" max="2307"/>
    <col width="10.44140625" customWidth="1" style="146" min="2308" max="2308"/>
    <col width="7.6640625" customWidth="1" style="146" min="2309" max="2309"/>
    <col width="9.6640625" customWidth="1" style="146" min="2310" max="2310"/>
    <col width="9.109375" customWidth="1" style="146" min="2311" max="2311"/>
    <col width="7.6640625" customWidth="1" style="146" min="2312" max="2315"/>
    <col width="10.33203125" customWidth="1" style="146" min="2316" max="2317"/>
    <col hidden="1" style="146" min="2318" max="2318"/>
    <col width="9.109375" customWidth="1" style="146" min="2319" max="2560"/>
    <col width="7.6640625" customWidth="1" style="146" min="2561" max="2563"/>
    <col width="10.44140625" customWidth="1" style="146" min="2564" max="2564"/>
    <col width="7.6640625" customWidth="1" style="146" min="2565" max="2565"/>
    <col width="9.6640625" customWidth="1" style="146" min="2566" max="2566"/>
    <col width="9.109375" customWidth="1" style="146" min="2567" max="2567"/>
    <col width="7.6640625" customWidth="1" style="146" min="2568" max="2571"/>
    <col width="10.33203125" customWidth="1" style="146" min="2572" max="2573"/>
    <col hidden="1" style="146" min="2574" max="2574"/>
    <col width="9.109375" customWidth="1" style="146" min="2575" max="2816"/>
    <col width="7.6640625" customWidth="1" style="146" min="2817" max="2819"/>
    <col width="10.44140625" customWidth="1" style="146" min="2820" max="2820"/>
    <col width="7.6640625" customWidth="1" style="146" min="2821" max="2821"/>
    <col width="9.6640625" customWidth="1" style="146" min="2822" max="2822"/>
    <col width="9.109375" customWidth="1" style="146" min="2823" max="2823"/>
    <col width="7.6640625" customWidth="1" style="146" min="2824" max="2827"/>
    <col width="10.33203125" customWidth="1" style="146" min="2828" max="2829"/>
    <col hidden="1" style="146" min="2830" max="2830"/>
    <col width="9.109375" customWidth="1" style="146" min="2831" max="3072"/>
    <col width="7.6640625" customWidth="1" style="146" min="3073" max="3075"/>
    <col width="10.44140625" customWidth="1" style="146" min="3076" max="3076"/>
    <col width="7.6640625" customWidth="1" style="146" min="3077" max="3077"/>
    <col width="9.6640625" customWidth="1" style="146" min="3078" max="3078"/>
    <col width="9.109375" customWidth="1" style="146" min="3079" max="3079"/>
    <col width="7.6640625" customWidth="1" style="146" min="3080" max="3083"/>
    <col width="10.33203125" customWidth="1" style="146" min="3084" max="3085"/>
    <col hidden="1" style="146" min="3086" max="3086"/>
    <col width="9.109375" customWidth="1" style="146" min="3087" max="3328"/>
    <col width="7.6640625" customWidth="1" style="146" min="3329" max="3331"/>
    <col width="10.44140625" customWidth="1" style="146" min="3332" max="3332"/>
    <col width="7.6640625" customWidth="1" style="146" min="3333" max="3333"/>
    <col width="9.6640625" customWidth="1" style="146" min="3334" max="3334"/>
    <col width="9.109375" customWidth="1" style="146" min="3335" max="3335"/>
    <col width="7.6640625" customWidth="1" style="146" min="3336" max="3339"/>
    <col width="10.33203125" customWidth="1" style="146" min="3340" max="3341"/>
    <col hidden="1" style="146" min="3342" max="3342"/>
    <col width="9.109375" customWidth="1" style="146" min="3343" max="3584"/>
    <col width="7.6640625" customWidth="1" style="146" min="3585" max="3587"/>
    <col width="10.44140625" customWidth="1" style="146" min="3588" max="3588"/>
    <col width="7.6640625" customWidth="1" style="146" min="3589" max="3589"/>
    <col width="9.6640625" customWidth="1" style="146" min="3590" max="3590"/>
    <col width="9.109375" customWidth="1" style="146" min="3591" max="3591"/>
    <col width="7.6640625" customWidth="1" style="146" min="3592" max="3595"/>
    <col width="10.33203125" customWidth="1" style="146" min="3596" max="3597"/>
    <col hidden="1" style="146" min="3598" max="3598"/>
    <col width="9.109375" customWidth="1" style="146" min="3599" max="3840"/>
    <col width="7.6640625" customWidth="1" style="146" min="3841" max="3843"/>
    <col width="10.44140625" customWidth="1" style="146" min="3844" max="3844"/>
    <col width="7.6640625" customWidth="1" style="146" min="3845" max="3845"/>
    <col width="9.6640625" customWidth="1" style="146" min="3846" max="3846"/>
    <col width="9.109375" customWidth="1" style="146" min="3847" max="3847"/>
    <col width="7.6640625" customWidth="1" style="146" min="3848" max="3851"/>
    <col width="10.33203125" customWidth="1" style="146" min="3852" max="3853"/>
    <col hidden="1" style="146" min="3854" max="3854"/>
    <col width="9.109375" customWidth="1" style="146" min="3855" max="4096"/>
    <col width="7.6640625" customWidth="1" style="146" min="4097" max="4099"/>
    <col width="10.44140625" customWidth="1" style="146" min="4100" max="4100"/>
    <col width="7.6640625" customWidth="1" style="146" min="4101" max="4101"/>
    <col width="9.6640625" customWidth="1" style="146" min="4102" max="4102"/>
    <col width="9.109375" customWidth="1" style="146" min="4103" max="4103"/>
    <col width="7.6640625" customWidth="1" style="146" min="4104" max="4107"/>
    <col width="10.33203125" customWidth="1" style="146" min="4108" max="4109"/>
    <col hidden="1" style="146" min="4110" max="4110"/>
    <col width="9.109375" customWidth="1" style="146" min="4111" max="4352"/>
    <col width="7.6640625" customWidth="1" style="146" min="4353" max="4355"/>
    <col width="10.44140625" customWidth="1" style="146" min="4356" max="4356"/>
    <col width="7.6640625" customWidth="1" style="146" min="4357" max="4357"/>
    <col width="9.6640625" customWidth="1" style="146" min="4358" max="4358"/>
    <col width="9.109375" customWidth="1" style="146" min="4359" max="4359"/>
    <col width="7.6640625" customWidth="1" style="146" min="4360" max="4363"/>
    <col width="10.33203125" customWidth="1" style="146" min="4364" max="4365"/>
    <col hidden="1" style="146" min="4366" max="4366"/>
    <col width="9.109375" customWidth="1" style="146" min="4367" max="4608"/>
    <col width="7.6640625" customWidth="1" style="146" min="4609" max="4611"/>
    <col width="10.44140625" customWidth="1" style="146" min="4612" max="4612"/>
    <col width="7.6640625" customWidth="1" style="146" min="4613" max="4613"/>
    <col width="9.6640625" customWidth="1" style="146" min="4614" max="4614"/>
    <col width="9.109375" customWidth="1" style="146" min="4615" max="4615"/>
    <col width="7.6640625" customWidth="1" style="146" min="4616" max="4619"/>
    <col width="10.33203125" customWidth="1" style="146" min="4620" max="4621"/>
    <col hidden="1" style="146" min="4622" max="4622"/>
    <col width="9.109375" customWidth="1" style="146" min="4623" max="4864"/>
    <col width="7.6640625" customWidth="1" style="146" min="4865" max="4867"/>
    <col width="10.44140625" customWidth="1" style="146" min="4868" max="4868"/>
    <col width="7.6640625" customWidth="1" style="146" min="4869" max="4869"/>
    <col width="9.6640625" customWidth="1" style="146" min="4870" max="4870"/>
    <col width="9.109375" customWidth="1" style="146" min="4871" max="4871"/>
    <col width="7.6640625" customWidth="1" style="146" min="4872" max="4875"/>
    <col width="10.33203125" customWidth="1" style="146" min="4876" max="4877"/>
    <col hidden="1" style="146" min="4878" max="4878"/>
    <col width="9.109375" customWidth="1" style="146" min="4879" max="5120"/>
    <col width="7.6640625" customWidth="1" style="146" min="5121" max="5123"/>
    <col width="10.44140625" customWidth="1" style="146" min="5124" max="5124"/>
    <col width="7.6640625" customWidth="1" style="146" min="5125" max="5125"/>
    <col width="9.6640625" customWidth="1" style="146" min="5126" max="5126"/>
    <col width="9.109375" customWidth="1" style="146" min="5127" max="5127"/>
    <col width="7.6640625" customWidth="1" style="146" min="5128" max="5131"/>
    <col width="10.33203125" customWidth="1" style="146" min="5132" max="5133"/>
    <col hidden="1" style="146" min="5134" max="5134"/>
    <col width="9.109375" customWidth="1" style="146" min="5135" max="5376"/>
    <col width="7.6640625" customWidth="1" style="146" min="5377" max="5379"/>
    <col width="10.44140625" customWidth="1" style="146" min="5380" max="5380"/>
    <col width="7.6640625" customWidth="1" style="146" min="5381" max="5381"/>
    <col width="9.6640625" customWidth="1" style="146" min="5382" max="5382"/>
    <col width="9.109375" customWidth="1" style="146" min="5383" max="5383"/>
    <col width="7.6640625" customWidth="1" style="146" min="5384" max="5387"/>
    <col width="10.33203125" customWidth="1" style="146" min="5388" max="5389"/>
    <col hidden="1" style="146" min="5390" max="5390"/>
    <col width="9.109375" customWidth="1" style="146" min="5391" max="5632"/>
    <col width="7.6640625" customWidth="1" style="146" min="5633" max="5635"/>
    <col width="10.44140625" customWidth="1" style="146" min="5636" max="5636"/>
    <col width="7.6640625" customWidth="1" style="146" min="5637" max="5637"/>
    <col width="9.6640625" customWidth="1" style="146" min="5638" max="5638"/>
    <col width="9.109375" customWidth="1" style="146" min="5639" max="5639"/>
    <col width="7.6640625" customWidth="1" style="146" min="5640" max="5643"/>
    <col width="10.33203125" customWidth="1" style="146" min="5644" max="5645"/>
    <col hidden="1" style="146" min="5646" max="5646"/>
    <col width="9.109375" customWidth="1" style="146" min="5647" max="5888"/>
    <col width="7.6640625" customWidth="1" style="146" min="5889" max="5891"/>
    <col width="10.44140625" customWidth="1" style="146" min="5892" max="5892"/>
    <col width="7.6640625" customWidth="1" style="146" min="5893" max="5893"/>
    <col width="9.6640625" customWidth="1" style="146" min="5894" max="5894"/>
    <col width="9.109375" customWidth="1" style="146" min="5895" max="5895"/>
    <col width="7.6640625" customWidth="1" style="146" min="5896" max="5899"/>
    <col width="10.33203125" customWidth="1" style="146" min="5900" max="5901"/>
    <col hidden="1" style="146" min="5902" max="5902"/>
    <col width="9.109375" customWidth="1" style="146" min="5903" max="6144"/>
    <col width="7.6640625" customWidth="1" style="146" min="6145" max="6147"/>
    <col width="10.44140625" customWidth="1" style="146" min="6148" max="6148"/>
    <col width="7.6640625" customWidth="1" style="146" min="6149" max="6149"/>
    <col width="9.6640625" customWidth="1" style="146" min="6150" max="6150"/>
    <col width="9.109375" customWidth="1" style="146" min="6151" max="6151"/>
    <col width="7.6640625" customWidth="1" style="146" min="6152" max="6155"/>
    <col width="10.33203125" customWidth="1" style="146" min="6156" max="6157"/>
    <col hidden="1" style="146" min="6158" max="6158"/>
    <col width="9.109375" customWidth="1" style="146" min="6159" max="6400"/>
    <col width="7.6640625" customWidth="1" style="146" min="6401" max="6403"/>
    <col width="10.44140625" customWidth="1" style="146" min="6404" max="6404"/>
    <col width="7.6640625" customWidth="1" style="146" min="6405" max="6405"/>
    <col width="9.6640625" customWidth="1" style="146" min="6406" max="6406"/>
    <col width="9.109375" customWidth="1" style="146" min="6407" max="6407"/>
    <col width="7.6640625" customWidth="1" style="146" min="6408" max="6411"/>
    <col width="10.33203125" customWidth="1" style="146" min="6412" max="6413"/>
    <col hidden="1" style="146" min="6414" max="6414"/>
    <col width="9.109375" customWidth="1" style="146" min="6415" max="6656"/>
    <col width="7.6640625" customWidth="1" style="146" min="6657" max="6659"/>
    <col width="10.44140625" customWidth="1" style="146" min="6660" max="6660"/>
    <col width="7.6640625" customWidth="1" style="146" min="6661" max="6661"/>
    <col width="9.6640625" customWidth="1" style="146" min="6662" max="6662"/>
    <col width="9.109375" customWidth="1" style="146" min="6663" max="6663"/>
    <col width="7.6640625" customWidth="1" style="146" min="6664" max="6667"/>
    <col width="10.33203125" customWidth="1" style="146" min="6668" max="6669"/>
    <col hidden="1" style="146" min="6670" max="6670"/>
    <col width="9.109375" customWidth="1" style="146" min="6671" max="6912"/>
    <col width="7.6640625" customWidth="1" style="146" min="6913" max="6915"/>
    <col width="10.44140625" customWidth="1" style="146" min="6916" max="6916"/>
    <col width="7.6640625" customWidth="1" style="146" min="6917" max="6917"/>
    <col width="9.6640625" customWidth="1" style="146" min="6918" max="6918"/>
    <col width="9.109375" customWidth="1" style="146" min="6919" max="6919"/>
    <col width="7.6640625" customWidth="1" style="146" min="6920" max="6923"/>
    <col width="10.33203125" customWidth="1" style="146" min="6924" max="6925"/>
    <col hidden="1" style="146" min="6926" max="6926"/>
    <col width="9.109375" customWidth="1" style="146" min="6927" max="7168"/>
    <col width="7.6640625" customWidth="1" style="146" min="7169" max="7171"/>
    <col width="10.44140625" customWidth="1" style="146" min="7172" max="7172"/>
    <col width="7.6640625" customWidth="1" style="146" min="7173" max="7173"/>
    <col width="9.6640625" customWidth="1" style="146" min="7174" max="7174"/>
    <col width="9.109375" customWidth="1" style="146" min="7175" max="7175"/>
    <col width="7.6640625" customWidth="1" style="146" min="7176" max="7179"/>
    <col width="10.33203125" customWidth="1" style="146" min="7180" max="7181"/>
    <col hidden="1" style="146" min="7182" max="7182"/>
    <col width="9.109375" customWidth="1" style="146" min="7183" max="7424"/>
    <col width="7.6640625" customWidth="1" style="146" min="7425" max="7427"/>
    <col width="10.44140625" customWidth="1" style="146" min="7428" max="7428"/>
    <col width="7.6640625" customWidth="1" style="146" min="7429" max="7429"/>
    <col width="9.6640625" customWidth="1" style="146" min="7430" max="7430"/>
    <col width="9.109375" customWidth="1" style="146" min="7431" max="7431"/>
    <col width="7.6640625" customWidth="1" style="146" min="7432" max="7435"/>
    <col width="10.33203125" customWidth="1" style="146" min="7436" max="7437"/>
    <col hidden="1" style="146" min="7438" max="7438"/>
    <col width="9.109375" customWidth="1" style="146" min="7439" max="7680"/>
    <col width="7.6640625" customWidth="1" style="146" min="7681" max="7683"/>
    <col width="10.44140625" customWidth="1" style="146" min="7684" max="7684"/>
    <col width="7.6640625" customWidth="1" style="146" min="7685" max="7685"/>
    <col width="9.6640625" customWidth="1" style="146" min="7686" max="7686"/>
    <col width="9.109375" customWidth="1" style="146" min="7687" max="7687"/>
    <col width="7.6640625" customWidth="1" style="146" min="7688" max="7691"/>
    <col width="10.33203125" customWidth="1" style="146" min="7692" max="7693"/>
    <col hidden="1" style="146" min="7694" max="7694"/>
    <col width="9.109375" customWidth="1" style="146" min="7695" max="7936"/>
    <col width="7.6640625" customWidth="1" style="146" min="7937" max="7939"/>
    <col width="10.44140625" customWidth="1" style="146" min="7940" max="7940"/>
    <col width="7.6640625" customWidth="1" style="146" min="7941" max="7941"/>
    <col width="9.6640625" customWidth="1" style="146" min="7942" max="7942"/>
    <col width="9.109375" customWidth="1" style="146" min="7943" max="7943"/>
    <col width="7.6640625" customWidth="1" style="146" min="7944" max="7947"/>
    <col width="10.33203125" customWidth="1" style="146" min="7948" max="7949"/>
    <col hidden="1" style="146" min="7950" max="7950"/>
    <col width="9.109375" customWidth="1" style="146" min="7951" max="8192"/>
    <col width="7.6640625" customWidth="1" style="146" min="8193" max="8195"/>
    <col width="10.44140625" customWidth="1" style="146" min="8196" max="8196"/>
    <col width="7.6640625" customWidth="1" style="146" min="8197" max="8197"/>
    <col width="9.6640625" customWidth="1" style="146" min="8198" max="8198"/>
    <col width="9.109375" customWidth="1" style="146" min="8199" max="8199"/>
    <col width="7.6640625" customWidth="1" style="146" min="8200" max="8203"/>
    <col width="10.33203125" customWidth="1" style="146" min="8204" max="8205"/>
    <col hidden="1" style="146" min="8206" max="8206"/>
    <col width="9.109375" customWidth="1" style="146" min="8207" max="8448"/>
    <col width="7.6640625" customWidth="1" style="146" min="8449" max="8451"/>
    <col width="10.44140625" customWidth="1" style="146" min="8452" max="8452"/>
    <col width="7.6640625" customWidth="1" style="146" min="8453" max="8453"/>
    <col width="9.6640625" customWidth="1" style="146" min="8454" max="8454"/>
    <col width="9.109375" customWidth="1" style="146" min="8455" max="8455"/>
    <col width="7.6640625" customWidth="1" style="146" min="8456" max="8459"/>
    <col width="10.33203125" customWidth="1" style="146" min="8460" max="8461"/>
    <col hidden="1" style="146" min="8462" max="8462"/>
    <col width="9.109375" customWidth="1" style="146" min="8463" max="8704"/>
    <col width="7.6640625" customWidth="1" style="146" min="8705" max="8707"/>
    <col width="10.44140625" customWidth="1" style="146" min="8708" max="8708"/>
    <col width="7.6640625" customWidth="1" style="146" min="8709" max="8709"/>
    <col width="9.6640625" customWidth="1" style="146" min="8710" max="8710"/>
    <col width="9.109375" customWidth="1" style="146" min="8711" max="8711"/>
    <col width="7.6640625" customWidth="1" style="146" min="8712" max="8715"/>
    <col width="10.33203125" customWidth="1" style="146" min="8716" max="8717"/>
    <col hidden="1" style="146" min="8718" max="8718"/>
    <col width="9.109375" customWidth="1" style="146" min="8719" max="8960"/>
    <col width="7.6640625" customWidth="1" style="146" min="8961" max="8963"/>
    <col width="10.44140625" customWidth="1" style="146" min="8964" max="8964"/>
    <col width="7.6640625" customWidth="1" style="146" min="8965" max="8965"/>
    <col width="9.6640625" customWidth="1" style="146" min="8966" max="8966"/>
    <col width="9.109375" customWidth="1" style="146" min="8967" max="8967"/>
    <col width="7.6640625" customWidth="1" style="146" min="8968" max="8971"/>
    <col width="10.33203125" customWidth="1" style="146" min="8972" max="8973"/>
    <col hidden="1" style="146" min="8974" max="8974"/>
    <col width="9.109375" customWidth="1" style="146" min="8975" max="9216"/>
    <col width="7.6640625" customWidth="1" style="146" min="9217" max="9219"/>
    <col width="10.44140625" customWidth="1" style="146" min="9220" max="9220"/>
    <col width="7.6640625" customWidth="1" style="146" min="9221" max="9221"/>
    <col width="9.6640625" customWidth="1" style="146" min="9222" max="9222"/>
    <col width="9.109375" customWidth="1" style="146" min="9223" max="9223"/>
    <col width="7.6640625" customWidth="1" style="146" min="9224" max="9227"/>
    <col width="10.33203125" customWidth="1" style="146" min="9228" max="9229"/>
    <col hidden="1" style="146" min="9230" max="9230"/>
    <col width="9.109375" customWidth="1" style="146" min="9231" max="9472"/>
    <col width="7.6640625" customWidth="1" style="146" min="9473" max="9475"/>
    <col width="10.44140625" customWidth="1" style="146" min="9476" max="9476"/>
    <col width="7.6640625" customWidth="1" style="146" min="9477" max="9477"/>
    <col width="9.6640625" customWidth="1" style="146" min="9478" max="9478"/>
    <col width="9.109375" customWidth="1" style="146" min="9479" max="9479"/>
    <col width="7.6640625" customWidth="1" style="146" min="9480" max="9483"/>
    <col width="10.33203125" customWidth="1" style="146" min="9484" max="9485"/>
    <col hidden="1" style="146" min="9486" max="9486"/>
    <col width="9.109375" customWidth="1" style="146" min="9487" max="9728"/>
    <col width="7.6640625" customWidth="1" style="146" min="9729" max="9731"/>
    <col width="10.44140625" customWidth="1" style="146" min="9732" max="9732"/>
    <col width="7.6640625" customWidth="1" style="146" min="9733" max="9733"/>
    <col width="9.6640625" customWidth="1" style="146" min="9734" max="9734"/>
    <col width="9.109375" customWidth="1" style="146" min="9735" max="9735"/>
    <col width="7.6640625" customWidth="1" style="146" min="9736" max="9739"/>
    <col width="10.33203125" customWidth="1" style="146" min="9740" max="9741"/>
    <col hidden="1" style="146" min="9742" max="9742"/>
    <col width="9.109375" customWidth="1" style="146" min="9743" max="9984"/>
    <col width="7.6640625" customWidth="1" style="146" min="9985" max="9987"/>
    <col width="10.44140625" customWidth="1" style="146" min="9988" max="9988"/>
    <col width="7.6640625" customWidth="1" style="146" min="9989" max="9989"/>
    <col width="9.6640625" customWidth="1" style="146" min="9990" max="9990"/>
    <col width="9.109375" customWidth="1" style="146" min="9991" max="9991"/>
    <col width="7.6640625" customWidth="1" style="146" min="9992" max="9995"/>
    <col width="10.33203125" customWidth="1" style="146" min="9996" max="9997"/>
    <col hidden="1" style="146" min="9998" max="9998"/>
    <col width="9.109375" customWidth="1" style="146" min="9999" max="10240"/>
    <col width="7.6640625" customWidth="1" style="146" min="10241" max="10243"/>
    <col width="10.44140625" customWidth="1" style="146" min="10244" max="10244"/>
    <col width="7.6640625" customWidth="1" style="146" min="10245" max="10245"/>
    <col width="9.6640625" customWidth="1" style="146" min="10246" max="10246"/>
    <col width="9.109375" customWidth="1" style="146" min="10247" max="10247"/>
    <col width="7.6640625" customWidth="1" style="146" min="10248" max="10251"/>
    <col width="10.33203125" customWidth="1" style="146" min="10252" max="10253"/>
    <col hidden="1" style="146" min="10254" max="10254"/>
    <col width="9.109375" customWidth="1" style="146" min="10255" max="10496"/>
    <col width="7.6640625" customWidth="1" style="146" min="10497" max="10499"/>
    <col width="10.44140625" customWidth="1" style="146" min="10500" max="10500"/>
    <col width="7.6640625" customWidth="1" style="146" min="10501" max="10501"/>
    <col width="9.6640625" customWidth="1" style="146" min="10502" max="10502"/>
    <col width="9.109375" customWidth="1" style="146" min="10503" max="10503"/>
    <col width="7.6640625" customWidth="1" style="146" min="10504" max="10507"/>
    <col width="10.33203125" customWidth="1" style="146" min="10508" max="10509"/>
    <col hidden="1" style="146" min="10510" max="10510"/>
    <col width="9.109375" customWidth="1" style="146" min="10511" max="10752"/>
    <col width="7.6640625" customWidth="1" style="146" min="10753" max="10755"/>
    <col width="10.44140625" customWidth="1" style="146" min="10756" max="10756"/>
    <col width="7.6640625" customWidth="1" style="146" min="10757" max="10757"/>
    <col width="9.6640625" customWidth="1" style="146" min="10758" max="10758"/>
    <col width="9.109375" customWidth="1" style="146" min="10759" max="10759"/>
    <col width="7.6640625" customWidth="1" style="146" min="10760" max="10763"/>
    <col width="10.33203125" customWidth="1" style="146" min="10764" max="10765"/>
    <col hidden="1" style="146" min="10766" max="10766"/>
    <col width="9.109375" customWidth="1" style="146" min="10767" max="11008"/>
    <col width="7.6640625" customWidth="1" style="146" min="11009" max="11011"/>
    <col width="10.44140625" customWidth="1" style="146" min="11012" max="11012"/>
    <col width="7.6640625" customWidth="1" style="146" min="11013" max="11013"/>
    <col width="9.6640625" customWidth="1" style="146" min="11014" max="11014"/>
    <col width="9.109375" customWidth="1" style="146" min="11015" max="11015"/>
    <col width="7.6640625" customWidth="1" style="146" min="11016" max="11019"/>
    <col width="10.33203125" customWidth="1" style="146" min="11020" max="11021"/>
    <col hidden="1" style="146" min="11022" max="11022"/>
    <col width="9.109375" customWidth="1" style="146" min="11023" max="11264"/>
    <col width="7.6640625" customWidth="1" style="146" min="11265" max="11267"/>
    <col width="10.44140625" customWidth="1" style="146" min="11268" max="11268"/>
    <col width="7.6640625" customWidth="1" style="146" min="11269" max="11269"/>
    <col width="9.6640625" customWidth="1" style="146" min="11270" max="11270"/>
    <col width="9.109375" customWidth="1" style="146" min="11271" max="11271"/>
    <col width="7.6640625" customWidth="1" style="146" min="11272" max="11275"/>
    <col width="10.33203125" customWidth="1" style="146" min="11276" max="11277"/>
    <col hidden="1" style="146" min="11278" max="11278"/>
    <col width="9.109375" customWidth="1" style="146" min="11279" max="11520"/>
    <col width="7.6640625" customWidth="1" style="146" min="11521" max="11523"/>
    <col width="10.44140625" customWidth="1" style="146" min="11524" max="11524"/>
    <col width="7.6640625" customWidth="1" style="146" min="11525" max="11525"/>
    <col width="9.6640625" customWidth="1" style="146" min="11526" max="11526"/>
    <col width="9.109375" customWidth="1" style="146" min="11527" max="11527"/>
    <col width="7.6640625" customWidth="1" style="146" min="11528" max="11531"/>
    <col width="10.33203125" customWidth="1" style="146" min="11532" max="11533"/>
    <col hidden="1" style="146" min="11534" max="11534"/>
    <col width="9.109375" customWidth="1" style="146" min="11535" max="11776"/>
    <col width="7.6640625" customWidth="1" style="146" min="11777" max="11779"/>
    <col width="10.44140625" customWidth="1" style="146" min="11780" max="11780"/>
    <col width="7.6640625" customWidth="1" style="146" min="11781" max="11781"/>
    <col width="9.6640625" customWidth="1" style="146" min="11782" max="11782"/>
    <col width="9.109375" customWidth="1" style="146" min="11783" max="11783"/>
    <col width="7.6640625" customWidth="1" style="146" min="11784" max="11787"/>
    <col width="10.33203125" customWidth="1" style="146" min="11788" max="11789"/>
    <col hidden="1" style="146" min="11790" max="11790"/>
    <col width="9.109375" customWidth="1" style="146" min="11791" max="12032"/>
    <col width="7.6640625" customWidth="1" style="146" min="12033" max="12035"/>
    <col width="10.44140625" customWidth="1" style="146" min="12036" max="12036"/>
    <col width="7.6640625" customWidth="1" style="146" min="12037" max="12037"/>
    <col width="9.6640625" customWidth="1" style="146" min="12038" max="12038"/>
    <col width="9.109375" customWidth="1" style="146" min="12039" max="12039"/>
    <col width="7.6640625" customWidth="1" style="146" min="12040" max="12043"/>
    <col width="10.33203125" customWidth="1" style="146" min="12044" max="12045"/>
    <col hidden="1" style="146" min="12046" max="12046"/>
    <col width="9.109375" customWidth="1" style="146" min="12047" max="12288"/>
    <col width="7.6640625" customWidth="1" style="146" min="12289" max="12291"/>
    <col width="10.44140625" customWidth="1" style="146" min="12292" max="12292"/>
    <col width="7.6640625" customWidth="1" style="146" min="12293" max="12293"/>
    <col width="9.6640625" customWidth="1" style="146" min="12294" max="12294"/>
    <col width="9.109375" customWidth="1" style="146" min="12295" max="12295"/>
    <col width="7.6640625" customWidth="1" style="146" min="12296" max="12299"/>
    <col width="10.33203125" customWidth="1" style="146" min="12300" max="12301"/>
    <col hidden="1" style="146" min="12302" max="12302"/>
    <col width="9.109375" customWidth="1" style="146" min="12303" max="12544"/>
    <col width="7.6640625" customWidth="1" style="146" min="12545" max="12547"/>
    <col width="10.44140625" customWidth="1" style="146" min="12548" max="12548"/>
    <col width="7.6640625" customWidth="1" style="146" min="12549" max="12549"/>
    <col width="9.6640625" customWidth="1" style="146" min="12550" max="12550"/>
    <col width="9.109375" customWidth="1" style="146" min="12551" max="12551"/>
    <col width="7.6640625" customWidth="1" style="146" min="12552" max="12555"/>
    <col width="10.33203125" customWidth="1" style="146" min="12556" max="12557"/>
    <col hidden="1" style="146" min="12558" max="12558"/>
    <col width="9.109375" customWidth="1" style="146" min="12559" max="12800"/>
    <col width="7.6640625" customWidth="1" style="146" min="12801" max="12803"/>
    <col width="10.44140625" customWidth="1" style="146" min="12804" max="12804"/>
    <col width="7.6640625" customWidth="1" style="146" min="12805" max="12805"/>
    <col width="9.6640625" customWidth="1" style="146" min="12806" max="12806"/>
    <col width="9.109375" customWidth="1" style="146" min="12807" max="12807"/>
    <col width="7.6640625" customWidth="1" style="146" min="12808" max="12811"/>
    <col width="10.33203125" customWidth="1" style="146" min="12812" max="12813"/>
    <col hidden="1" style="146" min="12814" max="12814"/>
    <col width="9.109375" customWidth="1" style="146" min="12815" max="13056"/>
    <col width="7.6640625" customWidth="1" style="146" min="13057" max="13059"/>
    <col width="10.44140625" customWidth="1" style="146" min="13060" max="13060"/>
    <col width="7.6640625" customWidth="1" style="146" min="13061" max="13061"/>
    <col width="9.6640625" customWidth="1" style="146" min="13062" max="13062"/>
    <col width="9.109375" customWidth="1" style="146" min="13063" max="13063"/>
    <col width="7.6640625" customWidth="1" style="146" min="13064" max="13067"/>
    <col width="10.33203125" customWidth="1" style="146" min="13068" max="13069"/>
    <col hidden="1" style="146" min="13070" max="13070"/>
    <col width="9.109375" customWidth="1" style="146" min="13071" max="13312"/>
    <col width="7.6640625" customWidth="1" style="146" min="13313" max="13315"/>
    <col width="10.44140625" customWidth="1" style="146" min="13316" max="13316"/>
    <col width="7.6640625" customWidth="1" style="146" min="13317" max="13317"/>
    <col width="9.6640625" customWidth="1" style="146" min="13318" max="13318"/>
    <col width="9.109375" customWidth="1" style="146" min="13319" max="13319"/>
    <col width="7.6640625" customWidth="1" style="146" min="13320" max="13323"/>
    <col width="10.33203125" customWidth="1" style="146" min="13324" max="13325"/>
    <col hidden="1" style="146" min="13326" max="13326"/>
    <col width="9.109375" customWidth="1" style="146" min="13327" max="13568"/>
    <col width="7.6640625" customWidth="1" style="146" min="13569" max="13571"/>
    <col width="10.44140625" customWidth="1" style="146" min="13572" max="13572"/>
    <col width="7.6640625" customWidth="1" style="146" min="13573" max="13573"/>
    <col width="9.6640625" customWidth="1" style="146" min="13574" max="13574"/>
    <col width="9.109375" customWidth="1" style="146" min="13575" max="13575"/>
    <col width="7.6640625" customWidth="1" style="146" min="13576" max="13579"/>
    <col width="10.33203125" customWidth="1" style="146" min="13580" max="13581"/>
    <col hidden="1" style="146" min="13582" max="13582"/>
    <col width="9.109375" customWidth="1" style="146" min="13583" max="13824"/>
    <col width="7.6640625" customWidth="1" style="146" min="13825" max="13827"/>
    <col width="10.44140625" customWidth="1" style="146" min="13828" max="13828"/>
    <col width="7.6640625" customWidth="1" style="146" min="13829" max="13829"/>
    <col width="9.6640625" customWidth="1" style="146" min="13830" max="13830"/>
    <col width="9.109375" customWidth="1" style="146" min="13831" max="13831"/>
    <col width="7.6640625" customWidth="1" style="146" min="13832" max="13835"/>
    <col width="10.33203125" customWidth="1" style="146" min="13836" max="13837"/>
    <col hidden="1" style="146" min="13838" max="13838"/>
    <col width="9.109375" customWidth="1" style="146" min="13839" max="14080"/>
    <col width="7.6640625" customWidth="1" style="146" min="14081" max="14083"/>
    <col width="10.44140625" customWidth="1" style="146" min="14084" max="14084"/>
    <col width="7.6640625" customWidth="1" style="146" min="14085" max="14085"/>
    <col width="9.6640625" customWidth="1" style="146" min="14086" max="14086"/>
    <col width="9.109375" customWidth="1" style="146" min="14087" max="14087"/>
    <col width="7.6640625" customWidth="1" style="146" min="14088" max="14091"/>
    <col width="10.33203125" customWidth="1" style="146" min="14092" max="14093"/>
    <col hidden="1" style="146" min="14094" max="14094"/>
    <col width="9.109375" customWidth="1" style="146" min="14095" max="14336"/>
    <col width="7.6640625" customWidth="1" style="146" min="14337" max="14339"/>
    <col width="10.44140625" customWidth="1" style="146" min="14340" max="14340"/>
    <col width="7.6640625" customWidth="1" style="146" min="14341" max="14341"/>
    <col width="9.6640625" customWidth="1" style="146" min="14342" max="14342"/>
    <col width="9.109375" customWidth="1" style="146" min="14343" max="14343"/>
    <col width="7.6640625" customWidth="1" style="146" min="14344" max="14347"/>
    <col width="10.33203125" customWidth="1" style="146" min="14348" max="14349"/>
    <col hidden="1" style="146" min="14350" max="14350"/>
    <col width="9.109375" customWidth="1" style="146" min="14351" max="14592"/>
    <col width="7.6640625" customWidth="1" style="146" min="14593" max="14595"/>
    <col width="10.44140625" customWidth="1" style="146" min="14596" max="14596"/>
    <col width="7.6640625" customWidth="1" style="146" min="14597" max="14597"/>
    <col width="9.6640625" customWidth="1" style="146" min="14598" max="14598"/>
    <col width="9.109375" customWidth="1" style="146" min="14599" max="14599"/>
    <col width="7.6640625" customWidth="1" style="146" min="14600" max="14603"/>
    <col width="10.33203125" customWidth="1" style="146" min="14604" max="14605"/>
    <col hidden="1" style="146" min="14606" max="14606"/>
    <col width="9.109375" customWidth="1" style="146" min="14607" max="14848"/>
    <col width="7.6640625" customWidth="1" style="146" min="14849" max="14851"/>
    <col width="10.44140625" customWidth="1" style="146" min="14852" max="14852"/>
    <col width="7.6640625" customWidth="1" style="146" min="14853" max="14853"/>
    <col width="9.6640625" customWidth="1" style="146" min="14854" max="14854"/>
    <col width="9.109375" customWidth="1" style="146" min="14855" max="14855"/>
    <col width="7.6640625" customWidth="1" style="146" min="14856" max="14859"/>
    <col width="10.33203125" customWidth="1" style="146" min="14860" max="14861"/>
    <col hidden="1" style="146" min="14862" max="14862"/>
    <col width="9.109375" customWidth="1" style="146" min="14863" max="15104"/>
    <col width="7.6640625" customWidth="1" style="146" min="15105" max="15107"/>
    <col width="10.44140625" customWidth="1" style="146" min="15108" max="15108"/>
    <col width="7.6640625" customWidth="1" style="146" min="15109" max="15109"/>
    <col width="9.6640625" customWidth="1" style="146" min="15110" max="15110"/>
    <col width="9.109375" customWidth="1" style="146" min="15111" max="15111"/>
    <col width="7.6640625" customWidth="1" style="146" min="15112" max="15115"/>
    <col width="10.33203125" customWidth="1" style="146" min="15116" max="15117"/>
    <col hidden="1" style="146" min="15118" max="15118"/>
    <col width="9.109375" customWidth="1" style="146" min="15119" max="15360"/>
    <col width="7.6640625" customWidth="1" style="146" min="15361" max="15363"/>
    <col width="10.44140625" customWidth="1" style="146" min="15364" max="15364"/>
    <col width="7.6640625" customWidth="1" style="146" min="15365" max="15365"/>
    <col width="9.6640625" customWidth="1" style="146" min="15366" max="15366"/>
    <col width="9.109375" customWidth="1" style="146" min="15367" max="15367"/>
    <col width="7.6640625" customWidth="1" style="146" min="15368" max="15371"/>
    <col width="10.33203125" customWidth="1" style="146" min="15372" max="15373"/>
    <col hidden="1" style="146" min="15374" max="15374"/>
    <col width="9.109375" customWidth="1" style="146" min="15375" max="15616"/>
    <col width="7.6640625" customWidth="1" style="146" min="15617" max="15619"/>
    <col width="10.44140625" customWidth="1" style="146" min="15620" max="15620"/>
    <col width="7.6640625" customWidth="1" style="146" min="15621" max="15621"/>
    <col width="9.6640625" customWidth="1" style="146" min="15622" max="15622"/>
    <col width="9.109375" customWidth="1" style="146" min="15623" max="15623"/>
    <col width="7.6640625" customWidth="1" style="146" min="15624" max="15627"/>
    <col width="10.33203125" customWidth="1" style="146" min="15628" max="15629"/>
    <col hidden="1" style="146" min="15630" max="15630"/>
    <col width="9.109375" customWidth="1" style="146" min="15631" max="15872"/>
    <col width="7.6640625" customWidth="1" style="146" min="15873" max="15875"/>
    <col width="10.44140625" customWidth="1" style="146" min="15876" max="15876"/>
    <col width="7.6640625" customWidth="1" style="146" min="15877" max="15877"/>
    <col width="9.6640625" customWidth="1" style="146" min="15878" max="15878"/>
    <col width="9.109375" customWidth="1" style="146" min="15879" max="15879"/>
    <col width="7.6640625" customWidth="1" style="146" min="15880" max="15883"/>
    <col width="10.33203125" customWidth="1" style="146" min="15884" max="15885"/>
    <col hidden="1" style="146" min="15886" max="15886"/>
    <col width="9.109375" customWidth="1" style="146" min="15887" max="16128"/>
    <col width="7.6640625" customWidth="1" style="146" min="16129" max="16131"/>
    <col width="10.44140625" customWidth="1" style="146" min="16132" max="16132"/>
    <col width="7.6640625" customWidth="1" style="146" min="16133" max="16133"/>
    <col width="9.6640625" customWidth="1" style="146" min="16134" max="16134"/>
    <col width="9.109375" customWidth="1" style="146" min="16135" max="16135"/>
    <col width="7.6640625" customWidth="1" style="146" min="16136" max="16139"/>
    <col width="10.33203125" customWidth="1" style="146" min="16140" max="16141"/>
    <col hidden="1" style="146" min="16142" max="16142"/>
    <col width="9.109375" customWidth="1" style="146" min="16143" max="16384"/>
  </cols>
  <sheetData>
    <row r="2" ht="20.4" customHeight="1" s="141">
      <c r="A2" s="227" t="inlineStr">
        <is>
          <t>ПРОЕКТ РУБОК УХОДА</t>
        </is>
      </c>
    </row>
    <row r="3" ht="18" customHeight="1" s="141">
      <c r="A3" s="228" t="inlineStr">
        <is>
          <t>Прочистка</t>
        </is>
      </c>
      <c r="B3" s="45" t="n"/>
      <c r="C3" s="45" t="n"/>
      <c r="D3" s="45" t="n"/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</row>
    <row r="4">
      <c r="A4" s="229" t="inlineStr">
        <is>
          <t>(вид рубок ухода)</t>
        </is>
      </c>
      <c r="B4" s="116" t="n"/>
      <c r="C4" s="116" t="n"/>
      <c r="D4" s="116" t="n"/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</row>
    <row r="5" ht="12.75" customHeight="1" s="141">
      <c r="U5" s="146" t="n"/>
      <c r="V5" s="146" t="n"/>
      <c r="W5" s="146" t="n"/>
      <c r="X5" s="146" t="n"/>
    </row>
    <row r="6" ht="12.75" customHeight="1" s="141">
      <c r="U6" s="146" t="n"/>
      <c r="V6" s="146" t="n"/>
      <c r="W6" s="146" t="n"/>
      <c r="X6" s="146" t="n"/>
    </row>
    <row r="7" ht="15.6" customHeight="1" s="141">
      <c r="A7" s="146" t="inlineStr">
        <is>
          <t>Лесничество, квартал</t>
        </is>
      </c>
      <c r="D7" s="209" t="inlineStr">
        <is>
          <t>Хундольское участковое лесничество , квартал 113</t>
        </is>
      </c>
      <c r="E7" s="45" t="n"/>
      <c r="F7" s="45" t="n"/>
      <c r="G7" s="45" t="n"/>
      <c r="H7" s="45" t="n"/>
      <c r="I7" s="45" t="n"/>
      <c r="J7" s="45" t="n"/>
      <c r="K7" s="45" t="n"/>
      <c r="L7" s="45" t="n"/>
      <c r="M7" s="45" t="n"/>
      <c r="U7" s="146" t="n"/>
      <c r="V7" s="146" t="n"/>
      <c r="W7" s="216" t="n"/>
      <c r="X7" s="146" t="n"/>
    </row>
    <row r="8" ht="18.75" customHeight="1" s="141">
      <c r="D8" s="92" t="n"/>
      <c r="E8" s="92" t="n"/>
      <c r="F8" s="92" t="n"/>
      <c r="G8" s="92" t="n"/>
      <c r="H8" s="92" t="n"/>
      <c r="I8" s="92" t="n"/>
      <c r="J8" s="92" t="n"/>
      <c r="K8" s="92" t="n"/>
      <c r="L8" s="92" t="n"/>
      <c r="M8" s="92" t="n"/>
      <c r="P8" s="146" t="n"/>
      <c r="Q8" s="146" t="n"/>
      <c r="R8" s="146" t="n"/>
      <c r="S8" s="146" t="n"/>
      <c r="T8" s="146" t="n"/>
      <c r="U8" s="146" t="n"/>
      <c r="V8" s="146" t="n"/>
      <c r="W8" s="146" t="n"/>
      <c r="X8" s="146" t="n"/>
    </row>
    <row r="9" ht="15.6" customHeight="1" s="141">
      <c r="A9" s="146" t="inlineStr">
        <is>
          <t>Выдел, площадь</t>
        </is>
      </c>
      <c r="D9" s="209" t="inlineStr">
        <is>
          <t>выдел 16 площадь 4.6 га</t>
        </is>
      </c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P9" s="146" t="n"/>
      <c r="Q9" s="146" t="n"/>
      <c r="U9" s="146" t="n"/>
      <c r="V9" s="146" t="n"/>
      <c r="W9" s="146" t="n"/>
      <c r="X9" s="146" t="n"/>
    </row>
    <row r="10" ht="12.75" customHeight="1" s="141">
      <c r="D10" s="216" t="n"/>
      <c r="E10" s="216" t="n"/>
      <c r="P10" s="146" t="n"/>
      <c r="Q10" s="146" t="n"/>
      <c r="U10" s="146" t="n"/>
      <c r="V10" s="146" t="n"/>
      <c r="W10" s="146" t="n"/>
      <c r="X10" s="146" t="n"/>
    </row>
    <row r="11" ht="15.6" customHeight="1" s="141">
      <c r="A11" s="146" t="inlineStr">
        <is>
          <t>Целевое назначение лесов и категория защитности</t>
        </is>
      </c>
      <c r="E11" s="94" t="n"/>
      <c r="F11" s="94" t="inlineStr">
        <is>
          <t>Эксплуатационные леса</t>
        </is>
      </c>
      <c r="G11" s="94" t="n"/>
      <c r="H11" s="94" t="n"/>
      <c r="I11" s="94" t="n"/>
      <c r="J11" s="94" t="n"/>
      <c r="K11" s="94" t="n"/>
      <c r="L11" s="94" t="n"/>
      <c r="M11" s="94" t="n"/>
      <c r="P11" s="146" t="n"/>
      <c r="Q11" s="146" t="n"/>
      <c r="U11" s="146" t="n"/>
      <c r="V11" s="146" t="n"/>
      <c r="W11" s="146" t="n"/>
      <c r="X11" s="146" t="n"/>
    </row>
    <row r="12" ht="15" customHeight="1" s="141">
      <c r="A12" s="209" t="n"/>
      <c r="B12" s="45" t="n"/>
      <c r="C12" s="45" t="n"/>
      <c r="D12" s="45" t="n"/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P12" s="146" t="n"/>
      <c r="Q12" s="146" t="n"/>
      <c r="U12" s="146" t="n"/>
      <c r="V12" s="146" t="n"/>
      <c r="W12" s="146" t="n"/>
      <c r="X12" s="146" t="n"/>
    </row>
    <row r="13" ht="15.6" customHeight="1" s="141">
      <c r="A13" s="146" t="inlineStr">
        <is>
          <t>Тип (группа типов леса) и тип  лесорастительных условий</t>
        </is>
      </c>
      <c r="G13" s="209" t="inlineStr">
        <is>
          <t>Чс-В2</t>
        </is>
      </c>
      <c r="H13" s="45" t="n"/>
      <c r="I13" s="45" t="n"/>
      <c r="J13" s="45" t="n"/>
      <c r="K13" s="45" t="n"/>
      <c r="L13" s="45" t="n"/>
      <c r="M13" s="45" t="n"/>
      <c r="P13" s="146" t="n"/>
      <c r="Q13" s="146" t="n"/>
      <c r="U13" s="146" t="n"/>
      <c r="V13" s="146" t="n"/>
      <c r="W13" s="146" t="n"/>
      <c r="X13" s="146" t="n"/>
    </row>
    <row r="14" ht="12.75" customHeight="1" s="141">
      <c r="P14" s="146" t="n"/>
      <c r="Q14" s="146" t="n"/>
      <c r="U14" s="146" t="n"/>
      <c r="V14" s="146" t="n"/>
      <c r="W14" s="146" t="n"/>
      <c r="X14" s="146" t="n"/>
    </row>
    <row r="15">
      <c r="A15" s="146" t="inlineStr">
        <is>
          <t>1. Потребность насаждения в проведении рубок ухода (в первую, вторую, третью, четвёртую очередь)</t>
        </is>
      </c>
      <c r="P15" s="146" t="n"/>
      <c r="Q15" s="146" t="n"/>
      <c r="U15" s="146" t="n"/>
      <c r="V15" s="146" t="n"/>
      <c r="W15" s="146" t="n"/>
      <c r="X15" s="146" t="n"/>
    </row>
    <row r="16" ht="15.6" customHeight="1" s="141">
      <c r="A16" s="209" t="inlineStr">
        <is>
          <t>в первую очередь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P16" s="146" t="n"/>
      <c r="Q16" s="146" t="n"/>
      <c r="U16" s="146" t="n"/>
      <c r="V16" s="146" t="n"/>
      <c r="W16" s="146" t="n"/>
      <c r="X16" s="146" t="n"/>
    </row>
    <row r="17">
      <c r="A17" s="146" t="inlineStr">
        <is>
          <t>2. Проектируемое количество и размеры пробных площадей в молодняках и постоянных пробных  площ</t>
        </is>
      </c>
      <c r="P17" s="146" t="n"/>
      <c r="Q17" s="146" t="n"/>
      <c r="U17" s="146" t="n"/>
      <c r="V17" s="146" t="n"/>
      <c r="W17" s="146" t="n"/>
      <c r="X17" s="146" t="n"/>
    </row>
    <row r="18" ht="15.6" customHeight="1" s="141">
      <c r="A18" s="209" t="inlineStr">
        <is>
          <t>15 площадок постоянного радиуса(3.99 метра)</t>
        </is>
      </c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P18" s="146" t="n"/>
      <c r="Q18" s="146" t="n"/>
      <c r="U18" s="146" t="n"/>
      <c r="V18" s="146" t="n"/>
      <c r="W18" s="146" t="n"/>
      <c r="X18" s="146" t="n"/>
    </row>
    <row r="19">
      <c r="A19" s="146" t="inlineStr">
        <is>
          <t>3. Характеристика насаждений : исходная (до рубки) - проектируемая ( после рубки)</t>
        </is>
      </c>
      <c r="P19" s="146" t="n"/>
      <c r="Q19" s="146" t="n"/>
      <c r="U19" s="146" t="n"/>
      <c r="V19" s="146" t="n"/>
      <c r="W19" s="146" t="n"/>
      <c r="X19" s="146" t="n"/>
    </row>
    <row r="20" ht="12.75" customHeight="1" s="141">
      <c r="A20" s="95" t="n"/>
      <c r="B20" s="95" t="n"/>
      <c r="C20" s="95" t="n"/>
      <c r="D20" s="95" t="n"/>
      <c r="E20" s="95" t="n"/>
      <c r="F20" s="95" t="n"/>
      <c r="G20" s="95" t="n"/>
      <c r="H20" s="95" t="n"/>
      <c r="I20" s="95" t="n"/>
      <c r="J20" s="95" t="n"/>
      <c r="K20" s="95" t="n"/>
      <c r="P20" s="146" t="n"/>
      <c r="Q20" s="146" t="n"/>
      <c r="R20" s="146" t="n"/>
      <c r="S20" s="146" t="n"/>
      <c r="T20" s="146" t="n"/>
      <c r="U20" s="146" t="n"/>
      <c r="V20" s="146" t="n"/>
      <c r="W20" s="146" t="n"/>
      <c r="X20" s="146" t="n"/>
    </row>
    <row r="21" ht="22.5" customHeight="1" s="141">
      <c r="A21" s="96" t="inlineStr">
        <is>
          <t>выдел</t>
        </is>
      </c>
      <c r="B21" s="97" t="inlineStr">
        <is>
          <t>площадь</t>
        </is>
      </c>
      <c r="C21" s="224" t="inlineStr">
        <is>
          <t>состав древостоя</t>
        </is>
      </c>
      <c r="D21" s="250" t="n"/>
      <c r="E21" s="224" t="inlineStr">
        <is>
          <t>возраст</t>
        </is>
      </c>
      <c r="F21" s="224" t="inlineStr">
        <is>
          <t>диаметр</t>
        </is>
      </c>
      <c r="G21" s="250" t="n"/>
      <c r="H21" s="224" t="inlineStr">
        <is>
          <t>высота</t>
        </is>
      </c>
      <c r="I21" s="250" t="n"/>
      <c r="J21" s="224" t="inlineStr">
        <is>
          <t>Сомкнутость крон</t>
        </is>
      </c>
      <c r="K21" s="250" t="n"/>
      <c r="L21" s="226" t="inlineStr">
        <is>
          <t>Густота</t>
        </is>
      </c>
      <c r="M21" s="251" t="n"/>
      <c r="P21" s="160" t="inlineStr">
        <is>
          <t>Порода</t>
        </is>
      </c>
      <c r="Q21" s="149" t="inlineStr">
        <is>
          <t>Состав</t>
        </is>
      </c>
      <c r="R21" s="151" t="n"/>
      <c r="S21" s="149" t="inlineStr">
        <is>
          <t>Диаметр</t>
        </is>
      </c>
      <c r="T21" s="151" t="n"/>
      <c r="U21" s="149" t="inlineStr">
        <is>
          <t>Высота</t>
        </is>
      </c>
      <c r="V21" s="151" t="n"/>
      <c r="W21" s="149" t="inlineStr">
        <is>
          <t>Густота</t>
        </is>
      </c>
      <c r="X21" s="151" t="n"/>
    </row>
    <row r="22" ht="21" customHeight="1" s="141">
      <c r="A22" s="99" t="n"/>
      <c r="B22" s="100" t="n"/>
      <c r="C22" s="101" t="inlineStr">
        <is>
          <t>исходный</t>
        </is>
      </c>
      <c r="D22" s="224" t="inlineStr">
        <is>
          <t>проектируемый</t>
        </is>
      </c>
      <c r="E22" s="101" t="inlineStr">
        <is>
          <t>исходный</t>
        </is>
      </c>
      <c r="F22" s="101" t="inlineStr">
        <is>
          <t>исходный</t>
        </is>
      </c>
      <c r="G22" s="224" t="inlineStr">
        <is>
          <t>проектируемый</t>
        </is>
      </c>
      <c r="H22" s="101" t="inlineStr">
        <is>
          <t>исходный</t>
        </is>
      </c>
      <c r="I22" s="224" t="inlineStr">
        <is>
          <t>проектируемый</t>
        </is>
      </c>
      <c r="J22" s="101" t="inlineStr">
        <is>
          <t>исходный</t>
        </is>
      </c>
      <c r="K22" s="224" t="inlineStr">
        <is>
          <t>проектируемый</t>
        </is>
      </c>
      <c r="L22" s="101" t="inlineStr">
        <is>
          <t>исходный</t>
        </is>
      </c>
      <c r="M22" s="226" t="inlineStr">
        <is>
          <t>проектируемый</t>
        </is>
      </c>
      <c r="P22" s="161" t="n"/>
      <c r="Q22" s="154" t="inlineStr">
        <is>
          <t>До</t>
        </is>
      </c>
      <c r="R22" s="153" t="inlineStr">
        <is>
          <t>После</t>
        </is>
      </c>
      <c r="S22" s="154" t="inlineStr">
        <is>
          <t>До</t>
        </is>
      </c>
      <c r="T22" s="153" t="inlineStr">
        <is>
          <t>После</t>
        </is>
      </c>
      <c r="U22" s="154" t="inlineStr">
        <is>
          <t>До</t>
        </is>
      </c>
      <c r="V22" s="153" t="inlineStr">
        <is>
          <t>После</t>
        </is>
      </c>
      <c r="W22" s="154" t="inlineStr">
        <is>
          <t>До</t>
        </is>
      </c>
      <c r="X22" s="153" t="inlineStr">
        <is>
          <t>После</t>
        </is>
      </c>
    </row>
    <row r="23">
      <c r="A23" s="219" t="n">
        <v>16</v>
      </c>
      <c r="B23" s="219" t="n">
        <v>4.6</v>
      </c>
      <c r="C23" s="103" t="inlineStr">
        <is>
          <t>5Е</t>
        </is>
      </c>
      <c r="D23" s="103" t="inlineStr">
        <is>
          <t>7Е</t>
        </is>
      </c>
      <c r="E23" s="104" t="n">
        <v>13</v>
      </c>
      <c r="F23" s="105" t="n">
        <v>4</v>
      </c>
      <c r="G23" s="105" t="n">
        <v>6</v>
      </c>
      <c r="H23" s="105" t="n">
        <v>3.5</v>
      </c>
      <c r="I23" s="105" t="n">
        <v>4.5</v>
      </c>
      <c r="J23" s="252" t="n">
        <v>1</v>
      </c>
      <c r="K23" s="252" t="n">
        <v>0.6</v>
      </c>
      <c r="L23" s="106" t="n">
        <v>3190</v>
      </c>
      <c r="M23" s="107" t="n">
        <v>1350</v>
      </c>
      <c r="P23" s="161">
        <f>'Расчёты для проекта'!H10</f>
        <v/>
      </c>
      <c r="Q23" s="152">
        <f>'Расчёты для проекта'!E10</f>
        <v/>
      </c>
      <c r="R23" s="157">
        <f>'Расчёты для проекта'!P10</f>
        <v/>
      </c>
      <c r="S23" s="152">
        <f>'Расчёты для проекта'!L10</f>
        <v/>
      </c>
      <c r="T23" s="157">
        <f>'Расчёты для проекта'!W10</f>
        <v/>
      </c>
      <c r="U23" s="152">
        <f>'Расчёты для проекта'!M10</f>
        <v/>
      </c>
      <c r="V23" s="157">
        <f>'Расчёты для проекта'!X10</f>
        <v/>
      </c>
      <c r="W23" s="163">
        <f>'Расчёты для проекта'!K10</f>
        <v/>
      </c>
      <c r="X23" s="164">
        <f>'Расчёты для проекта'!V10</f>
        <v/>
      </c>
    </row>
    <row r="24">
      <c r="A24" s="71" t="n"/>
      <c r="B24" s="71" t="n"/>
      <c r="C24" s="103" t="inlineStr">
        <is>
          <t>1С</t>
        </is>
      </c>
      <c r="D24" s="103" t="inlineStr">
        <is>
          <t>2С</t>
        </is>
      </c>
      <c r="E24" s="104" t="n">
        <v>13</v>
      </c>
      <c r="F24" s="105" t="n">
        <v>8</v>
      </c>
      <c r="G24" s="105" t="n">
        <v>9</v>
      </c>
      <c r="H24" s="105" t="n">
        <v>5</v>
      </c>
      <c r="I24" s="105" t="n">
        <v>5.1</v>
      </c>
      <c r="J24" s="71" t="n"/>
      <c r="K24" s="71" t="n"/>
      <c r="L24" s="106" t="n">
        <v>490</v>
      </c>
      <c r="M24" s="107" t="n">
        <v>440</v>
      </c>
      <c r="P24" s="161">
        <f>'Расчёты для проекта'!H11</f>
        <v/>
      </c>
      <c r="Q24" s="152">
        <f>'Расчёты для проекта'!E11</f>
        <v/>
      </c>
      <c r="R24" s="157">
        <f>'Расчёты для проекта'!P11</f>
        <v/>
      </c>
      <c r="S24" s="152">
        <f>'Расчёты для проекта'!L11</f>
        <v/>
      </c>
      <c r="T24" s="157">
        <f>'Расчёты для проекта'!W11</f>
        <v/>
      </c>
      <c r="U24" s="152">
        <f>'Расчёты для проекта'!M11</f>
        <v/>
      </c>
      <c r="V24" s="157">
        <f>'Расчёты для проекта'!X11</f>
        <v/>
      </c>
      <c r="W24" s="163">
        <f>'Расчёты для проекта'!K11</f>
        <v/>
      </c>
      <c r="X24" s="164">
        <f>'Расчёты для проекта'!V11</f>
        <v/>
      </c>
    </row>
    <row r="25">
      <c r="A25" s="71" t="n"/>
      <c r="B25" s="71" t="n"/>
      <c r="C25" s="103" t="inlineStr">
        <is>
          <t>2Б</t>
        </is>
      </c>
      <c r="D25" s="103" t="inlineStr">
        <is>
          <t>1Б</t>
        </is>
      </c>
      <c r="E25" s="104" t="n">
        <v>5</v>
      </c>
      <c r="F25" s="105" t="n">
        <v>1.3</v>
      </c>
      <c r="G25" s="105" t="n">
        <v>2</v>
      </c>
      <c r="H25" s="105" t="n">
        <v>2.7</v>
      </c>
      <c r="I25" s="105" t="n">
        <v>3.2</v>
      </c>
      <c r="J25" s="71" t="n"/>
      <c r="K25" s="71" t="n"/>
      <c r="L25" s="106" t="n">
        <v>1540</v>
      </c>
      <c r="M25" s="107" t="n">
        <v>160</v>
      </c>
      <c r="P25" s="161">
        <f>'Расчёты для проекта'!H12</f>
        <v/>
      </c>
      <c r="Q25" s="152">
        <f>'Расчёты для проекта'!E12</f>
        <v/>
      </c>
      <c r="R25" s="157">
        <f>'Расчёты для проекта'!P12</f>
        <v/>
      </c>
      <c r="S25" s="152">
        <f>'Расчёты для проекта'!L12</f>
        <v/>
      </c>
      <c r="T25" s="157">
        <f>'Расчёты для проекта'!W12</f>
        <v/>
      </c>
      <c r="U25" s="152">
        <f>'Расчёты для проекта'!M12</f>
        <v/>
      </c>
      <c r="V25" s="157">
        <f>'Расчёты для проекта'!X12</f>
        <v/>
      </c>
      <c r="W25" s="163">
        <f>'Расчёты для проекта'!K12</f>
        <v/>
      </c>
      <c r="X25" s="164">
        <f>'Расчёты для проекта'!V12</f>
        <v/>
      </c>
    </row>
    <row r="26">
      <c r="A26" s="71" t="n"/>
      <c r="B26" s="71" t="n"/>
      <c r="C26" s="103" t="inlineStr">
        <is>
          <t>1Ос</t>
        </is>
      </c>
      <c r="D26" s="103" t="inlineStr">
        <is>
          <t>-</t>
        </is>
      </c>
      <c r="E26" s="104" t="n">
        <v>5</v>
      </c>
      <c r="F26" s="105" t="n">
        <v>1.7</v>
      </c>
      <c r="G26" s="105" t="inlineStr">
        <is>
          <t>-</t>
        </is>
      </c>
      <c r="H26" s="105" t="n">
        <v>2.7</v>
      </c>
      <c r="I26" s="105" t="inlineStr">
        <is>
          <t>-</t>
        </is>
      </c>
      <c r="J26" s="71" t="n"/>
      <c r="K26" s="71" t="n"/>
      <c r="L26" s="106" t="n">
        <v>410</v>
      </c>
      <c r="M26" s="114" t="inlineStr">
        <is>
          <t>-</t>
        </is>
      </c>
      <c r="P26" s="161">
        <f>'Расчёты для проекта'!H13</f>
        <v/>
      </c>
      <c r="Q26" s="152">
        <f>'Расчёты для проекта'!E13</f>
        <v/>
      </c>
      <c r="R26" s="157">
        <f>'Расчёты для проекта'!P13</f>
        <v/>
      </c>
      <c r="S26" s="152">
        <f>'Расчёты для проекта'!L13</f>
        <v/>
      </c>
      <c r="T26" s="157">
        <f>'Расчёты для проекта'!W13</f>
        <v/>
      </c>
      <c r="U26" s="152">
        <f>'Расчёты для проекта'!M13</f>
        <v/>
      </c>
      <c r="V26" s="157">
        <f>'Расчёты для проекта'!X13</f>
        <v/>
      </c>
      <c r="W26" s="163">
        <f>'Расчёты для проекта'!K13</f>
        <v/>
      </c>
      <c r="X26" s="164">
        <f>'Расчёты для проекта'!V13</f>
        <v/>
      </c>
    </row>
    <row r="27">
      <c r="A27" s="71" t="n"/>
      <c r="B27" s="71" t="n"/>
      <c r="C27" s="103" t="inlineStr">
        <is>
          <t>1Ив</t>
        </is>
      </c>
      <c r="D27" s="103" t="inlineStr">
        <is>
          <t>-</t>
        </is>
      </c>
      <c r="E27" s="104" t="n">
        <v>5</v>
      </c>
      <c r="F27" s="105" t="n">
        <v>2</v>
      </c>
      <c r="G27" s="105" t="inlineStr">
        <is>
          <t>-</t>
        </is>
      </c>
      <c r="H27" s="105" t="n">
        <v>3.9</v>
      </c>
      <c r="I27" s="105" t="inlineStr">
        <is>
          <t>-</t>
        </is>
      </c>
      <c r="J27" s="253" t="n"/>
      <c r="K27" s="253" t="n"/>
      <c r="L27" s="106" t="n">
        <v>480</v>
      </c>
      <c r="M27" s="114" t="inlineStr">
        <is>
          <t>-</t>
        </is>
      </c>
      <c r="P27" s="161">
        <f>'Расчёты для проекта'!H14</f>
        <v/>
      </c>
      <c r="Q27" s="152">
        <f>'Расчёты для проекта'!E14</f>
        <v/>
      </c>
      <c r="R27" s="157">
        <f>'Расчёты для проекта'!P14</f>
        <v/>
      </c>
      <c r="S27" s="152">
        <f>'Расчёты для проекта'!L14</f>
        <v/>
      </c>
      <c r="T27" s="157">
        <f>'Расчёты для проекта'!W14</f>
        <v/>
      </c>
      <c r="U27" s="152">
        <f>'Расчёты для проекта'!M14</f>
        <v/>
      </c>
      <c r="V27" s="157">
        <f>'Расчёты для проекта'!X14</f>
        <v/>
      </c>
      <c r="W27" s="163">
        <f>'Расчёты для проекта'!K14</f>
        <v/>
      </c>
      <c r="X27" s="164">
        <f>'Расчёты для проекта'!V14</f>
        <v/>
      </c>
    </row>
    <row r="28" hidden="1" ht="15" customHeight="1" s="141">
      <c r="A28" s="108" t="n"/>
      <c r="B28" s="108" t="n"/>
      <c r="C28" s="109" t="n"/>
      <c r="D28" s="109" t="inlineStr">
        <is>
          <t>8С2Е</t>
        </is>
      </c>
      <c r="E28" s="108" t="n">
        <v>9</v>
      </c>
      <c r="F28" s="108" t="n">
        <v>4</v>
      </c>
      <c r="G28" s="108" t="n">
        <v>4</v>
      </c>
      <c r="H28" s="108" t="n">
        <v>5</v>
      </c>
      <c r="I28" s="108" t="n">
        <v>5</v>
      </c>
      <c r="J28" s="108" t="n">
        <v>0.8</v>
      </c>
      <c r="K28" s="108" t="n">
        <v>0.2</v>
      </c>
      <c r="L28" s="108" t="n"/>
      <c r="M28" s="108" t="n"/>
      <c r="P28" s="161">
        <f>'Расчёты для проекта'!H15</f>
        <v/>
      </c>
      <c r="Q28" s="152">
        <f>'Расчёты для проекта'!E15</f>
        <v/>
      </c>
      <c r="R28" s="157">
        <f>'Расчёты для проекта'!P15</f>
        <v/>
      </c>
      <c r="S28" s="152">
        <f>'Расчёты для проекта'!L15</f>
        <v/>
      </c>
      <c r="T28" s="157">
        <f>'Расчёты для проекта'!W15</f>
        <v/>
      </c>
      <c r="U28" s="152">
        <f>'Расчёты для проекта'!M15</f>
        <v/>
      </c>
      <c r="V28" s="157">
        <f>'Расчёты для проекта'!X15</f>
        <v/>
      </c>
      <c r="W28" s="163">
        <f>'Расчёты для проекта'!K15</f>
        <v/>
      </c>
      <c r="X28" s="164">
        <f>'Расчёты для проекта'!V15</f>
        <v/>
      </c>
    </row>
    <row r="29">
      <c r="P29" s="161">
        <f>'Расчёты для проекта'!H16</f>
        <v/>
      </c>
      <c r="Q29" s="152">
        <f>'Расчёты для проекта'!E16</f>
        <v/>
      </c>
      <c r="R29" s="157">
        <f>'Расчёты для проекта'!P16</f>
        <v/>
      </c>
      <c r="S29" s="152">
        <f>'Расчёты для проекта'!L16</f>
        <v/>
      </c>
      <c r="T29" s="157">
        <f>'Расчёты для проекта'!W16</f>
        <v/>
      </c>
      <c r="U29" s="152">
        <f>'Расчёты для проекта'!M16</f>
        <v/>
      </c>
      <c r="V29" s="157">
        <f>'Расчёты для проекта'!X16</f>
        <v/>
      </c>
      <c r="W29" s="163">
        <f>'Расчёты для проекта'!K16</f>
        <v/>
      </c>
      <c r="X29" s="164">
        <f>'Расчёты для проекта'!V16</f>
        <v/>
      </c>
    </row>
    <row r="30">
      <c r="A30" s="146" t="inlineStr">
        <is>
          <t>4. Характеристики деревьев по классам хзяйственно-биологической классификации с учётом</t>
        </is>
      </c>
      <c r="P30" s="161">
        <f>'Расчёты для проекта'!H17</f>
        <v/>
      </c>
      <c r="Q30" s="152">
        <f>'Расчёты для проекта'!E17</f>
        <v/>
      </c>
      <c r="R30" s="157">
        <f>'Расчёты для проекта'!P17</f>
        <v/>
      </c>
      <c r="S30" s="152">
        <f>'Расчёты для проекта'!L17</f>
        <v/>
      </c>
      <c r="T30" s="157">
        <f>'Расчёты для проекта'!W17</f>
        <v/>
      </c>
      <c r="U30" s="152">
        <f>'Расчёты для проекта'!M17</f>
        <v/>
      </c>
      <c r="V30" s="157">
        <f>'Расчёты для проекта'!X17</f>
        <v/>
      </c>
      <c r="W30" s="163">
        <f>'Расчёты для проекта'!K17</f>
        <v/>
      </c>
      <c r="X30" s="164">
        <f>'Расчёты для проекта'!V17</f>
        <v/>
      </c>
    </row>
    <row r="31">
      <c r="A31" s="146" t="inlineStr">
        <is>
          <t>выделения главных и второстепенных пород (для молодняков обзательно даются параметры</t>
        </is>
      </c>
      <c r="P31" s="161">
        <f>'Расчёты для проекта'!H18</f>
        <v/>
      </c>
      <c r="Q31" s="152">
        <f>'Расчёты для проекта'!E18</f>
        <v/>
      </c>
      <c r="R31" s="157">
        <f>'Расчёты для проекта'!P18</f>
        <v/>
      </c>
      <c r="S31" s="152">
        <f>'Расчёты для проекта'!L18</f>
        <v/>
      </c>
      <c r="T31" s="157">
        <f>'Расчёты для проекта'!W18</f>
        <v/>
      </c>
      <c r="U31" s="152">
        <f>'Расчёты для проекта'!M18</f>
        <v/>
      </c>
      <c r="V31" s="157">
        <f>'Расчёты для проекта'!X18</f>
        <v/>
      </c>
      <c r="W31" s="163">
        <f>'Расчёты для проекта'!K18</f>
        <v/>
      </c>
      <c r="X31" s="164">
        <f>'Расчёты для проекта'!V18</f>
        <v/>
      </c>
    </row>
    <row r="32">
      <c r="A32" s="146" t="inlineStr">
        <is>
          <t>перспективных лучших и нежелательных деревьев по высоте</t>
        </is>
      </c>
      <c r="P32" s="162">
        <f>'Расчёты для проекта'!H19</f>
        <v/>
      </c>
      <c r="Q32" s="158">
        <f>'Расчёты для проекта'!E19</f>
        <v/>
      </c>
      <c r="R32" s="159">
        <f>'Расчёты для проекта'!P19</f>
        <v/>
      </c>
      <c r="S32" s="158">
        <f>'Расчёты для проекта'!L19</f>
        <v/>
      </c>
      <c r="T32" s="159">
        <f>'Расчёты для проекта'!W19</f>
        <v/>
      </c>
      <c r="U32" s="158">
        <f>'Расчёты для проекта'!M19</f>
        <v/>
      </c>
      <c r="V32" s="159">
        <f>'Расчёты для проекта'!X19</f>
        <v/>
      </c>
      <c r="W32" s="165">
        <f>'Расчёты для проекта'!K19</f>
        <v/>
      </c>
      <c r="X32" s="166">
        <f>'Расчёты для проекта'!V19</f>
        <v/>
      </c>
    </row>
    <row r="33" ht="15.6" customHeight="1" s="141">
      <c r="A33" s="146" t="inlineStr">
        <is>
          <t>лучшие</t>
        </is>
      </c>
      <c r="C33" s="209" t="inlineStr">
        <is>
          <t xml:space="preserve">Здоровые,прямые,полнодревесные,очищенные от сучьев </t>
        </is>
      </c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</row>
    <row r="34" ht="15.6" customHeight="1" s="141">
      <c r="A34" s="209" t="inlineStr">
        <is>
          <t>с хорошо сформировавшейся кроной</t>
        </is>
      </c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</row>
    <row r="35" ht="15.6" customHeight="1" s="141">
      <c r="A35" s="146" t="inlineStr">
        <is>
          <t>вспомогательные</t>
        </is>
      </c>
      <c r="D35" s="210" t="inlineStr">
        <is>
          <t>Деревья способствующие росту и развитию лучших,</t>
        </is>
      </c>
      <c r="E35" s="250" t="n"/>
      <c r="F35" s="250" t="n"/>
      <c r="G35" s="250" t="n"/>
      <c r="H35" s="250" t="n"/>
      <c r="I35" s="250" t="n"/>
      <c r="J35" s="250" t="n"/>
      <c r="K35" s="250" t="n"/>
      <c r="L35" s="250" t="n"/>
      <c r="M35" s="250" t="n"/>
    </row>
    <row r="36" ht="18.75" customHeight="1" s="141">
      <c r="A36" s="209" t="inlineStr">
        <is>
          <t>выполняющие почвозащитные функции, обеспечивающие биоразнообразие насаждения</t>
        </is>
      </c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</row>
    <row r="37" ht="15.6" customHeight="1" s="141">
      <c r="A37" s="146" t="inlineStr">
        <is>
          <t>нежелательные ( подлежащие рубке)</t>
        </is>
      </c>
      <c r="E37" s="110" t="n"/>
      <c r="F37" s="210" t="inlineStr">
        <is>
          <t>мешающие росту и формированию крон  лучших деревьев,</t>
        </is>
      </c>
      <c r="G37" s="250" t="n"/>
      <c r="H37" s="250" t="n"/>
      <c r="I37" s="250" t="n"/>
      <c r="J37" s="250" t="n"/>
      <c r="K37" s="250" t="n"/>
      <c r="L37" s="250" t="n"/>
      <c r="M37" s="250" t="n"/>
    </row>
    <row r="38" ht="15" customHeight="1" s="141">
      <c r="A38" s="218" t="inlineStr">
        <is>
          <t>сильно повреждённые или потерявшие потенциал к росту дереьвя главных пород</t>
        </is>
      </c>
    </row>
    <row r="39" ht="15.6" customHeight="1" s="141">
      <c r="A39" s="146" t="inlineStr">
        <is>
          <t>5. Планируемое проведение рубки ухода время( месяцы, год)</t>
        </is>
      </c>
      <c r="G39" s="111" t="n"/>
      <c r="H39" s="214" t="inlineStr">
        <is>
          <t>июнь 2023 года</t>
        </is>
      </c>
      <c r="I39" s="116" t="n"/>
      <c r="J39" s="116" t="n"/>
      <c r="K39" s="116" t="n"/>
      <c r="L39" s="116" t="n"/>
      <c r="M39" s="116" t="n"/>
      <c r="P39" s="149">
        <f>'Расчёты для проекта'!E42</f>
        <v/>
      </c>
      <c r="Q39" s="150" t="n"/>
      <c r="R39" s="150" t="n"/>
      <c r="S39" s="150" t="n"/>
      <c r="T39" s="151" t="n"/>
    </row>
    <row r="40">
      <c r="A40" s="146" t="inlineStr">
        <is>
          <t>6. Интенсивность рубки ухода</t>
        </is>
      </c>
      <c r="O40" s="112" t="n"/>
      <c r="P40" s="152">
        <f>'Расчёты для проекта'!E43</f>
        <v/>
      </c>
      <c r="Q40" s="146">
        <f>'Расчёты для проекта'!F43</f>
        <v/>
      </c>
      <c r="R40" s="146" t="n"/>
      <c r="S40" s="146" t="n"/>
      <c r="T40" s="153" t="n"/>
    </row>
    <row r="41">
      <c r="A41" s="146" t="inlineStr">
        <is>
          <t>6.1. В процентах от исходного запаса (полноты, или количества деревьев)</t>
        </is>
      </c>
      <c r="K41" s="215">
        <f>(#REF!-'Проектируемые данныеПосле рубки'!U75)/#REF!*100%</f>
        <v/>
      </c>
      <c r="P41" s="154" t="n"/>
      <c r="Q41" s="146" t="n"/>
      <c r="R41" s="146" t="n"/>
      <c r="S41" s="146" t="n"/>
      <c r="T41" s="153" t="n"/>
    </row>
    <row r="42">
      <c r="A42" s="113" t="inlineStr">
        <is>
          <t>6.2. Объём вырубаемой массы по породам(на 1 га), скл, куб. метров</t>
        </is>
      </c>
      <c r="P42" s="154" t="n"/>
      <c r="Q42" s="146" t="n"/>
      <c r="R42" s="146" t="n"/>
      <c r="S42" s="146" t="n"/>
      <c r="T42" s="153" t="n"/>
    </row>
    <row r="43" ht="15.6" customHeight="1" s="141">
      <c r="A43" s="209" t="inlineStr">
        <is>
          <t>Всего - 13.1; Сосна -0.2; Ель - 5.5; Берёза - 4.2; Осина - 1.2; Ива, Черёмуха, Рябина - 2.0</t>
        </is>
      </c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O43" s="112" t="n"/>
      <c r="P43" s="154">
        <f>'Расчёты для проекта'!E26</f>
        <v/>
      </c>
      <c r="Q43" s="146" t="n"/>
      <c r="R43" s="148">
        <f>'Расчёты для проекта'!G26</f>
        <v/>
      </c>
      <c r="S43" s="146">
        <f>'Расчёты для проекта'!H26</f>
        <v/>
      </c>
      <c r="T43" s="153" t="n"/>
    </row>
    <row r="44" ht="15.6" customHeight="1" s="141">
      <c r="A44" s="217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O44" s="112" t="n"/>
      <c r="P44" s="154" t="n"/>
      <c r="Q44" s="146" t="n"/>
      <c r="R44" s="146" t="n"/>
      <c r="S44" s="146" t="n"/>
      <c r="T44" s="153" t="n"/>
    </row>
    <row r="45">
      <c r="A45" s="113" t="inlineStr">
        <is>
          <t>7. Проектируемая технология ухода, название ( с указанием вида трелюемой, транспортируемой древесины)</t>
        </is>
      </c>
      <c r="P45" s="154">
        <f>'Расчёты для проекта'!E28</f>
        <v/>
      </c>
      <c r="Q45" s="146">
        <f>'Расчёты для проекта'!F28</f>
        <v/>
      </c>
      <c r="R45" s="146">
        <f>'Расчёты для проекта'!G28</f>
        <v/>
      </c>
      <c r="S45" s="146">
        <f>'Расчёты для проекта'!H28</f>
        <v/>
      </c>
      <c r="T45" s="153" t="n"/>
    </row>
    <row r="46" ht="15.6" customHeight="1" s="141">
      <c r="A46" s="209" t="inlineStr">
        <is>
          <t>механизированная рубка нежелательной растительности кусторезами Stihl</t>
        </is>
      </c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P46" s="154" t="n"/>
      <c r="Q46" s="146" t="n"/>
      <c r="R46" s="146" t="n"/>
      <c r="S46" s="146" t="n"/>
      <c r="T46" s="153" t="n"/>
    </row>
    <row r="47">
      <c r="A47" s="113" t="inlineStr">
        <is>
          <t xml:space="preserve">Расстояние между технологическими коридорами, существующими или создаваемыми( прямолинейными </t>
        </is>
      </c>
      <c r="P47" s="154" t="inlineStr">
        <is>
          <t>В том числе по породам, м3 на 1 га</t>
        </is>
      </c>
      <c r="Q47" s="146" t="n"/>
      <c r="R47" s="146" t="n"/>
      <c r="S47" s="146" t="n"/>
      <c r="T47" s="153" t="n"/>
    </row>
    <row r="48" ht="15.6" customHeight="1" s="141">
      <c r="A48" s="146" t="inlineStr">
        <is>
          <t>или не прямолинейными)</t>
        </is>
      </c>
      <c r="D48" s="110" t="n"/>
      <c r="E48" s="209" t="inlineStr">
        <is>
          <t>равномерное по всей площади</t>
        </is>
      </c>
      <c r="F48" s="45" t="n"/>
      <c r="G48" s="45" t="n"/>
      <c r="H48" s="45" t="n"/>
      <c r="I48" s="45" t="n"/>
      <c r="J48" s="45" t="n"/>
      <c r="K48" s="45" t="n"/>
      <c r="L48" s="45" t="n"/>
      <c r="M48" s="45" t="n"/>
      <c r="P48" s="152">
        <f>'Расчёты для проекта'!G31</f>
        <v/>
      </c>
      <c r="Q48" s="146">
        <f>'Расчёты для проекта'!H31</f>
        <v/>
      </c>
      <c r="R48" s="146" t="n"/>
      <c r="S48" s="146" t="n"/>
      <c r="T48" s="153" t="n"/>
    </row>
    <row r="49" ht="15.6" customHeight="1" s="141">
      <c r="A49" s="209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P49" s="152">
        <f>'Расчёты для проекта'!G32</f>
        <v/>
      </c>
      <c r="Q49" s="146">
        <f>'Расчёты для проекта'!H32</f>
        <v/>
      </c>
      <c r="R49" s="146" t="n"/>
      <c r="S49" s="146" t="n"/>
      <c r="T49" s="153" t="n"/>
    </row>
    <row r="50" ht="15.6" customHeight="1" s="141">
      <c r="A50" s="146" t="inlineStr">
        <is>
          <t>Ширина технологических коридоров</t>
        </is>
      </c>
      <c r="E50" s="210" t="n"/>
      <c r="F50" s="250" t="n"/>
      <c r="G50" s="250" t="n"/>
      <c r="H50" s="250" t="n"/>
      <c r="I50" s="250" t="n"/>
      <c r="J50" s="250" t="n"/>
      <c r="K50" s="250" t="n"/>
      <c r="L50" s="250" t="n"/>
      <c r="M50" s="250" t="n"/>
      <c r="P50" s="152">
        <f>'Расчёты для проекта'!G33</f>
        <v/>
      </c>
      <c r="Q50" s="146">
        <f>'Расчёты для проекта'!H33</f>
        <v/>
      </c>
      <c r="R50" s="146" t="n"/>
      <c r="S50" s="146" t="n"/>
      <c r="T50" s="153" t="n"/>
    </row>
    <row r="51" ht="15.6" customHeight="1" s="141">
      <c r="A51" s="146" t="inlineStr">
        <is>
          <t>Количество и размеры погрузочных пунктов</t>
        </is>
      </c>
      <c r="F51" s="211" t="inlineStr">
        <is>
          <t>нет</t>
        </is>
      </c>
      <c r="G51" s="250" t="n"/>
      <c r="H51" s="250" t="n"/>
      <c r="I51" s="250" t="n"/>
      <c r="J51" s="250" t="n"/>
      <c r="K51" s="250" t="n"/>
      <c r="L51" s="250" t="n"/>
      <c r="M51" s="250" t="n"/>
      <c r="P51" s="152">
        <f>'Расчёты для проекта'!G34</f>
        <v/>
      </c>
      <c r="Q51" s="146">
        <f>'Расчёты для проекта'!H34</f>
        <v/>
      </c>
      <c r="R51" s="146" t="n"/>
      <c r="S51" s="146" t="n"/>
      <c r="T51" s="153" t="n"/>
    </row>
    <row r="52">
      <c r="A52" s="146" t="inlineStr">
        <is>
          <t>Ширина оставляемых полос и коридоров ухода при линейной технологии ( рубки ухода в молодняках)</t>
        </is>
      </c>
      <c r="P52" s="152">
        <f>'Расчёты для проекта'!G35</f>
        <v/>
      </c>
      <c r="Q52" s="146">
        <f>'Расчёты для проекта'!H35</f>
        <v/>
      </c>
      <c r="R52" s="146" t="n"/>
      <c r="S52" s="146" t="n"/>
      <c r="T52" s="153" t="n"/>
    </row>
    <row r="53">
      <c r="A53" s="212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P53" s="152">
        <f>'Расчёты для проекта'!G36</f>
        <v/>
      </c>
      <c r="Q53" s="146">
        <f>'Расчёты для проекта'!H36</f>
        <v/>
      </c>
      <c r="R53" s="146" t="n"/>
      <c r="S53" s="146" t="n"/>
      <c r="T53" s="153" t="n"/>
    </row>
    <row r="54">
      <c r="P54" s="152">
        <f>'Расчёты для проекта'!G37</f>
        <v/>
      </c>
      <c r="Q54" s="146">
        <f>'Расчёты для проекта'!H37</f>
        <v/>
      </c>
      <c r="R54" s="146" t="n"/>
      <c r="S54" s="146" t="n"/>
      <c r="T54" s="153" t="n"/>
    </row>
    <row r="55">
      <c r="P55" s="152">
        <f>'Расчёты для проекта'!G38</f>
        <v/>
      </c>
      <c r="Q55" s="146">
        <f>'Расчёты для проекта'!H38</f>
        <v/>
      </c>
      <c r="R55" s="146" t="n"/>
      <c r="S55" s="146" t="n"/>
      <c r="T55" s="153" t="n"/>
    </row>
    <row r="56" ht="14.4" customHeight="1" s="141">
      <c r="A56" s="113" t="inlineStr">
        <is>
          <t xml:space="preserve">Проект составил : </t>
        </is>
      </c>
      <c r="D56" s="113" t="inlineStr">
        <is>
          <t>___________________________ /___________________/</t>
        </is>
      </c>
      <c r="P56" s="152">
        <f>'Расчёты для проекта'!G39</f>
        <v/>
      </c>
      <c r="Q56" s="146">
        <f>'Расчёты для проекта'!H39</f>
        <v/>
      </c>
      <c r="R56" s="146" t="n"/>
      <c r="S56" s="146" t="n"/>
      <c r="T56" s="153" t="n"/>
    </row>
    <row r="57">
      <c r="P57" s="152">
        <f>'Расчёты для проекта'!G40</f>
        <v/>
      </c>
      <c r="Q57" s="146">
        <f>'Расчёты для проекта'!H40</f>
        <v/>
      </c>
      <c r="R57" s="146" t="n"/>
      <c r="S57" s="146" t="n"/>
      <c r="T57" s="153" t="n"/>
    </row>
    <row r="58">
      <c r="P58" s="155" t="n"/>
      <c r="Q58" s="95" t="n"/>
      <c r="R58" s="95" t="n"/>
      <c r="S58" s="95" t="n"/>
      <c r="T58" s="156" t="n"/>
    </row>
  </sheetData>
  <mergeCells count="34">
    <mergeCell ref="K41:M41"/>
    <mergeCell ref="D9:M9"/>
    <mergeCell ref="C33:M33"/>
    <mergeCell ref="A4:M4"/>
    <mergeCell ref="A53:M53"/>
    <mergeCell ref="A43:M43"/>
    <mergeCell ref="A38:M38"/>
    <mergeCell ref="A23:A27"/>
    <mergeCell ref="F21:G21"/>
    <mergeCell ref="K23:K27"/>
    <mergeCell ref="H21:I21"/>
    <mergeCell ref="A44:M44"/>
    <mergeCell ref="D35:M35"/>
    <mergeCell ref="A34:M34"/>
    <mergeCell ref="F51:M51"/>
    <mergeCell ref="A49:M49"/>
    <mergeCell ref="J23:J27"/>
    <mergeCell ref="A36:M36"/>
    <mergeCell ref="C21:D21"/>
    <mergeCell ref="A16:M16"/>
    <mergeCell ref="E50:M50"/>
    <mergeCell ref="A46:M46"/>
    <mergeCell ref="J21:K21"/>
    <mergeCell ref="G13:M13"/>
    <mergeCell ref="L21:M21"/>
    <mergeCell ref="F37:M37"/>
    <mergeCell ref="A12:M12"/>
    <mergeCell ref="A18:M18"/>
    <mergeCell ref="A3:M3"/>
    <mergeCell ref="D7:M7"/>
    <mergeCell ref="E48:M48"/>
    <mergeCell ref="H39:M39"/>
    <mergeCell ref="B23:B27"/>
    <mergeCell ref="A2:M2"/>
  </mergeCells>
  <pageMargins left="0.82" right="0.17" top="0.49" bottom="0.17" header="0.5" footer="0.17"/>
  <pageSetup orientation="portrait" paperSize="9" scale="83" horizontalDpi="4294967292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B16:Z66"/>
  <sheetViews>
    <sheetView showZeros="0" topLeftCell="A13" zoomScale="70" zoomScaleNormal="70" workbookViewId="0">
      <selection activeCell="B45" sqref="B45:D45"/>
    </sheetView>
  </sheetViews>
  <sheetFormatPr baseColWidth="8" defaultRowHeight="14.4"/>
  <cols>
    <col width="11.44140625" customWidth="1" style="141" min="4" max="4"/>
    <col width="9" customWidth="1" style="141" min="7" max="7"/>
    <col width="9.88671875" bestFit="1" customWidth="1" style="141" min="20" max="26"/>
  </cols>
  <sheetData>
    <row r="16" ht="24.9" customHeight="1" s="141">
      <c r="B16" s="127" t="inlineStr">
        <is>
          <t>Перечётная ведомость № _1___    литер _а__   Кв. __113___        Выд. _16___          Радиус ПП, м __3.99____              Измерения выполнил: __Богачёв П.В._______    Дата, подпись _____11.06.2023______________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128" t="n"/>
      <c r="S16" s="45" t="n"/>
      <c r="T16" s="128" t="n"/>
      <c r="U16" s="45" t="n"/>
      <c r="V16" s="45" t="n"/>
      <c r="W16" s="45" t="n"/>
    </row>
    <row r="17" ht="24.9" customHeight="1" s="141" thickBot="1"/>
    <row r="18" ht="24.9" customHeight="1" s="141" thickBot="1" thickTop="1">
      <c r="B18" s="1" t="inlineStr">
        <is>
          <t>Пор.</t>
        </is>
      </c>
      <c r="C18" s="236" t="inlineStr">
        <is>
          <t>Площадка</t>
        </is>
      </c>
      <c r="D18" s="238" t="n"/>
      <c r="E18" s="235" t="inlineStr">
        <is>
          <t>Сосна</t>
        </is>
      </c>
      <c r="F18" s="241" t="n"/>
      <c r="G18" s="241" t="n"/>
      <c r="H18" s="241" t="n"/>
      <c r="I18" s="241" t="n"/>
      <c r="J18" s="241" t="n"/>
      <c r="K18" s="254" t="inlineStr">
        <is>
          <t>Ель последующего (самосев/ЛК)</t>
        </is>
      </c>
      <c r="L18" s="255" t="n"/>
      <c r="M18" s="255" t="n"/>
      <c r="N18" s="255" t="n"/>
      <c r="O18" s="255" t="n"/>
      <c r="P18" s="75" t="n"/>
      <c r="Q18" s="254" t="inlineStr">
        <is>
          <t>Ель предварительного (сохр. Подрост)</t>
        </is>
      </c>
      <c r="R18" s="255" t="n"/>
      <c r="S18" s="255" t="n"/>
      <c r="T18" s="255" t="n"/>
      <c r="U18" s="255" t="n"/>
      <c r="V18" s="75" t="n"/>
      <c r="W18" s="234" t="inlineStr">
        <is>
          <t>Берёза</t>
        </is>
      </c>
      <c r="X18" s="241" t="n"/>
      <c r="Y18" s="241" t="n"/>
      <c r="Z18" s="242" t="n"/>
    </row>
    <row r="19" ht="24.9" customHeight="1" s="141" thickBot="1">
      <c r="B19" s="31" t="inlineStr">
        <is>
          <t>NN</t>
        </is>
      </c>
      <c r="C19" s="25" t="inlineStr">
        <is>
          <t>GPS точка</t>
        </is>
      </c>
      <c r="D19" s="68" t="inlineStr">
        <is>
          <t>Предмет ухода</t>
        </is>
      </c>
      <c r="E19" s="53" t="inlineStr">
        <is>
          <t>До 0.5м</t>
        </is>
      </c>
      <c r="F19" s="50" t="inlineStr">
        <is>
          <t>0,5-1,5</t>
        </is>
      </c>
      <c r="G19" s="50" t="inlineStr">
        <is>
          <t>&gt; 1.5</t>
        </is>
      </c>
      <c r="H19" s="50" t="inlineStr">
        <is>
          <t>D, см</t>
        </is>
      </c>
      <c r="I19" s="51" t="inlineStr">
        <is>
          <t>h, м</t>
        </is>
      </c>
      <c r="J19" s="54" t="inlineStr">
        <is>
          <t>A, лет</t>
        </is>
      </c>
      <c r="K19" s="53" t="inlineStr">
        <is>
          <t>До 0.5м</t>
        </is>
      </c>
      <c r="L19" s="50" t="inlineStr">
        <is>
          <t>0,5-1,5</t>
        </is>
      </c>
      <c r="M19" s="50" t="inlineStr">
        <is>
          <t>&gt; 1.5</t>
        </is>
      </c>
      <c r="N19" s="50" t="inlineStr">
        <is>
          <t>D, см</t>
        </is>
      </c>
      <c r="O19" s="51" t="inlineStr">
        <is>
          <t>h, м</t>
        </is>
      </c>
      <c r="P19" s="52" t="inlineStr">
        <is>
          <t>A, лет</t>
        </is>
      </c>
      <c r="Q19" s="53" t="inlineStr">
        <is>
          <t>До 0.5м</t>
        </is>
      </c>
      <c r="R19" s="50" t="inlineStr">
        <is>
          <t>0,5-1,5</t>
        </is>
      </c>
      <c r="S19" s="50" t="inlineStr">
        <is>
          <t>&gt; 1.5</t>
        </is>
      </c>
      <c r="T19" s="50" t="inlineStr">
        <is>
          <t>D, см</t>
        </is>
      </c>
      <c r="U19" s="51" t="inlineStr">
        <is>
          <t>h, м</t>
        </is>
      </c>
      <c r="V19" s="52" t="inlineStr">
        <is>
          <t>A, лет</t>
        </is>
      </c>
      <c r="W19" s="49" t="inlineStr">
        <is>
          <t>Кол-во</t>
        </is>
      </c>
      <c r="X19" s="50" t="inlineStr">
        <is>
          <t>D, см</t>
        </is>
      </c>
      <c r="Y19" s="51" t="inlineStr">
        <is>
          <t>h, м</t>
        </is>
      </c>
      <c r="Z19" s="52" t="inlineStr">
        <is>
          <t>A, лет</t>
        </is>
      </c>
    </row>
    <row r="20" ht="24.9" customHeight="1" s="141">
      <c r="B20" s="129" t="n">
        <v>1</v>
      </c>
      <c r="C20" s="27" t="n">
        <v>692</v>
      </c>
      <c r="D20" s="69" t="inlineStr">
        <is>
          <t>4Е</t>
        </is>
      </c>
      <c r="E20" s="130">
        <f>#REF!</f>
        <v/>
      </c>
      <c r="F20" s="7">
        <f>#REF!</f>
        <v/>
      </c>
      <c r="G20" s="7">
        <f>#REF!</f>
        <v/>
      </c>
      <c r="H20" s="7">
        <f>#REF!</f>
        <v/>
      </c>
      <c r="I20" s="7">
        <f>#REF!</f>
        <v/>
      </c>
      <c r="J20" s="8">
        <f>#REF!</f>
        <v/>
      </c>
      <c r="K20" s="130">
        <f>#REF!</f>
        <v/>
      </c>
      <c r="L20" s="7">
        <f>#REF!</f>
        <v/>
      </c>
      <c r="M20" s="7">
        <f>#REF!</f>
        <v/>
      </c>
      <c r="N20" s="7">
        <f>#REF!</f>
        <v/>
      </c>
      <c r="O20" s="7">
        <f>#REF!</f>
        <v/>
      </c>
      <c r="P20" s="8">
        <f>#REF!</f>
        <v/>
      </c>
      <c r="Q20" s="130">
        <f>#REF!</f>
        <v/>
      </c>
      <c r="R20" s="7">
        <f>#REF!</f>
        <v/>
      </c>
      <c r="S20" s="7">
        <f>#REF!</f>
        <v/>
      </c>
      <c r="T20" s="7">
        <f>#REF!</f>
        <v/>
      </c>
      <c r="U20" s="7">
        <f>#REF!</f>
        <v/>
      </c>
      <c r="V20" s="8">
        <f>#REF!</f>
        <v/>
      </c>
      <c r="W20" s="130">
        <f>#REF!</f>
        <v/>
      </c>
      <c r="X20" s="7">
        <f>#REF!</f>
        <v/>
      </c>
      <c r="Y20" s="7">
        <f>#REF!</f>
        <v/>
      </c>
      <c r="Z20" s="8">
        <f>#REF!</f>
        <v/>
      </c>
    </row>
    <row r="21" ht="24.9" customHeight="1" s="141">
      <c r="B21" s="131" t="n">
        <v>2</v>
      </c>
      <c r="C21" s="28" t="n">
        <v>693</v>
      </c>
      <c r="D21" s="37" t="inlineStr">
        <is>
          <t>9Е1С</t>
        </is>
      </c>
      <c r="E21" s="20">
        <f>#REF!</f>
        <v/>
      </c>
      <c r="F21" s="3">
        <f>#REF!</f>
        <v/>
      </c>
      <c r="G21" s="3">
        <f>#REF!</f>
        <v/>
      </c>
      <c r="H21" s="3">
        <f>#REF!</f>
        <v/>
      </c>
      <c r="I21" s="3">
        <f>#REF!</f>
        <v/>
      </c>
      <c r="J21" s="10">
        <f>#REF!</f>
        <v/>
      </c>
      <c r="K21" s="20">
        <f>#REF!</f>
        <v/>
      </c>
      <c r="L21" s="3">
        <f>#REF!</f>
        <v/>
      </c>
      <c r="M21" s="3">
        <f>#REF!</f>
        <v/>
      </c>
      <c r="N21" s="3">
        <f>#REF!</f>
        <v/>
      </c>
      <c r="O21" s="3">
        <f>#REF!</f>
        <v/>
      </c>
      <c r="P21" s="10">
        <f>#REF!</f>
        <v/>
      </c>
      <c r="Q21" s="20">
        <f>#REF!</f>
        <v/>
      </c>
      <c r="R21" s="3">
        <f>#REF!</f>
        <v/>
      </c>
      <c r="S21" s="3">
        <f>#REF!</f>
        <v/>
      </c>
      <c r="T21" s="3">
        <f>#REF!</f>
        <v/>
      </c>
      <c r="U21" s="3">
        <f>#REF!</f>
        <v/>
      </c>
      <c r="V21" s="10">
        <f>#REF!</f>
        <v/>
      </c>
      <c r="W21" s="20">
        <f>#REF!</f>
        <v/>
      </c>
      <c r="X21" s="3">
        <f>#REF!</f>
        <v/>
      </c>
      <c r="Y21" s="3">
        <f>#REF!</f>
        <v/>
      </c>
      <c r="Z21" s="10">
        <f>#REF!</f>
        <v/>
      </c>
    </row>
    <row r="22" ht="24.9" customHeight="1" s="141">
      <c r="B22" s="131" t="n">
        <v>3</v>
      </c>
      <c r="C22" s="28" t="n">
        <v>694</v>
      </c>
      <c r="D22" s="37" t="inlineStr">
        <is>
          <t>2С5Е3Б</t>
        </is>
      </c>
      <c r="E22" s="20">
        <f>#REF!</f>
        <v/>
      </c>
      <c r="F22" s="3">
        <f>#REF!</f>
        <v/>
      </c>
      <c r="G22" s="3">
        <f>#REF!</f>
        <v/>
      </c>
      <c r="H22" s="3">
        <f>#REF!</f>
        <v/>
      </c>
      <c r="I22" s="3">
        <f>#REF!</f>
        <v/>
      </c>
      <c r="J22" s="10">
        <f>#REF!</f>
        <v/>
      </c>
      <c r="K22" s="20">
        <f>#REF!</f>
        <v/>
      </c>
      <c r="L22" s="3">
        <f>#REF!</f>
        <v/>
      </c>
      <c r="M22" s="3">
        <f>#REF!</f>
        <v/>
      </c>
      <c r="N22" s="3">
        <f>#REF!</f>
        <v/>
      </c>
      <c r="O22" s="3">
        <f>#REF!</f>
        <v/>
      </c>
      <c r="P22" s="10">
        <f>#REF!</f>
        <v/>
      </c>
      <c r="Q22" s="20">
        <f>#REF!</f>
        <v/>
      </c>
      <c r="R22" s="3">
        <f>#REF!</f>
        <v/>
      </c>
      <c r="S22" s="3">
        <f>#REF!</f>
        <v/>
      </c>
      <c r="T22" s="3">
        <f>#REF!</f>
        <v/>
      </c>
      <c r="U22" s="3">
        <f>#REF!</f>
        <v/>
      </c>
      <c r="V22" s="10">
        <f>#REF!</f>
        <v/>
      </c>
      <c r="W22" s="20">
        <f>#REF!</f>
        <v/>
      </c>
      <c r="X22" s="3">
        <f>#REF!</f>
        <v/>
      </c>
      <c r="Y22" s="3">
        <f>#REF!</f>
        <v/>
      </c>
      <c r="Z22" s="10">
        <f>#REF!</f>
        <v/>
      </c>
    </row>
    <row r="23" ht="24.9" customHeight="1" s="141">
      <c r="B23" s="131" t="n">
        <v>4</v>
      </c>
      <c r="C23" s="28" t="n">
        <v>695</v>
      </c>
      <c r="D23" s="37" t="inlineStr">
        <is>
          <t>7Е1Б</t>
        </is>
      </c>
      <c r="E23" s="20">
        <f>#REF!</f>
        <v/>
      </c>
      <c r="F23" s="3">
        <f>#REF!</f>
        <v/>
      </c>
      <c r="G23" s="3">
        <f>#REF!</f>
        <v/>
      </c>
      <c r="H23" s="3">
        <f>#REF!</f>
        <v/>
      </c>
      <c r="I23" s="3">
        <f>#REF!</f>
        <v/>
      </c>
      <c r="J23" s="10">
        <f>#REF!</f>
        <v/>
      </c>
      <c r="K23" s="20">
        <f>#REF!</f>
        <v/>
      </c>
      <c r="L23" s="3">
        <f>#REF!</f>
        <v/>
      </c>
      <c r="M23" s="3">
        <f>#REF!</f>
        <v/>
      </c>
      <c r="N23" s="3">
        <f>#REF!</f>
        <v/>
      </c>
      <c r="O23" s="3">
        <f>#REF!</f>
        <v/>
      </c>
      <c r="P23" s="10">
        <f>#REF!</f>
        <v/>
      </c>
      <c r="Q23" s="20">
        <f>#REF!</f>
        <v/>
      </c>
      <c r="R23" s="3">
        <f>#REF!</f>
        <v/>
      </c>
      <c r="S23" s="3">
        <f>#REF!</f>
        <v/>
      </c>
      <c r="T23" s="3">
        <f>#REF!</f>
        <v/>
      </c>
      <c r="U23" s="3">
        <f>#REF!</f>
        <v/>
      </c>
      <c r="V23" s="10">
        <f>#REF!</f>
        <v/>
      </c>
      <c r="W23" s="20">
        <f>#REF!</f>
        <v/>
      </c>
      <c r="X23" s="3">
        <f>#REF!</f>
        <v/>
      </c>
      <c r="Y23" s="3">
        <f>#REF!</f>
        <v/>
      </c>
      <c r="Z23" s="10">
        <f>#REF!</f>
        <v/>
      </c>
    </row>
    <row r="24" ht="24.9" customHeight="1" s="141">
      <c r="B24" s="131" t="n">
        <v>5</v>
      </c>
      <c r="C24" s="28" t="n">
        <v>696</v>
      </c>
      <c r="D24" s="37" t="inlineStr">
        <is>
          <t>3Е5Б</t>
        </is>
      </c>
      <c r="E24" s="20">
        <f>#REF!</f>
        <v/>
      </c>
      <c r="F24" s="3">
        <f>#REF!</f>
        <v/>
      </c>
      <c r="G24" s="3">
        <f>#REF!</f>
        <v/>
      </c>
      <c r="H24" s="3">
        <f>#REF!</f>
        <v/>
      </c>
      <c r="I24" s="3">
        <f>#REF!</f>
        <v/>
      </c>
      <c r="J24" s="10">
        <f>#REF!</f>
        <v/>
      </c>
      <c r="K24" s="20">
        <f>#REF!</f>
        <v/>
      </c>
      <c r="L24" s="3">
        <f>#REF!</f>
        <v/>
      </c>
      <c r="M24" s="3">
        <f>#REF!</f>
        <v/>
      </c>
      <c r="N24" s="3">
        <f>#REF!</f>
        <v/>
      </c>
      <c r="O24" s="3">
        <f>#REF!</f>
        <v/>
      </c>
      <c r="P24" s="10">
        <f>#REF!</f>
        <v/>
      </c>
      <c r="Q24" s="20">
        <f>#REF!</f>
        <v/>
      </c>
      <c r="R24" s="3">
        <f>#REF!</f>
        <v/>
      </c>
      <c r="S24" s="3">
        <f>#REF!</f>
        <v/>
      </c>
      <c r="T24" s="3">
        <f>#REF!</f>
        <v/>
      </c>
      <c r="U24" s="3">
        <f>#REF!</f>
        <v/>
      </c>
      <c r="V24" s="10">
        <f>#REF!</f>
        <v/>
      </c>
      <c r="W24" s="20">
        <f>#REF!</f>
        <v/>
      </c>
      <c r="X24" s="3">
        <f>#REF!</f>
        <v/>
      </c>
      <c r="Y24" s="3">
        <f>#REF!</f>
        <v/>
      </c>
      <c r="Z24" s="10">
        <f>#REF!</f>
        <v/>
      </c>
    </row>
    <row r="25" ht="24.9" customHeight="1" s="141">
      <c r="B25" s="131" t="n">
        <v>6</v>
      </c>
      <c r="C25" s="28" t="n">
        <v>697</v>
      </c>
      <c r="D25" s="37" t="inlineStr">
        <is>
          <t>5С6Е</t>
        </is>
      </c>
      <c r="E25" s="20">
        <f>#REF!</f>
        <v/>
      </c>
      <c r="F25" s="3">
        <f>#REF!</f>
        <v/>
      </c>
      <c r="G25" s="3">
        <f>#REF!</f>
        <v/>
      </c>
      <c r="H25" s="3">
        <f>#REF!</f>
        <v/>
      </c>
      <c r="I25" s="3">
        <f>#REF!</f>
        <v/>
      </c>
      <c r="J25" s="10">
        <f>#REF!</f>
        <v/>
      </c>
      <c r="K25" s="20">
        <f>#REF!</f>
        <v/>
      </c>
      <c r="L25" s="3">
        <f>#REF!</f>
        <v/>
      </c>
      <c r="M25" s="3">
        <f>#REF!</f>
        <v/>
      </c>
      <c r="N25" s="3">
        <f>#REF!</f>
        <v/>
      </c>
      <c r="O25" s="3">
        <f>#REF!</f>
        <v/>
      </c>
      <c r="P25" s="10">
        <f>#REF!</f>
        <v/>
      </c>
      <c r="Q25" s="20">
        <f>#REF!</f>
        <v/>
      </c>
      <c r="R25" s="3">
        <f>#REF!</f>
        <v/>
      </c>
      <c r="S25" s="3">
        <f>#REF!</f>
        <v/>
      </c>
      <c r="T25" s="3">
        <f>#REF!</f>
        <v/>
      </c>
      <c r="U25" s="3">
        <f>#REF!</f>
        <v/>
      </c>
      <c r="V25" s="10">
        <f>#REF!</f>
        <v/>
      </c>
      <c r="W25" s="20">
        <f>#REF!</f>
        <v/>
      </c>
      <c r="X25" s="3">
        <f>#REF!</f>
        <v/>
      </c>
      <c r="Y25" s="3">
        <f>#REF!</f>
        <v/>
      </c>
      <c r="Z25" s="10">
        <f>#REF!</f>
        <v/>
      </c>
    </row>
    <row r="26" ht="24.9" customHeight="1" s="141">
      <c r="B26" s="131" t="n">
        <v>7</v>
      </c>
      <c r="C26" s="28" t="n">
        <v>698</v>
      </c>
      <c r="D26" s="37" t="inlineStr">
        <is>
          <t>5Е4С</t>
        </is>
      </c>
      <c r="E26" s="20">
        <f>#REF!</f>
        <v/>
      </c>
      <c r="F26" s="3">
        <f>#REF!</f>
        <v/>
      </c>
      <c r="G26" s="3">
        <f>#REF!</f>
        <v/>
      </c>
      <c r="H26" s="3">
        <f>#REF!</f>
        <v/>
      </c>
      <c r="I26" s="3">
        <f>#REF!</f>
        <v/>
      </c>
      <c r="J26" s="10">
        <f>#REF!</f>
        <v/>
      </c>
      <c r="K26" s="20">
        <f>#REF!</f>
        <v/>
      </c>
      <c r="L26" s="3">
        <f>#REF!</f>
        <v/>
      </c>
      <c r="M26" s="3">
        <f>#REF!</f>
        <v/>
      </c>
      <c r="N26" s="3">
        <f>#REF!</f>
        <v/>
      </c>
      <c r="O26" s="3">
        <f>#REF!</f>
        <v/>
      </c>
      <c r="P26" s="10">
        <f>#REF!</f>
        <v/>
      </c>
      <c r="Q26" s="20">
        <f>#REF!</f>
        <v/>
      </c>
      <c r="R26" s="3">
        <f>#REF!</f>
        <v/>
      </c>
      <c r="S26" s="3">
        <f>#REF!</f>
        <v/>
      </c>
      <c r="T26" s="3">
        <f>#REF!</f>
        <v/>
      </c>
      <c r="U26" s="3">
        <f>#REF!</f>
        <v/>
      </c>
      <c r="V26" s="10">
        <f>#REF!</f>
        <v/>
      </c>
      <c r="W26" s="20">
        <f>#REF!</f>
        <v/>
      </c>
      <c r="X26" s="3">
        <f>#REF!</f>
        <v/>
      </c>
      <c r="Y26" s="3">
        <f>#REF!</f>
        <v/>
      </c>
      <c r="Z26" s="10">
        <f>#REF!</f>
        <v/>
      </c>
    </row>
    <row r="27" ht="24.9" customHeight="1" s="141">
      <c r="B27" s="131" t="n">
        <v>8</v>
      </c>
      <c r="C27" s="28" t="n">
        <v>699</v>
      </c>
      <c r="D27" s="37" t="inlineStr">
        <is>
          <t>1С10Е</t>
        </is>
      </c>
      <c r="E27" s="20">
        <f>#REF!</f>
        <v/>
      </c>
      <c r="F27" s="3">
        <f>#REF!</f>
        <v/>
      </c>
      <c r="G27" s="3">
        <f>#REF!</f>
        <v/>
      </c>
      <c r="H27" s="3">
        <f>#REF!</f>
        <v/>
      </c>
      <c r="I27" s="3">
        <f>#REF!</f>
        <v/>
      </c>
      <c r="J27" s="10">
        <f>#REF!</f>
        <v/>
      </c>
      <c r="K27" s="20">
        <f>#REF!</f>
        <v/>
      </c>
      <c r="L27" s="3">
        <f>#REF!</f>
        <v/>
      </c>
      <c r="M27" s="3">
        <f>#REF!</f>
        <v/>
      </c>
      <c r="N27" s="3">
        <f>#REF!</f>
        <v/>
      </c>
      <c r="O27" s="3">
        <f>#REF!</f>
        <v/>
      </c>
      <c r="P27" s="10">
        <f>#REF!</f>
        <v/>
      </c>
      <c r="Q27" s="20">
        <f>#REF!</f>
        <v/>
      </c>
      <c r="R27" s="3">
        <f>#REF!</f>
        <v/>
      </c>
      <c r="S27" s="3">
        <f>#REF!</f>
        <v/>
      </c>
      <c r="T27" s="3">
        <f>#REF!</f>
        <v/>
      </c>
      <c r="U27" s="3">
        <f>#REF!</f>
        <v/>
      </c>
      <c r="V27" s="10">
        <f>#REF!</f>
        <v/>
      </c>
      <c r="W27" s="20">
        <f>#REF!</f>
        <v/>
      </c>
      <c r="X27" s="3">
        <f>#REF!</f>
        <v/>
      </c>
      <c r="Y27" s="3">
        <f>#REF!</f>
        <v/>
      </c>
      <c r="Z27" s="10">
        <f>#REF!</f>
        <v/>
      </c>
    </row>
    <row r="28" ht="24.9" customHeight="1" s="141">
      <c r="B28" s="131" t="n">
        <v>9</v>
      </c>
      <c r="C28" s="28" t="n">
        <v>700</v>
      </c>
      <c r="D28" s="37" t="inlineStr">
        <is>
          <t>8Е</t>
        </is>
      </c>
      <c r="E28" s="20">
        <f>#REF!</f>
        <v/>
      </c>
      <c r="F28" s="3">
        <f>#REF!</f>
        <v/>
      </c>
      <c r="G28" s="3">
        <f>#REF!</f>
        <v/>
      </c>
      <c r="H28" s="3">
        <f>#REF!</f>
        <v/>
      </c>
      <c r="I28" s="3">
        <f>#REF!</f>
        <v/>
      </c>
      <c r="J28" s="10">
        <f>#REF!</f>
        <v/>
      </c>
      <c r="K28" s="20">
        <f>#REF!</f>
        <v/>
      </c>
      <c r="L28" s="3">
        <f>#REF!</f>
        <v/>
      </c>
      <c r="M28" s="3">
        <f>#REF!</f>
        <v/>
      </c>
      <c r="N28" s="3">
        <f>#REF!</f>
        <v/>
      </c>
      <c r="O28" s="3">
        <f>#REF!</f>
        <v/>
      </c>
      <c r="P28" s="10">
        <f>#REF!</f>
        <v/>
      </c>
      <c r="Q28" s="20">
        <f>#REF!</f>
        <v/>
      </c>
      <c r="R28" s="3">
        <f>#REF!</f>
        <v/>
      </c>
      <c r="S28" s="3">
        <f>#REF!</f>
        <v/>
      </c>
      <c r="T28" s="3">
        <f>#REF!</f>
        <v/>
      </c>
      <c r="U28" s="3">
        <f>#REF!</f>
        <v/>
      </c>
      <c r="V28" s="10">
        <f>#REF!</f>
        <v/>
      </c>
      <c r="W28" s="20">
        <f>#REF!</f>
        <v/>
      </c>
      <c r="X28" s="3">
        <f>#REF!</f>
        <v/>
      </c>
      <c r="Y28" s="3">
        <f>#REF!</f>
        <v/>
      </c>
      <c r="Z28" s="10">
        <f>#REF!</f>
        <v/>
      </c>
    </row>
    <row r="29" ht="24.9" customHeight="1" s="141">
      <c r="B29" s="131" t="n">
        <v>10</v>
      </c>
      <c r="C29" s="28" t="n">
        <v>701</v>
      </c>
      <c r="D29" s="37" t="inlineStr">
        <is>
          <t>3С10Е</t>
        </is>
      </c>
      <c r="E29" s="20">
        <f>#REF!</f>
        <v/>
      </c>
      <c r="F29" s="3">
        <f>#REF!</f>
        <v/>
      </c>
      <c r="G29" s="3">
        <f>#REF!</f>
        <v/>
      </c>
      <c r="H29" s="3">
        <f>#REF!</f>
        <v/>
      </c>
      <c r="I29" s="3">
        <f>#REF!</f>
        <v/>
      </c>
      <c r="J29" s="10">
        <f>#REF!</f>
        <v/>
      </c>
      <c r="K29" s="20">
        <f>#REF!</f>
        <v/>
      </c>
      <c r="L29" s="3">
        <f>#REF!</f>
        <v/>
      </c>
      <c r="M29" s="3">
        <f>#REF!</f>
        <v/>
      </c>
      <c r="N29" s="3">
        <f>#REF!</f>
        <v/>
      </c>
      <c r="O29" s="3">
        <f>#REF!</f>
        <v/>
      </c>
      <c r="P29" s="10">
        <f>#REF!</f>
        <v/>
      </c>
      <c r="Q29" s="20">
        <f>#REF!</f>
        <v/>
      </c>
      <c r="R29" s="3">
        <f>#REF!</f>
        <v/>
      </c>
      <c r="S29" s="3">
        <f>#REF!</f>
        <v/>
      </c>
      <c r="T29" s="3">
        <f>#REF!</f>
        <v/>
      </c>
      <c r="U29" s="3">
        <f>#REF!</f>
        <v/>
      </c>
      <c r="V29" s="10">
        <f>#REF!</f>
        <v/>
      </c>
      <c r="W29" s="20">
        <f>#REF!</f>
        <v/>
      </c>
      <c r="X29" s="3">
        <f>#REF!</f>
        <v/>
      </c>
      <c r="Y29" s="3">
        <f>#REF!</f>
        <v/>
      </c>
      <c r="Z29" s="10">
        <f>#REF!</f>
        <v/>
      </c>
    </row>
    <row r="30" ht="24.9" customHeight="1" s="141">
      <c r="B30" s="131" t="n">
        <v>11</v>
      </c>
      <c r="C30" s="28" t="n">
        <v>702</v>
      </c>
      <c r="D30" s="37" t="inlineStr">
        <is>
          <t>7Е3Б</t>
        </is>
      </c>
      <c r="E30" s="20">
        <f>#REF!</f>
        <v/>
      </c>
      <c r="F30" s="3">
        <f>#REF!</f>
        <v/>
      </c>
      <c r="G30" s="3">
        <f>#REF!</f>
        <v/>
      </c>
      <c r="H30" s="3">
        <f>#REF!</f>
        <v/>
      </c>
      <c r="I30" s="3">
        <f>#REF!</f>
        <v/>
      </c>
      <c r="J30" s="10">
        <f>#REF!</f>
        <v/>
      </c>
      <c r="K30" s="20">
        <f>#REF!</f>
        <v/>
      </c>
      <c r="L30" s="3">
        <f>#REF!</f>
        <v/>
      </c>
      <c r="M30" s="3">
        <f>#REF!</f>
        <v/>
      </c>
      <c r="N30" s="3">
        <f>#REF!</f>
        <v/>
      </c>
      <c r="O30" s="3">
        <f>#REF!</f>
        <v/>
      </c>
      <c r="P30" s="10">
        <f>#REF!</f>
        <v/>
      </c>
      <c r="Q30" s="20">
        <f>#REF!</f>
        <v/>
      </c>
      <c r="R30" s="3">
        <f>#REF!</f>
        <v/>
      </c>
      <c r="S30" s="3">
        <f>#REF!</f>
        <v/>
      </c>
      <c r="T30" s="3">
        <f>#REF!</f>
        <v/>
      </c>
      <c r="U30" s="3">
        <f>#REF!</f>
        <v/>
      </c>
      <c r="V30" s="10">
        <f>#REF!</f>
        <v/>
      </c>
      <c r="W30" s="20">
        <f>#REF!</f>
        <v/>
      </c>
      <c r="X30" s="3">
        <f>#REF!</f>
        <v/>
      </c>
      <c r="Y30" s="3">
        <f>#REF!</f>
        <v/>
      </c>
      <c r="Z30" s="10">
        <f>#REF!</f>
        <v/>
      </c>
    </row>
    <row r="31" ht="24.9" customHeight="1" s="141">
      <c r="B31" s="131" t="n">
        <v>12</v>
      </c>
      <c r="C31" s="28" t="n">
        <v>703</v>
      </c>
      <c r="D31" s="37" t="inlineStr">
        <is>
          <t>3С9Е</t>
        </is>
      </c>
      <c r="E31" s="20">
        <f>#REF!</f>
        <v/>
      </c>
      <c r="F31" s="3">
        <f>#REF!</f>
        <v/>
      </c>
      <c r="G31" s="3">
        <f>#REF!</f>
        <v/>
      </c>
      <c r="H31" s="3">
        <f>#REF!</f>
        <v/>
      </c>
      <c r="I31" s="3">
        <f>#REF!</f>
        <v/>
      </c>
      <c r="J31" s="10">
        <f>#REF!</f>
        <v/>
      </c>
      <c r="K31" s="20">
        <f>#REF!</f>
        <v/>
      </c>
      <c r="L31" s="3">
        <f>#REF!</f>
        <v/>
      </c>
      <c r="M31" s="3">
        <f>#REF!</f>
        <v/>
      </c>
      <c r="N31" s="3">
        <f>#REF!</f>
        <v/>
      </c>
      <c r="O31" s="3">
        <f>#REF!</f>
        <v/>
      </c>
      <c r="P31" s="10">
        <f>#REF!</f>
        <v/>
      </c>
      <c r="Q31" s="20">
        <f>#REF!</f>
        <v/>
      </c>
      <c r="R31" s="3">
        <f>#REF!</f>
        <v/>
      </c>
      <c r="S31" s="3">
        <f>#REF!</f>
        <v/>
      </c>
      <c r="T31" s="3">
        <f>#REF!</f>
        <v/>
      </c>
      <c r="U31" s="3">
        <f>#REF!</f>
        <v/>
      </c>
      <c r="V31" s="10">
        <f>#REF!</f>
        <v/>
      </c>
      <c r="W31" s="20">
        <f>#REF!</f>
        <v/>
      </c>
      <c r="X31" s="3">
        <f>#REF!</f>
        <v/>
      </c>
      <c r="Y31" s="3">
        <f>#REF!</f>
        <v/>
      </c>
      <c r="Z31" s="10">
        <f>#REF!</f>
        <v/>
      </c>
    </row>
    <row r="32" ht="24.9" customHeight="1" s="141">
      <c r="B32" s="131" t="n">
        <v>13</v>
      </c>
      <c r="C32" s="28" t="n">
        <v>704</v>
      </c>
      <c r="D32" s="37" t="inlineStr">
        <is>
          <t>6С5Е</t>
        </is>
      </c>
      <c r="E32" s="20">
        <f>#REF!</f>
        <v/>
      </c>
      <c r="F32" s="3">
        <f>#REF!</f>
        <v/>
      </c>
      <c r="G32" s="3">
        <f>#REF!</f>
        <v/>
      </c>
      <c r="H32" s="3">
        <f>#REF!</f>
        <v/>
      </c>
      <c r="I32" s="3">
        <f>#REF!</f>
        <v/>
      </c>
      <c r="J32" s="10">
        <f>#REF!</f>
        <v/>
      </c>
      <c r="K32" s="20">
        <f>#REF!</f>
        <v/>
      </c>
      <c r="L32" s="3">
        <f>#REF!</f>
        <v/>
      </c>
      <c r="M32" s="3">
        <f>#REF!</f>
        <v/>
      </c>
      <c r="N32" s="3">
        <f>#REF!</f>
        <v/>
      </c>
      <c r="O32" s="3">
        <f>#REF!</f>
        <v/>
      </c>
      <c r="P32" s="10">
        <f>#REF!</f>
        <v/>
      </c>
      <c r="Q32" s="20">
        <f>#REF!</f>
        <v/>
      </c>
      <c r="R32" s="3">
        <f>#REF!</f>
        <v/>
      </c>
      <c r="S32" s="3">
        <f>#REF!</f>
        <v/>
      </c>
      <c r="T32" s="3">
        <f>#REF!</f>
        <v/>
      </c>
      <c r="U32" s="3">
        <f>#REF!</f>
        <v/>
      </c>
      <c r="V32" s="10">
        <f>#REF!</f>
        <v/>
      </c>
      <c r="W32" s="20">
        <f>#REF!</f>
        <v/>
      </c>
      <c r="X32" s="3">
        <f>#REF!</f>
        <v/>
      </c>
      <c r="Y32" s="3">
        <f>#REF!</f>
        <v/>
      </c>
      <c r="Z32" s="10">
        <f>#REF!</f>
        <v/>
      </c>
    </row>
    <row r="33" ht="24.9" customHeight="1" s="141">
      <c r="B33" s="131" t="n">
        <v>14</v>
      </c>
      <c r="C33" s="28" t="n">
        <v>705</v>
      </c>
      <c r="D33" s="37" t="inlineStr">
        <is>
          <t>5С5Е</t>
        </is>
      </c>
      <c r="E33" s="20">
        <f>#REF!</f>
        <v/>
      </c>
      <c r="F33" s="3">
        <f>#REF!</f>
        <v/>
      </c>
      <c r="G33" s="3">
        <f>#REF!</f>
        <v/>
      </c>
      <c r="H33" s="3">
        <f>#REF!</f>
        <v/>
      </c>
      <c r="I33" s="3">
        <f>#REF!</f>
        <v/>
      </c>
      <c r="J33" s="10">
        <f>#REF!</f>
        <v/>
      </c>
      <c r="K33" s="20">
        <f>#REF!</f>
        <v/>
      </c>
      <c r="L33" s="3">
        <f>#REF!</f>
        <v/>
      </c>
      <c r="M33" s="3">
        <f>#REF!</f>
        <v/>
      </c>
      <c r="N33" s="3">
        <f>#REF!</f>
        <v/>
      </c>
      <c r="O33" s="3">
        <f>#REF!</f>
        <v/>
      </c>
      <c r="P33" s="10">
        <f>#REF!</f>
        <v/>
      </c>
      <c r="Q33" s="20">
        <f>#REF!</f>
        <v/>
      </c>
      <c r="R33" s="3">
        <f>#REF!</f>
        <v/>
      </c>
      <c r="S33" s="3">
        <f>#REF!</f>
        <v/>
      </c>
      <c r="T33" s="3">
        <f>#REF!</f>
        <v/>
      </c>
      <c r="U33" s="3">
        <f>#REF!</f>
        <v/>
      </c>
      <c r="V33" s="10">
        <f>#REF!</f>
        <v/>
      </c>
      <c r="W33" s="20">
        <f>#REF!</f>
        <v/>
      </c>
      <c r="X33" s="3">
        <f>#REF!</f>
        <v/>
      </c>
      <c r="Y33" s="3">
        <f>#REF!</f>
        <v/>
      </c>
      <c r="Z33" s="10">
        <f>#REF!</f>
        <v/>
      </c>
    </row>
    <row r="34" ht="24.9" customHeight="1" s="141">
      <c r="B34" s="131" t="n">
        <v>15</v>
      </c>
      <c r="C34" s="28" t="n">
        <v>706</v>
      </c>
      <c r="D34" s="37" t="inlineStr">
        <is>
          <t>3С9Е</t>
        </is>
      </c>
      <c r="E34" s="20">
        <f>#REF!</f>
        <v/>
      </c>
      <c r="F34" s="3">
        <f>#REF!</f>
        <v/>
      </c>
      <c r="G34" s="3">
        <f>#REF!</f>
        <v/>
      </c>
      <c r="H34" s="3">
        <f>#REF!</f>
        <v/>
      </c>
      <c r="I34" s="3">
        <f>#REF!</f>
        <v/>
      </c>
      <c r="J34" s="10">
        <f>#REF!</f>
        <v/>
      </c>
      <c r="K34" s="20">
        <f>#REF!</f>
        <v/>
      </c>
      <c r="L34" s="3">
        <f>#REF!</f>
        <v/>
      </c>
      <c r="M34" s="3">
        <f>#REF!</f>
        <v/>
      </c>
      <c r="N34" s="3">
        <f>#REF!</f>
        <v/>
      </c>
      <c r="O34" s="3">
        <f>#REF!</f>
        <v/>
      </c>
      <c r="P34" s="10">
        <f>#REF!</f>
        <v/>
      </c>
      <c r="Q34" s="20">
        <f>#REF!</f>
        <v/>
      </c>
      <c r="R34" s="3">
        <f>#REF!</f>
        <v/>
      </c>
      <c r="S34" s="3">
        <f>#REF!</f>
        <v/>
      </c>
      <c r="T34" s="3">
        <f>#REF!</f>
        <v/>
      </c>
      <c r="U34" s="3">
        <f>#REF!</f>
        <v/>
      </c>
      <c r="V34" s="10">
        <f>#REF!</f>
        <v/>
      </c>
      <c r="W34" s="20">
        <f>#REF!</f>
        <v/>
      </c>
      <c r="X34" s="3">
        <f>#REF!</f>
        <v/>
      </c>
      <c r="Y34" s="3">
        <f>#REF!</f>
        <v/>
      </c>
      <c r="Z34" s="10">
        <f>#REF!</f>
        <v/>
      </c>
    </row>
    <row r="35" ht="24.9" customHeight="1" s="141">
      <c r="B35" s="131" t="n">
        <v>16</v>
      </c>
      <c r="C35" s="28" t="n"/>
      <c r="D35" s="37" t="n"/>
      <c r="E35" s="20">
        <f>#REF!</f>
        <v/>
      </c>
      <c r="F35" s="3">
        <f>#REF!</f>
        <v/>
      </c>
      <c r="G35" s="3">
        <f>#REF!</f>
        <v/>
      </c>
      <c r="H35" s="3">
        <f>#REF!</f>
        <v/>
      </c>
      <c r="I35" s="3">
        <f>#REF!</f>
        <v/>
      </c>
      <c r="J35" s="10">
        <f>#REF!</f>
        <v/>
      </c>
      <c r="K35" s="20">
        <f>#REF!</f>
        <v/>
      </c>
      <c r="L35" s="3">
        <f>#REF!</f>
        <v/>
      </c>
      <c r="M35" s="3">
        <f>#REF!</f>
        <v/>
      </c>
      <c r="N35" s="3">
        <f>#REF!</f>
        <v/>
      </c>
      <c r="O35" s="3">
        <f>#REF!</f>
        <v/>
      </c>
      <c r="P35" s="10">
        <f>#REF!</f>
        <v/>
      </c>
      <c r="Q35" s="20">
        <f>#REF!</f>
        <v/>
      </c>
      <c r="R35" s="3">
        <f>#REF!</f>
        <v/>
      </c>
      <c r="S35" s="3">
        <f>#REF!</f>
        <v/>
      </c>
      <c r="T35" s="3">
        <f>#REF!</f>
        <v/>
      </c>
      <c r="U35" s="3">
        <f>#REF!</f>
        <v/>
      </c>
      <c r="V35" s="10">
        <f>#REF!</f>
        <v/>
      </c>
      <c r="W35" s="20">
        <f>#REF!</f>
        <v/>
      </c>
      <c r="X35" s="3">
        <f>#REF!</f>
        <v/>
      </c>
      <c r="Y35" s="3">
        <f>#REF!</f>
        <v/>
      </c>
      <c r="Z35" s="10">
        <f>#REF!</f>
        <v/>
      </c>
    </row>
    <row r="36" ht="24.9" customHeight="1" s="141">
      <c r="B36" s="131" t="n">
        <v>17</v>
      </c>
      <c r="C36" s="28" t="n"/>
      <c r="D36" s="37" t="n"/>
      <c r="E36" s="20">
        <f>#REF!</f>
        <v/>
      </c>
      <c r="F36" s="3">
        <f>#REF!</f>
        <v/>
      </c>
      <c r="G36" s="3">
        <f>#REF!</f>
        <v/>
      </c>
      <c r="H36" s="3">
        <f>#REF!</f>
        <v/>
      </c>
      <c r="I36" s="3">
        <f>#REF!</f>
        <v/>
      </c>
      <c r="J36" s="10">
        <f>#REF!</f>
        <v/>
      </c>
      <c r="K36" s="20">
        <f>#REF!</f>
        <v/>
      </c>
      <c r="L36" s="3">
        <f>#REF!</f>
        <v/>
      </c>
      <c r="M36" s="3">
        <f>#REF!</f>
        <v/>
      </c>
      <c r="N36" s="3">
        <f>#REF!</f>
        <v/>
      </c>
      <c r="O36" s="3">
        <f>#REF!</f>
        <v/>
      </c>
      <c r="P36" s="10">
        <f>#REF!</f>
        <v/>
      </c>
      <c r="Q36" s="20">
        <f>#REF!</f>
        <v/>
      </c>
      <c r="R36" s="3">
        <f>#REF!</f>
        <v/>
      </c>
      <c r="S36" s="3">
        <f>#REF!</f>
        <v/>
      </c>
      <c r="T36" s="3">
        <f>#REF!</f>
        <v/>
      </c>
      <c r="U36" s="3">
        <f>#REF!</f>
        <v/>
      </c>
      <c r="V36" s="10">
        <f>#REF!</f>
        <v/>
      </c>
      <c r="W36" s="20">
        <f>#REF!</f>
        <v/>
      </c>
      <c r="X36" s="3">
        <f>#REF!</f>
        <v/>
      </c>
      <c r="Y36" s="3">
        <f>#REF!</f>
        <v/>
      </c>
      <c r="Z36" s="10">
        <f>#REF!</f>
        <v/>
      </c>
    </row>
    <row r="37" ht="24.9" customHeight="1" s="141">
      <c r="B37" s="131" t="n">
        <v>18</v>
      </c>
      <c r="C37" s="28" t="n"/>
      <c r="D37" s="37" t="n"/>
      <c r="E37" s="20">
        <f>#REF!</f>
        <v/>
      </c>
      <c r="F37" s="3">
        <f>#REF!</f>
        <v/>
      </c>
      <c r="G37" s="3">
        <f>#REF!</f>
        <v/>
      </c>
      <c r="H37" s="3">
        <f>#REF!</f>
        <v/>
      </c>
      <c r="I37" s="3">
        <f>#REF!</f>
        <v/>
      </c>
      <c r="J37" s="10">
        <f>#REF!</f>
        <v/>
      </c>
      <c r="K37" s="20">
        <f>#REF!</f>
        <v/>
      </c>
      <c r="L37" s="3">
        <f>#REF!</f>
        <v/>
      </c>
      <c r="M37" s="3">
        <f>#REF!</f>
        <v/>
      </c>
      <c r="N37" s="3">
        <f>#REF!</f>
        <v/>
      </c>
      <c r="O37" s="3">
        <f>#REF!</f>
        <v/>
      </c>
      <c r="P37" s="10">
        <f>#REF!</f>
        <v/>
      </c>
      <c r="Q37" s="20">
        <f>#REF!</f>
        <v/>
      </c>
      <c r="R37" s="3">
        <f>#REF!</f>
        <v/>
      </c>
      <c r="S37" s="3">
        <f>#REF!</f>
        <v/>
      </c>
      <c r="T37" s="3">
        <f>#REF!</f>
        <v/>
      </c>
      <c r="U37" s="3">
        <f>#REF!</f>
        <v/>
      </c>
      <c r="V37" s="10">
        <f>#REF!</f>
        <v/>
      </c>
      <c r="W37" s="20">
        <f>#REF!</f>
        <v/>
      </c>
      <c r="X37" s="3">
        <f>#REF!</f>
        <v/>
      </c>
      <c r="Y37" s="3">
        <f>#REF!</f>
        <v/>
      </c>
      <c r="Z37" s="10">
        <f>#REF!</f>
        <v/>
      </c>
    </row>
    <row r="38" ht="24.9" customHeight="1" s="141">
      <c r="B38" s="131" t="n">
        <v>19</v>
      </c>
      <c r="C38" s="28" t="n"/>
      <c r="D38" s="37" t="n"/>
      <c r="E38" s="20">
        <f>#REF!</f>
        <v/>
      </c>
      <c r="F38" s="3">
        <f>#REF!</f>
        <v/>
      </c>
      <c r="G38" s="3">
        <f>#REF!</f>
        <v/>
      </c>
      <c r="H38" s="3">
        <f>#REF!</f>
        <v/>
      </c>
      <c r="I38" s="3">
        <f>#REF!</f>
        <v/>
      </c>
      <c r="J38" s="10">
        <f>#REF!</f>
        <v/>
      </c>
      <c r="K38" s="20">
        <f>#REF!</f>
        <v/>
      </c>
      <c r="L38" s="3">
        <f>#REF!</f>
        <v/>
      </c>
      <c r="M38" s="3">
        <f>#REF!</f>
        <v/>
      </c>
      <c r="N38" s="3">
        <f>#REF!</f>
        <v/>
      </c>
      <c r="O38" s="3">
        <f>#REF!</f>
        <v/>
      </c>
      <c r="P38" s="10">
        <f>#REF!</f>
        <v/>
      </c>
      <c r="Q38" s="20">
        <f>#REF!</f>
        <v/>
      </c>
      <c r="R38" s="3">
        <f>#REF!</f>
        <v/>
      </c>
      <c r="S38" s="3">
        <f>#REF!</f>
        <v/>
      </c>
      <c r="T38" s="3">
        <f>#REF!</f>
        <v/>
      </c>
      <c r="U38" s="3">
        <f>#REF!</f>
        <v/>
      </c>
      <c r="V38" s="10">
        <f>#REF!</f>
        <v/>
      </c>
      <c r="W38" s="20">
        <f>#REF!</f>
        <v/>
      </c>
      <c r="X38" s="3">
        <f>#REF!</f>
        <v/>
      </c>
      <c r="Y38" s="3">
        <f>#REF!</f>
        <v/>
      </c>
      <c r="Z38" s="10">
        <f>#REF!</f>
        <v/>
      </c>
    </row>
    <row r="39" ht="24.9" customHeight="1" s="141">
      <c r="B39" s="131" t="n">
        <v>20</v>
      </c>
      <c r="C39" s="28" t="n"/>
      <c r="D39" s="37" t="n"/>
      <c r="E39" s="20">
        <f>#REF!</f>
        <v/>
      </c>
      <c r="F39" s="3">
        <f>#REF!</f>
        <v/>
      </c>
      <c r="G39" s="3">
        <f>#REF!</f>
        <v/>
      </c>
      <c r="H39" s="3">
        <f>#REF!</f>
        <v/>
      </c>
      <c r="I39" s="3">
        <f>#REF!</f>
        <v/>
      </c>
      <c r="J39" s="10">
        <f>#REF!</f>
        <v/>
      </c>
      <c r="K39" s="20">
        <f>#REF!</f>
        <v/>
      </c>
      <c r="L39" s="3">
        <f>#REF!</f>
        <v/>
      </c>
      <c r="M39" s="3">
        <f>#REF!</f>
        <v/>
      </c>
      <c r="N39" s="3">
        <f>#REF!</f>
        <v/>
      </c>
      <c r="O39" s="3">
        <f>#REF!</f>
        <v/>
      </c>
      <c r="P39" s="10">
        <f>#REF!</f>
        <v/>
      </c>
      <c r="Q39" s="20">
        <f>#REF!</f>
        <v/>
      </c>
      <c r="R39" s="3">
        <f>#REF!</f>
        <v/>
      </c>
      <c r="S39" s="3">
        <f>#REF!</f>
        <v/>
      </c>
      <c r="T39" s="3">
        <f>#REF!</f>
        <v/>
      </c>
      <c r="U39" s="3">
        <f>#REF!</f>
        <v/>
      </c>
      <c r="V39" s="10">
        <f>#REF!</f>
        <v/>
      </c>
      <c r="W39" s="20">
        <f>#REF!</f>
        <v/>
      </c>
      <c r="X39" s="3">
        <f>#REF!</f>
        <v/>
      </c>
      <c r="Y39" s="3">
        <f>#REF!</f>
        <v/>
      </c>
      <c r="Z39" s="10">
        <f>#REF!</f>
        <v/>
      </c>
    </row>
    <row r="40" ht="24.9" customHeight="1" s="141">
      <c r="B40" s="131" t="n">
        <v>21</v>
      </c>
      <c r="C40" s="28" t="n"/>
      <c r="D40" s="37" t="n"/>
      <c r="E40" s="20">
        <f>#REF!</f>
        <v/>
      </c>
      <c r="F40" s="3">
        <f>#REF!</f>
        <v/>
      </c>
      <c r="G40" s="3">
        <f>#REF!</f>
        <v/>
      </c>
      <c r="H40" s="3">
        <f>#REF!</f>
        <v/>
      </c>
      <c r="I40" s="3">
        <f>#REF!</f>
        <v/>
      </c>
      <c r="J40" s="10">
        <f>#REF!</f>
        <v/>
      </c>
      <c r="K40" s="20">
        <f>#REF!</f>
        <v/>
      </c>
      <c r="L40" s="3">
        <f>#REF!</f>
        <v/>
      </c>
      <c r="M40" s="3">
        <f>#REF!</f>
        <v/>
      </c>
      <c r="N40" s="3">
        <f>#REF!</f>
        <v/>
      </c>
      <c r="O40" s="3">
        <f>#REF!</f>
        <v/>
      </c>
      <c r="P40" s="10">
        <f>#REF!</f>
        <v/>
      </c>
      <c r="Q40" s="20">
        <f>#REF!</f>
        <v/>
      </c>
      <c r="R40" s="3">
        <f>#REF!</f>
        <v/>
      </c>
      <c r="S40" s="3">
        <f>#REF!</f>
        <v/>
      </c>
      <c r="T40" s="3">
        <f>#REF!</f>
        <v/>
      </c>
      <c r="U40" s="3">
        <f>#REF!</f>
        <v/>
      </c>
      <c r="V40" s="10">
        <f>#REF!</f>
        <v/>
      </c>
      <c r="W40" s="20">
        <f>#REF!</f>
        <v/>
      </c>
      <c r="X40" s="3">
        <f>#REF!</f>
        <v/>
      </c>
      <c r="Y40" s="3">
        <f>#REF!</f>
        <v/>
      </c>
      <c r="Z40" s="10">
        <f>#REF!</f>
        <v/>
      </c>
    </row>
    <row r="41" ht="24.9" customHeight="1" s="141">
      <c r="B41" s="131" t="n">
        <v>22</v>
      </c>
      <c r="C41" s="28" t="n"/>
      <c r="D41" s="37" t="n"/>
      <c r="E41" s="20">
        <f>#REF!</f>
        <v/>
      </c>
      <c r="F41" s="3">
        <f>#REF!</f>
        <v/>
      </c>
      <c r="G41" s="3">
        <f>#REF!</f>
        <v/>
      </c>
      <c r="H41" s="3">
        <f>#REF!</f>
        <v/>
      </c>
      <c r="I41" s="3">
        <f>#REF!</f>
        <v/>
      </c>
      <c r="J41" s="10">
        <f>#REF!</f>
        <v/>
      </c>
      <c r="K41" s="20">
        <f>#REF!</f>
        <v/>
      </c>
      <c r="L41" s="3">
        <f>#REF!</f>
        <v/>
      </c>
      <c r="M41" s="3">
        <f>#REF!</f>
        <v/>
      </c>
      <c r="N41" s="3">
        <f>#REF!</f>
        <v/>
      </c>
      <c r="O41" s="3">
        <f>#REF!</f>
        <v/>
      </c>
      <c r="P41" s="10">
        <f>#REF!</f>
        <v/>
      </c>
      <c r="Q41" s="20">
        <f>#REF!</f>
        <v/>
      </c>
      <c r="R41" s="3">
        <f>#REF!</f>
        <v/>
      </c>
      <c r="S41" s="3">
        <f>#REF!</f>
        <v/>
      </c>
      <c r="T41" s="3">
        <f>#REF!</f>
        <v/>
      </c>
      <c r="U41" s="3">
        <f>#REF!</f>
        <v/>
      </c>
      <c r="V41" s="10">
        <f>#REF!</f>
        <v/>
      </c>
      <c r="W41" s="20">
        <f>#REF!</f>
        <v/>
      </c>
      <c r="X41" s="3">
        <f>#REF!</f>
        <v/>
      </c>
      <c r="Y41" s="3">
        <f>#REF!</f>
        <v/>
      </c>
      <c r="Z41" s="10">
        <f>#REF!</f>
        <v/>
      </c>
    </row>
    <row r="42" ht="24.9" customHeight="1" s="141">
      <c r="B42" s="131" t="n">
        <v>23</v>
      </c>
      <c r="C42" s="28" t="n"/>
      <c r="D42" s="37" t="n"/>
      <c r="E42" s="20">
        <f>#REF!</f>
        <v/>
      </c>
      <c r="F42" s="3">
        <f>#REF!</f>
        <v/>
      </c>
      <c r="G42" s="3">
        <f>#REF!</f>
        <v/>
      </c>
      <c r="H42" s="3">
        <f>#REF!</f>
        <v/>
      </c>
      <c r="I42" s="3">
        <f>#REF!</f>
        <v/>
      </c>
      <c r="J42" s="10">
        <f>#REF!</f>
        <v/>
      </c>
      <c r="K42" s="20">
        <f>#REF!</f>
        <v/>
      </c>
      <c r="L42" s="3">
        <f>#REF!</f>
        <v/>
      </c>
      <c r="M42" s="3">
        <f>#REF!</f>
        <v/>
      </c>
      <c r="N42" s="3">
        <f>#REF!</f>
        <v/>
      </c>
      <c r="O42" s="3">
        <f>#REF!</f>
        <v/>
      </c>
      <c r="P42" s="10">
        <f>#REF!</f>
        <v/>
      </c>
      <c r="Q42" s="20">
        <f>#REF!</f>
        <v/>
      </c>
      <c r="R42" s="3">
        <f>#REF!</f>
        <v/>
      </c>
      <c r="S42" s="3">
        <f>#REF!</f>
        <v/>
      </c>
      <c r="T42" s="3">
        <f>#REF!</f>
        <v/>
      </c>
      <c r="U42" s="3">
        <f>#REF!</f>
        <v/>
      </c>
      <c r="V42" s="10">
        <f>#REF!</f>
        <v/>
      </c>
      <c r="W42" s="20">
        <f>#REF!</f>
        <v/>
      </c>
      <c r="X42" s="3">
        <f>#REF!</f>
        <v/>
      </c>
      <c r="Y42" s="3">
        <f>#REF!</f>
        <v/>
      </c>
      <c r="Z42" s="10">
        <f>#REF!</f>
        <v/>
      </c>
    </row>
    <row r="43" ht="24.9" customHeight="1" s="141">
      <c r="B43" s="131" t="n">
        <v>24</v>
      </c>
      <c r="C43" s="28" t="n"/>
      <c r="D43" s="37" t="n"/>
      <c r="E43" s="20">
        <f>#REF!</f>
        <v/>
      </c>
      <c r="F43" s="3">
        <f>#REF!</f>
        <v/>
      </c>
      <c r="G43" s="3">
        <f>#REF!</f>
        <v/>
      </c>
      <c r="H43" s="3">
        <f>#REF!</f>
        <v/>
      </c>
      <c r="I43" s="3">
        <f>#REF!</f>
        <v/>
      </c>
      <c r="J43" s="10">
        <f>#REF!</f>
        <v/>
      </c>
      <c r="K43" s="20">
        <f>#REF!</f>
        <v/>
      </c>
      <c r="L43" s="3">
        <f>#REF!</f>
        <v/>
      </c>
      <c r="M43" s="3">
        <f>#REF!</f>
        <v/>
      </c>
      <c r="N43" s="3">
        <f>#REF!</f>
        <v/>
      </c>
      <c r="O43" s="3">
        <f>#REF!</f>
        <v/>
      </c>
      <c r="P43" s="10">
        <f>#REF!</f>
        <v/>
      </c>
      <c r="Q43" s="20">
        <f>#REF!</f>
        <v/>
      </c>
      <c r="R43" s="3">
        <f>#REF!</f>
        <v/>
      </c>
      <c r="S43" s="3">
        <f>#REF!</f>
        <v/>
      </c>
      <c r="T43" s="3">
        <f>#REF!</f>
        <v/>
      </c>
      <c r="U43" s="3">
        <f>#REF!</f>
        <v/>
      </c>
      <c r="V43" s="10">
        <f>#REF!</f>
        <v/>
      </c>
      <c r="W43" s="20">
        <f>#REF!</f>
        <v/>
      </c>
      <c r="X43" s="3">
        <f>#REF!</f>
        <v/>
      </c>
      <c r="Y43" s="3">
        <f>#REF!</f>
        <v/>
      </c>
      <c r="Z43" s="10">
        <f>#REF!</f>
        <v/>
      </c>
    </row>
    <row r="44" ht="24.9" customHeight="1" s="141" thickBot="1">
      <c r="B44" s="132" t="n">
        <v>25</v>
      </c>
      <c r="C44" s="133" t="n"/>
      <c r="D44" s="134" t="n"/>
      <c r="E44" s="167">
        <f>#REF!</f>
        <v/>
      </c>
      <c r="F44" s="168">
        <f>#REF!</f>
        <v/>
      </c>
      <c r="G44" s="168">
        <f>#REF!</f>
        <v/>
      </c>
      <c r="H44" s="168">
        <f>#REF!</f>
        <v/>
      </c>
      <c r="I44" s="168">
        <f>#REF!</f>
        <v/>
      </c>
      <c r="J44" s="169">
        <f>#REF!</f>
        <v/>
      </c>
      <c r="K44" s="167">
        <f>#REF!</f>
        <v/>
      </c>
      <c r="L44" s="168">
        <f>#REF!</f>
        <v/>
      </c>
      <c r="M44" s="168">
        <f>#REF!</f>
        <v/>
      </c>
      <c r="N44" s="168">
        <f>#REF!</f>
        <v/>
      </c>
      <c r="O44" s="168">
        <f>#REF!</f>
        <v/>
      </c>
      <c r="P44" s="169">
        <f>#REF!</f>
        <v/>
      </c>
      <c r="Q44" s="167">
        <f>#REF!</f>
        <v/>
      </c>
      <c r="R44" s="168">
        <f>#REF!</f>
        <v/>
      </c>
      <c r="S44" s="168">
        <f>#REF!</f>
        <v/>
      </c>
      <c r="T44" s="168">
        <f>#REF!</f>
        <v/>
      </c>
      <c r="U44" s="168">
        <f>#REF!</f>
        <v/>
      </c>
      <c r="V44" s="169">
        <f>#REF!</f>
        <v/>
      </c>
      <c r="W44" s="167">
        <f>#REF!</f>
        <v/>
      </c>
      <c r="X44" s="168">
        <f>#REF!</f>
        <v/>
      </c>
      <c r="Y44" s="168">
        <f>#REF!</f>
        <v/>
      </c>
      <c r="Z44" s="169">
        <f>#REF!</f>
        <v/>
      </c>
    </row>
    <row r="45" ht="24.9" customHeight="1" s="141" thickBot="1">
      <c r="B45" s="244" t="inlineStr">
        <is>
          <t>Среднее (тыс.шт/га; см; м; лет)</t>
        </is>
      </c>
      <c r="C45" s="245" t="n"/>
      <c r="D45" s="246" t="n"/>
      <c r="E45" s="190">
        <f>#REF!</f>
        <v/>
      </c>
      <c r="F45" s="191">
        <f>#REF!</f>
        <v/>
      </c>
      <c r="G45" s="191">
        <f>#REF!</f>
        <v/>
      </c>
      <c r="H45" s="191">
        <f>#REF!</f>
        <v/>
      </c>
      <c r="I45" s="191">
        <f>#REF!</f>
        <v/>
      </c>
      <c r="J45" s="192">
        <f>#REF!</f>
        <v/>
      </c>
      <c r="K45" s="190">
        <f>#REF!</f>
        <v/>
      </c>
      <c r="L45" s="191">
        <f>#REF!</f>
        <v/>
      </c>
      <c r="M45" s="191">
        <f>#REF!</f>
        <v/>
      </c>
      <c r="N45" s="191">
        <f>#REF!</f>
        <v/>
      </c>
      <c r="O45" s="191">
        <f>#REF!</f>
        <v/>
      </c>
      <c r="P45" s="192">
        <f>#REF!</f>
        <v/>
      </c>
      <c r="Q45" s="190">
        <f>#REF!</f>
        <v/>
      </c>
      <c r="R45" s="191">
        <f>#REF!</f>
        <v/>
      </c>
      <c r="S45" s="191">
        <f>#REF!</f>
        <v/>
      </c>
      <c r="T45" s="191">
        <f>#REF!</f>
        <v/>
      </c>
      <c r="U45" s="191">
        <f>#REF!</f>
        <v/>
      </c>
      <c r="V45" s="192">
        <f>#REF!</f>
        <v/>
      </c>
      <c r="W45" s="190">
        <f>#REF!</f>
        <v/>
      </c>
      <c r="X45" s="191">
        <f>#REF!</f>
        <v/>
      </c>
      <c r="Y45" s="191">
        <f>#REF!</f>
        <v/>
      </c>
      <c r="Z45" s="192">
        <f>#REF!</f>
        <v/>
      </c>
    </row>
    <row r="46" ht="24.9" customHeight="1" s="141" thickBot="1">
      <c r="B46" s="247" t="inlineStr">
        <is>
          <t>H выше 1.5 (метров)</t>
        </is>
      </c>
      <c r="C46" s="248" t="n"/>
      <c r="D46" s="249" t="n"/>
      <c r="E46" s="172">
        <f>#REF!</f>
        <v/>
      </c>
      <c r="F46" s="170">
        <f>#REF!</f>
        <v/>
      </c>
      <c r="G46" s="170">
        <f>#REF!</f>
        <v/>
      </c>
      <c r="H46" s="170">
        <f>#REF!</f>
        <v/>
      </c>
      <c r="I46" s="170">
        <f>#REF!</f>
        <v/>
      </c>
      <c r="J46" s="171">
        <f>#REF!</f>
        <v/>
      </c>
      <c r="K46" s="172">
        <f>#REF!</f>
        <v/>
      </c>
      <c r="L46" s="170">
        <f>#REF!</f>
        <v/>
      </c>
      <c r="M46" s="170">
        <f>#REF!</f>
        <v/>
      </c>
      <c r="N46" s="170">
        <f>#REF!</f>
        <v/>
      </c>
      <c r="O46" s="170">
        <f>#REF!</f>
        <v/>
      </c>
      <c r="P46" s="171">
        <f>#REF!</f>
        <v/>
      </c>
      <c r="Q46" s="172">
        <f>#REF!</f>
        <v/>
      </c>
      <c r="R46" s="170">
        <f>#REF!</f>
        <v/>
      </c>
      <c r="S46" s="170">
        <f>#REF!</f>
        <v/>
      </c>
      <c r="T46" s="170">
        <f>#REF!</f>
        <v/>
      </c>
      <c r="U46" s="170">
        <f>#REF!</f>
        <v/>
      </c>
      <c r="V46" s="171">
        <f>#REF!</f>
        <v/>
      </c>
      <c r="W46" s="172">
        <f>#REF!</f>
        <v/>
      </c>
      <c r="X46" s="170">
        <f>#REF!</f>
        <v/>
      </c>
      <c r="Y46" s="170">
        <f>#REF!</f>
        <v/>
      </c>
      <c r="Z46" s="171">
        <f>#REF!</f>
        <v/>
      </c>
    </row>
    <row r="47" ht="24.9" customHeight="1" s="141"/>
    <row r="48" ht="24.9" customHeight="1" s="141"/>
    <row r="54">
      <c r="C54" s="139" t="n"/>
      <c r="G54" s="123" t="n"/>
      <c r="H54" s="139" t="n"/>
      <c r="I54" s="139" t="n"/>
      <c r="J54" s="139" t="n"/>
      <c r="K54" s="139" t="n"/>
    </row>
    <row r="55">
      <c r="C55" s="139" t="n"/>
      <c r="G55" s="123" t="n"/>
      <c r="H55" s="139" t="n"/>
      <c r="I55" s="139" t="n"/>
      <c r="J55" s="139" t="n"/>
      <c r="K55" s="139" t="n"/>
    </row>
    <row r="56">
      <c r="C56" s="139" t="n"/>
      <c r="G56" s="123" t="n"/>
      <c r="H56" s="139" t="n"/>
      <c r="I56" s="139" t="n"/>
      <c r="J56" s="139" t="n"/>
      <c r="K56" s="139" t="n"/>
    </row>
    <row r="57">
      <c r="C57" s="139" t="n"/>
      <c r="G57" s="123" t="n"/>
      <c r="H57" s="139" t="n"/>
      <c r="I57" s="139" t="n"/>
      <c r="J57" s="139" t="n"/>
      <c r="K57" s="139" t="n"/>
    </row>
    <row r="58">
      <c r="C58" s="139" t="n"/>
      <c r="G58" s="123" t="n"/>
      <c r="H58" s="139" t="n"/>
      <c r="I58" s="139" t="n"/>
      <c r="J58" s="139" t="n"/>
      <c r="K58" s="139" t="n"/>
    </row>
    <row r="59">
      <c r="C59" s="139" t="n"/>
      <c r="G59" s="123" t="n"/>
      <c r="H59" s="139" t="n"/>
      <c r="I59" s="139" t="n"/>
      <c r="J59" s="139" t="n"/>
      <c r="K59" s="139" t="n"/>
    </row>
    <row r="60">
      <c r="C60" s="139" t="n"/>
      <c r="G60" s="123" t="n"/>
      <c r="H60" s="139" t="n"/>
      <c r="I60" s="139" t="n"/>
      <c r="J60" s="139" t="n"/>
      <c r="K60" s="139" t="n"/>
    </row>
    <row r="61">
      <c r="C61" s="139" t="n"/>
      <c r="G61" s="123" t="n"/>
      <c r="H61" s="139" t="n"/>
      <c r="I61" s="139" t="n"/>
      <c r="J61" s="139" t="n"/>
      <c r="K61" s="139" t="n"/>
    </row>
    <row r="62">
      <c r="C62" s="139" t="n"/>
      <c r="G62" s="123" t="n"/>
      <c r="H62" s="139" t="n"/>
      <c r="I62" s="139" t="n"/>
      <c r="J62" s="139" t="n"/>
      <c r="K62" s="139" t="n"/>
    </row>
    <row r="63">
      <c r="C63" s="139" t="n"/>
      <c r="G63" s="123" t="n"/>
      <c r="H63" s="139" t="n"/>
      <c r="I63" s="139" t="n"/>
      <c r="J63" s="139" t="n"/>
      <c r="K63" s="139" t="n"/>
    </row>
    <row r="64">
      <c r="J64" s="139" t="n"/>
      <c r="K64" s="139" t="n"/>
    </row>
    <row r="65">
      <c r="J65" s="139" t="n"/>
      <c r="K65" s="139" t="n"/>
    </row>
    <row r="66">
      <c r="C66" s="139" t="n"/>
      <c r="G66" s="123" t="n"/>
      <c r="H66" s="123" t="n"/>
      <c r="I66" s="123" t="n"/>
      <c r="J66" s="123" t="n"/>
      <c r="K66" s="139" t="n"/>
    </row>
  </sheetData>
  <mergeCells count="7">
    <mergeCell ref="W18:Z18"/>
    <mergeCell ref="B45:D45"/>
    <mergeCell ref="B46:D46"/>
    <mergeCell ref="Q18:V18"/>
    <mergeCell ref="E18:J18"/>
    <mergeCell ref="K18:P18"/>
    <mergeCell ref="C18:D18"/>
  </mergeCells>
  <pageMargins left="0.2362204724409449" right="0.2362204724409449" top="0.5511811023622047" bottom="0.5511811023622047" header="0" footer="0"/>
  <pageSetup orientation="landscape" paperSize="9" scale="58" fitToHeight="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B16:X66"/>
  <sheetViews>
    <sheetView showZeros="0" topLeftCell="A16" zoomScale="70" zoomScaleNormal="70" workbookViewId="0">
      <selection activeCell="F21" sqref="F21"/>
    </sheetView>
  </sheetViews>
  <sheetFormatPr baseColWidth="8" defaultRowHeight="14.4"/>
  <cols>
    <col width="9.109375" customWidth="1" style="141" min="4" max="4"/>
    <col width="9.88671875" bestFit="1" customWidth="1" style="141" min="5" max="20"/>
  </cols>
  <sheetData>
    <row r="16" ht="24.9" customHeight="1" s="141">
      <c r="B16" s="127" t="inlineStr">
        <is>
          <t>Перечётная ведомость № _1___    литер _б__   Кв. __113___        Выд. _16___          Радиус ПП, м __3.99____              Измерения выполнил: __Богачёв П.В._______    Дата, подпись _____11.06.2023______________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</row>
    <row r="17" ht="24.9" customHeight="1" s="141" thickBot="1"/>
    <row r="18" ht="24.9" customHeight="1" s="141" thickBot="1" thickTop="1">
      <c r="B18" s="1" t="inlineStr">
        <is>
          <t>Пор.</t>
        </is>
      </c>
      <c r="C18" s="236" t="inlineStr">
        <is>
          <t>Площадка</t>
        </is>
      </c>
      <c r="D18" s="238" t="n"/>
      <c r="E18" s="239" t="inlineStr">
        <is>
          <t>Осина</t>
        </is>
      </c>
      <c r="F18" s="237" t="n"/>
      <c r="G18" s="237" t="n"/>
      <c r="H18" s="238" t="n"/>
      <c r="I18" s="239" t="inlineStr">
        <is>
          <t>Ольха серая</t>
        </is>
      </c>
      <c r="J18" s="237" t="n"/>
      <c r="K18" s="237" t="n"/>
      <c r="L18" s="238" t="n"/>
      <c r="M18" s="239" t="inlineStr">
        <is>
          <t>Ива</t>
        </is>
      </c>
      <c r="N18" s="237" t="n"/>
      <c r="O18" s="237" t="n"/>
      <c r="P18" s="238" t="n"/>
      <c r="Q18" s="239" t="inlineStr">
        <is>
          <t>Чёрёмуха, Рябина</t>
        </is>
      </c>
      <c r="R18" s="237" t="n"/>
      <c r="S18" s="237" t="n"/>
      <c r="T18" s="238" t="n"/>
      <c r="U18" s="239">
        <f>#REF!</f>
        <v/>
      </c>
      <c r="V18" s="237" t="n"/>
      <c r="W18" s="237" t="n"/>
      <c r="X18" s="238" t="n"/>
    </row>
    <row r="19" ht="24.9" customHeight="1" s="141" thickBot="1">
      <c r="B19" s="31" t="inlineStr">
        <is>
          <t>NN</t>
        </is>
      </c>
      <c r="C19" s="25" t="inlineStr">
        <is>
          <t>GPS точка</t>
        </is>
      </c>
      <c r="D19" s="68" t="inlineStr">
        <is>
          <t>ТЛ/ТУМ</t>
        </is>
      </c>
      <c r="E19" s="25" t="inlineStr">
        <is>
          <t>Кол-во</t>
        </is>
      </c>
      <c r="F19" s="42" t="inlineStr">
        <is>
          <t>D, см</t>
        </is>
      </c>
      <c r="G19" s="43" t="inlineStr">
        <is>
          <t>h, м</t>
        </is>
      </c>
      <c r="H19" s="26" t="inlineStr">
        <is>
          <t>A, лет</t>
        </is>
      </c>
      <c r="I19" s="25" t="inlineStr">
        <is>
          <t>Кол-во</t>
        </is>
      </c>
      <c r="J19" s="42" t="inlineStr">
        <is>
          <t>D, см</t>
        </is>
      </c>
      <c r="K19" s="43" t="inlineStr">
        <is>
          <t>h, м</t>
        </is>
      </c>
      <c r="L19" s="26" t="inlineStr">
        <is>
          <t>A, лет</t>
        </is>
      </c>
      <c r="M19" s="25" t="inlineStr">
        <is>
          <t>Кол-во</t>
        </is>
      </c>
      <c r="N19" s="42" t="inlineStr">
        <is>
          <t>D, см</t>
        </is>
      </c>
      <c r="O19" s="43" t="inlineStr">
        <is>
          <t>h, м</t>
        </is>
      </c>
      <c r="P19" s="26" t="inlineStr">
        <is>
          <t>A, лет</t>
        </is>
      </c>
      <c r="Q19" s="25" t="inlineStr">
        <is>
          <t>Кол-во</t>
        </is>
      </c>
      <c r="R19" s="42" t="inlineStr">
        <is>
          <t>D, см</t>
        </is>
      </c>
      <c r="S19" s="43" t="inlineStr">
        <is>
          <t>h, м</t>
        </is>
      </c>
      <c r="T19" s="26" t="inlineStr">
        <is>
          <t>A, лет</t>
        </is>
      </c>
      <c r="U19" s="25" t="inlineStr">
        <is>
          <t>Кол-во</t>
        </is>
      </c>
      <c r="V19" s="42" t="inlineStr">
        <is>
          <t>D, см</t>
        </is>
      </c>
      <c r="W19" s="43" t="inlineStr">
        <is>
          <t>h, м</t>
        </is>
      </c>
      <c r="X19" s="26" t="inlineStr">
        <is>
          <t>A, лет</t>
        </is>
      </c>
    </row>
    <row r="20" ht="24.9" customHeight="1" s="141">
      <c r="B20" s="129" t="n">
        <v>1</v>
      </c>
      <c r="C20" s="130" t="n">
        <v>692</v>
      </c>
      <c r="D20" s="8" t="inlineStr">
        <is>
          <t>ЧС/В2</t>
        </is>
      </c>
      <c r="E20" s="130">
        <f>#REF!</f>
        <v/>
      </c>
      <c r="F20" s="7">
        <f>#REF!</f>
        <v/>
      </c>
      <c r="G20" s="7">
        <f>#REF!</f>
        <v/>
      </c>
      <c r="H20" s="8">
        <f>#REF!</f>
        <v/>
      </c>
      <c r="I20" s="27">
        <f>#REF!</f>
        <v/>
      </c>
      <c r="J20" s="40">
        <f>#REF!</f>
        <v/>
      </c>
      <c r="K20" s="40">
        <f>#REF!</f>
        <v/>
      </c>
      <c r="L20" s="69">
        <f>#REF!</f>
        <v/>
      </c>
      <c r="M20" s="130">
        <f>#REF!</f>
        <v/>
      </c>
      <c r="N20" s="7">
        <f>#REF!</f>
        <v/>
      </c>
      <c r="O20" s="7">
        <f>#REF!</f>
        <v/>
      </c>
      <c r="P20" s="8">
        <f>#REF!</f>
        <v/>
      </c>
      <c r="Q20" s="27">
        <f>#REF!+#REF!</f>
        <v/>
      </c>
      <c r="R20" s="27">
        <f>((IF(#REF!=0,#REF!,#REF!))+(IF(#REF!=0,#REF!,#REF!)))/2</f>
        <v/>
      </c>
      <c r="S20" s="27">
        <f>((IF(#REF!=0,#REF!,#REF!))+(IF(#REF!=0,#REF!,#REF!)))/2</f>
        <v/>
      </c>
      <c r="T20" s="87">
        <f>((IF(#REF!=0,#REF!,#REF!))+(IF(#REF!=0,#REF!,#REF!)))/2</f>
        <v/>
      </c>
      <c r="U20" s="130">
        <f>#REF!</f>
        <v/>
      </c>
      <c r="V20" s="7">
        <f>#REF!</f>
        <v/>
      </c>
      <c r="W20" s="7">
        <f>#REF!</f>
        <v/>
      </c>
      <c r="X20" s="8">
        <f>#REF!</f>
        <v/>
      </c>
    </row>
    <row r="21" ht="24.9" customHeight="1" s="141">
      <c r="B21" s="131" t="n">
        <v>2</v>
      </c>
      <c r="C21" s="20" t="n">
        <v>693</v>
      </c>
      <c r="D21" s="10" t="inlineStr">
        <is>
          <t>ЧС/В2</t>
        </is>
      </c>
      <c r="E21" s="23">
        <f>#REF!</f>
        <v/>
      </c>
      <c r="F21" s="40">
        <f>#REF!</f>
        <v/>
      </c>
      <c r="G21" s="40">
        <f>#REF!</f>
        <v/>
      </c>
      <c r="H21" s="24">
        <f>#REF!</f>
        <v/>
      </c>
      <c r="I21" s="27">
        <f>#REF!</f>
        <v/>
      </c>
      <c r="J21" s="40">
        <f>#REF!</f>
        <v/>
      </c>
      <c r="K21" s="40">
        <f>#REF!</f>
        <v/>
      </c>
      <c r="L21" s="69">
        <f>#REF!</f>
        <v/>
      </c>
      <c r="M21" s="23">
        <f>#REF!</f>
        <v/>
      </c>
      <c r="N21" s="40">
        <f>#REF!</f>
        <v/>
      </c>
      <c r="O21" s="40">
        <f>#REF!</f>
        <v/>
      </c>
      <c r="P21" s="24">
        <f>#REF!</f>
        <v/>
      </c>
      <c r="Q21" s="27">
        <f>#REF!+#REF!</f>
        <v/>
      </c>
      <c r="R21" s="27">
        <f>((IF(#REF!=0,#REF!,#REF!))+(IF(#REF!=0,#REF!,#REF!)))/2</f>
        <v/>
      </c>
      <c r="S21" s="27">
        <f>((IF(#REF!=0,#REF!,#REF!))+(IF(#REF!=0,#REF!,#REF!)))/2</f>
        <v/>
      </c>
      <c r="T21" s="87">
        <f>((IF(#REF!=0,#REF!,#REF!))+(IF(#REF!=0,#REF!,#REF!)))/2</f>
        <v/>
      </c>
      <c r="U21" s="23">
        <f>#REF!</f>
        <v/>
      </c>
      <c r="V21" s="40">
        <f>#REF!</f>
        <v/>
      </c>
      <c r="W21" s="40">
        <f>#REF!</f>
        <v/>
      </c>
      <c r="X21" s="24">
        <f>#REF!</f>
        <v/>
      </c>
    </row>
    <row r="22" ht="24.9" customHeight="1" s="141">
      <c r="B22" s="131" t="n">
        <v>3</v>
      </c>
      <c r="C22" s="20" t="n">
        <v>694</v>
      </c>
      <c r="D22" s="10" t="inlineStr">
        <is>
          <t>ЧС/В2</t>
        </is>
      </c>
      <c r="E22" s="23">
        <f>#REF!</f>
        <v/>
      </c>
      <c r="F22" s="40">
        <f>#REF!</f>
        <v/>
      </c>
      <c r="G22" s="40">
        <f>#REF!</f>
        <v/>
      </c>
      <c r="H22" s="24">
        <f>#REF!</f>
        <v/>
      </c>
      <c r="I22" s="27">
        <f>#REF!</f>
        <v/>
      </c>
      <c r="J22" s="40">
        <f>#REF!</f>
        <v/>
      </c>
      <c r="K22" s="40">
        <f>#REF!</f>
        <v/>
      </c>
      <c r="L22" s="69">
        <f>#REF!</f>
        <v/>
      </c>
      <c r="M22" s="23">
        <f>#REF!</f>
        <v/>
      </c>
      <c r="N22" s="40">
        <f>#REF!</f>
        <v/>
      </c>
      <c r="O22" s="40">
        <f>#REF!</f>
        <v/>
      </c>
      <c r="P22" s="24">
        <f>#REF!</f>
        <v/>
      </c>
      <c r="Q22" s="27">
        <f>#REF!+#REF!</f>
        <v/>
      </c>
      <c r="R22" s="27">
        <f>((IF(#REF!=0,#REF!,#REF!))+(IF(#REF!=0,#REF!,#REF!)))/2</f>
        <v/>
      </c>
      <c r="S22" s="27">
        <f>((IF(#REF!=0,#REF!,#REF!))+(IF(#REF!=0,#REF!,#REF!)))/2</f>
        <v/>
      </c>
      <c r="T22" s="87">
        <f>((IF(#REF!=0,#REF!,#REF!))+(IF(#REF!=0,#REF!,#REF!)))/2</f>
        <v/>
      </c>
      <c r="U22" s="23">
        <f>#REF!</f>
        <v/>
      </c>
      <c r="V22" s="40">
        <f>#REF!</f>
        <v/>
      </c>
      <c r="W22" s="40">
        <f>#REF!</f>
        <v/>
      </c>
      <c r="X22" s="24">
        <f>#REF!</f>
        <v/>
      </c>
    </row>
    <row r="23" ht="24.9" customHeight="1" s="141">
      <c r="B23" s="131" t="n">
        <v>4</v>
      </c>
      <c r="C23" s="23" t="n">
        <v>695</v>
      </c>
      <c r="D23" s="10" t="inlineStr">
        <is>
          <t>ЧС/В2</t>
        </is>
      </c>
      <c r="E23" s="23">
        <f>#REF!</f>
        <v/>
      </c>
      <c r="F23" s="40">
        <f>#REF!</f>
        <v/>
      </c>
      <c r="G23" s="40">
        <f>#REF!</f>
        <v/>
      </c>
      <c r="H23" s="24">
        <f>#REF!</f>
        <v/>
      </c>
      <c r="I23" s="27">
        <f>#REF!</f>
        <v/>
      </c>
      <c r="J23" s="40">
        <f>#REF!</f>
        <v/>
      </c>
      <c r="K23" s="40">
        <f>#REF!</f>
        <v/>
      </c>
      <c r="L23" s="69">
        <f>#REF!</f>
        <v/>
      </c>
      <c r="M23" s="23">
        <f>#REF!</f>
        <v/>
      </c>
      <c r="N23" s="40">
        <f>#REF!</f>
        <v/>
      </c>
      <c r="O23" s="40">
        <f>#REF!</f>
        <v/>
      </c>
      <c r="P23" s="24">
        <f>#REF!</f>
        <v/>
      </c>
      <c r="Q23" s="27">
        <f>#REF!+#REF!</f>
        <v/>
      </c>
      <c r="R23" s="27">
        <f>((IF(#REF!=0,#REF!,#REF!))+(IF(#REF!=0,#REF!,#REF!)))/2</f>
        <v/>
      </c>
      <c r="S23" s="27">
        <f>((IF(#REF!=0,#REF!,#REF!))+(IF(#REF!=0,#REF!,#REF!)))/2</f>
        <v/>
      </c>
      <c r="T23" s="87">
        <f>((IF(#REF!=0,#REF!,#REF!))+(IF(#REF!=0,#REF!,#REF!)))/2</f>
        <v/>
      </c>
      <c r="U23" s="23">
        <f>#REF!</f>
        <v/>
      </c>
      <c r="V23" s="40">
        <f>#REF!</f>
        <v/>
      </c>
      <c r="W23" s="40">
        <f>#REF!</f>
        <v/>
      </c>
      <c r="X23" s="24">
        <f>#REF!</f>
        <v/>
      </c>
    </row>
    <row r="24" ht="24.9" customHeight="1" s="141">
      <c r="B24" s="131" t="n">
        <v>5</v>
      </c>
      <c r="C24" s="20" t="n">
        <v>696</v>
      </c>
      <c r="D24" s="10" t="inlineStr">
        <is>
          <t>ДМ/В4</t>
        </is>
      </c>
      <c r="E24" s="23">
        <f>#REF!</f>
        <v/>
      </c>
      <c r="F24" s="40">
        <f>#REF!</f>
        <v/>
      </c>
      <c r="G24" s="40">
        <f>#REF!</f>
        <v/>
      </c>
      <c r="H24" s="24">
        <f>#REF!</f>
        <v/>
      </c>
      <c r="I24" s="27">
        <f>#REF!</f>
        <v/>
      </c>
      <c r="J24" s="40">
        <f>#REF!</f>
        <v/>
      </c>
      <c r="K24" s="40">
        <f>#REF!</f>
        <v/>
      </c>
      <c r="L24" s="69">
        <f>#REF!</f>
        <v/>
      </c>
      <c r="M24" s="23">
        <f>#REF!</f>
        <v/>
      </c>
      <c r="N24" s="40">
        <f>#REF!</f>
        <v/>
      </c>
      <c r="O24" s="40">
        <f>#REF!</f>
        <v/>
      </c>
      <c r="P24" s="24">
        <f>#REF!</f>
        <v/>
      </c>
      <c r="Q24" s="27">
        <f>#REF!+#REF!</f>
        <v/>
      </c>
      <c r="R24" s="27">
        <f>((IF(#REF!=0,#REF!,#REF!))+(IF(#REF!=0,#REF!,#REF!)))/2</f>
        <v/>
      </c>
      <c r="S24" s="27">
        <f>((IF(#REF!=0,#REF!,#REF!))+(IF(#REF!=0,#REF!,#REF!)))/2</f>
        <v/>
      </c>
      <c r="T24" s="87">
        <f>((IF(#REF!=0,#REF!,#REF!))+(IF(#REF!=0,#REF!,#REF!)))/2</f>
        <v/>
      </c>
      <c r="U24" s="23">
        <f>#REF!</f>
        <v/>
      </c>
      <c r="V24" s="40">
        <f>#REF!</f>
        <v/>
      </c>
      <c r="W24" s="40">
        <f>#REF!</f>
        <v/>
      </c>
      <c r="X24" s="24">
        <f>#REF!</f>
        <v/>
      </c>
    </row>
    <row r="25" ht="24.9" customHeight="1" s="141">
      <c r="B25" s="131" t="n">
        <v>6</v>
      </c>
      <c r="C25" s="20" t="n">
        <v>697</v>
      </c>
      <c r="D25" s="10" t="inlineStr">
        <is>
          <t>ЧС/В2</t>
        </is>
      </c>
      <c r="E25" s="23">
        <f>#REF!</f>
        <v/>
      </c>
      <c r="F25" s="40">
        <f>#REF!</f>
        <v/>
      </c>
      <c r="G25" s="40">
        <f>#REF!</f>
        <v/>
      </c>
      <c r="H25" s="24">
        <f>#REF!</f>
        <v/>
      </c>
      <c r="I25" s="27">
        <f>#REF!</f>
        <v/>
      </c>
      <c r="J25" s="40">
        <f>#REF!</f>
        <v/>
      </c>
      <c r="K25" s="40">
        <f>#REF!</f>
        <v/>
      </c>
      <c r="L25" s="69">
        <f>#REF!</f>
        <v/>
      </c>
      <c r="M25" s="23">
        <f>#REF!</f>
        <v/>
      </c>
      <c r="N25" s="40">
        <f>#REF!</f>
        <v/>
      </c>
      <c r="O25" s="40">
        <f>#REF!</f>
        <v/>
      </c>
      <c r="P25" s="24">
        <f>#REF!</f>
        <v/>
      </c>
      <c r="Q25" s="27">
        <f>#REF!+#REF!</f>
        <v/>
      </c>
      <c r="R25" s="27">
        <f>((IF(#REF!=0,#REF!,#REF!))+(IF(#REF!=0,#REF!,#REF!)))/2</f>
        <v/>
      </c>
      <c r="S25" s="27">
        <f>((IF(#REF!=0,#REF!,#REF!))+(IF(#REF!=0,#REF!,#REF!)))/2</f>
        <v/>
      </c>
      <c r="T25" s="87">
        <f>((IF(#REF!=0,#REF!,#REF!))+(IF(#REF!=0,#REF!,#REF!)))/2</f>
        <v/>
      </c>
      <c r="U25" s="23">
        <f>#REF!</f>
        <v/>
      </c>
      <c r="V25" s="40">
        <f>#REF!</f>
        <v/>
      </c>
      <c r="W25" s="40">
        <f>#REF!</f>
        <v/>
      </c>
      <c r="X25" s="24">
        <f>#REF!</f>
        <v/>
      </c>
    </row>
    <row r="26" ht="24.9" customHeight="1" s="141">
      <c r="B26" s="131" t="n">
        <v>7</v>
      </c>
      <c r="C26" s="23" t="n">
        <v>698</v>
      </c>
      <c r="D26" s="10" t="inlineStr">
        <is>
          <t>ЧС/В2</t>
        </is>
      </c>
      <c r="E26" s="23">
        <f>#REF!</f>
        <v/>
      </c>
      <c r="F26" s="40">
        <f>#REF!</f>
        <v/>
      </c>
      <c r="G26" s="40">
        <f>#REF!</f>
        <v/>
      </c>
      <c r="H26" s="24">
        <f>#REF!</f>
        <v/>
      </c>
      <c r="I26" s="27">
        <f>#REF!</f>
        <v/>
      </c>
      <c r="J26" s="40">
        <f>#REF!</f>
        <v/>
      </c>
      <c r="K26" s="40">
        <f>#REF!</f>
        <v/>
      </c>
      <c r="L26" s="69">
        <f>#REF!</f>
        <v/>
      </c>
      <c r="M26" s="23">
        <f>#REF!</f>
        <v/>
      </c>
      <c r="N26" s="40">
        <f>#REF!</f>
        <v/>
      </c>
      <c r="O26" s="40">
        <f>#REF!</f>
        <v/>
      </c>
      <c r="P26" s="24">
        <f>#REF!</f>
        <v/>
      </c>
      <c r="Q26" s="27">
        <f>#REF!+#REF!</f>
        <v/>
      </c>
      <c r="R26" s="27">
        <f>((IF(#REF!=0,#REF!,#REF!))+(IF(#REF!=0,#REF!,#REF!)))/2</f>
        <v/>
      </c>
      <c r="S26" s="27">
        <f>((IF(#REF!=0,#REF!,#REF!))+(IF(#REF!=0,#REF!,#REF!)))/2</f>
        <v/>
      </c>
      <c r="T26" s="87">
        <f>((IF(#REF!=0,#REF!,#REF!))+(IF(#REF!=0,#REF!,#REF!)))/2</f>
        <v/>
      </c>
      <c r="U26" s="23">
        <f>#REF!</f>
        <v/>
      </c>
      <c r="V26" s="40">
        <f>#REF!</f>
        <v/>
      </c>
      <c r="W26" s="40">
        <f>#REF!</f>
        <v/>
      </c>
      <c r="X26" s="24">
        <f>#REF!</f>
        <v/>
      </c>
    </row>
    <row r="27" ht="24.9" customHeight="1" s="141">
      <c r="B27" s="131" t="n">
        <v>8</v>
      </c>
      <c r="C27" s="20" t="n">
        <v>699</v>
      </c>
      <c r="D27" s="10" t="inlineStr">
        <is>
          <t>ЧС/В2</t>
        </is>
      </c>
      <c r="E27" s="23">
        <f>#REF!</f>
        <v/>
      </c>
      <c r="F27" s="40">
        <f>#REF!</f>
        <v/>
      </c>
      <c r="G27" s="40">
        <f>#REF!</f>
        <v/>
      </c>
      <c r="H27" s="24">
        <f>#REF!</f>
        <v/>
      </c>
      <c r="I27" s="27">
        <f>#REF!</f>
        <v/>
      </c>
      <c r="J27" s="40">
        <f>#REF!</f>
        <v/>
      </c>
      <c r="K27" s="40">
        <f>#REF!</f>
        <v/>
      </c>
      <c r="L27" s="69">
        <f>#REF!</f>
        <v/>
      </c>
      <c r="M27" s="23">
        <f>#REF!</f>
        <v/>
      </c>
      <c r="N27" s="40">
        <f>#REF!</f>
        <v/>
      </c>
      <c r="O27" s="40">
        <f>#REF!</f>
        <v/>
      </c>
      <c r="P27" s="24">
        <f>#REF!</f>
        <v/>
      </c>
      <c r="Q27" s="27">
        <f>#REF!+#REF!</f>
        <v/>
      </c>
      <c r="R27" s="27">
        <f>((IF(#REF!=0,#REF!,#REF!))+(IF(#REF!=0,#REF!,#REF!)))/2</f>
        <v/>
      </c>
      <c r="S27" s="27">
        <f>((IF(#REF!=0,#REF!,#REF!))+(IF(#REF!=0,#REF!,#REF!)))/2</f>
        <v/>
      </c>
      <c r="T27" s="87">
        <f>((IF(#REF!=0,#REF!,#REF!))+(IF(#REF!=0,#REF!,#REF!)))/2</f>
        <v/>
      </c>
      <c r="U27" s="23">
        <f>#REF!</f>
        <v/>
      </c>
      <c r="V27" s="40">
        <f>#REF!</f>
        <v/>
      </c>
      <c r="W27" s="40">
        <f>#REF!</f>
        <v/>
      </c>
      <c r="X27" s="24">
        <f>#REF!</f>
        <v/>
      </c>
    </row>
    <row r="28" ht="24.9" customHeight="1" s="141">
      <c r="B28" s="131" t="n">
        <v>9</v>
      </c>
      <c r="C28" s="20" t="n">
        <v>700</v>
      </c>
      <c r="D28" s="10" t="inlineStr">
        <is>
          <t>ЧС/В2</t>
        </is>
      </c>
      <c r="E28" s="23">
        <f>#REF!</f>
        <v/>
      </c>
      <c r="F28" s="40">
        <f>#REF!</f>
        <v/>
      </c>
      <c r="G28" s="40">
        <f>#REF!</f>
        <v/>
      </c>
      <c r="H28" s="24">
        <f>#REF!</f>
        <v/>
      </c>
      <c r="I28" s="27">
        <f>#REF!</f>
        <v/>
      </c>
      <c r="J28" s="40">
        <f>#REF!</f>
        <v/>
      </c>
      <c r="K28" s="40">
        <f>#REF!</f>
        <v/>
      </c>
      <c r="L28" s="69">
        <f>#REF!</f>
        <v/>
      </c>
      <c r="M28" s="23">
        <f>#REF!</f>
        <v/>
      </c>
      <c r="N28" s="40">
        <f>#REF!</f>
        <v/>
      </c>
      <c r="O28" s="40">
        <f>#REF!</f>
        <v/>
      </c>
      <c r="P28" s="24">
        <f>#REF!</f>
        <v/>
      </c>
      <c r="Q28" s="27">
        <f>#REF!+#REF!</f>
        <v/>
      </c>
      <c r="R28" s="27">
        <f>((IF(#REF!=0,#REF!,#REF!))+(IF(#REF!=0,#REF!,#REF!)))/2</f>
        <v/>
      </c>
      <c r="S28" s="27">
        <f>((IF(#REF!=0,#REF!,#REF!))+(IF(#REF!=0,#REF!,#REF!)))/2</f>
        <v/>
      </c>
      <c r="T28" s="87">
        <f>((IF(#REF!=0,#REF!,#REF!))+(IF(#REF!=0,#REF!,#REF!)))/2</f>
        <v/>
      </c>
      <c r="U28" s="23">
        <f>#REF!</f>
        <v/>
      </c>
      <c r="V28" s="40">
        <f>#REF!</f>
        <v/>
      </c>
      <c r="W28" s="40">
        <f>#REF!</f>
        <v/>
      </c>
      <c r="X28" s="24">
        <f>#REF!</f>
        <v/>
      </c>
    </row>
    <row r="29" ht="24.9" customHeight="1" s="141">
      <c r="B29" s="131" t="n">
        <v>10</v>
      </c>
      <c r="C29" s="23" t="n">
        <v>701</v>
      </c>
      <c r="D29" s="10" t="inlineStr">
        <is>
          <t>ЧС/В2</t>
        </is>
      </c>
      <c r="E29" s="23">
        <f>#REF!</f>
        <v/>
      </c>
      <c r="F29" s="40">
        <f>#REF!</f>
        <v/>
      </c>
      <c r="G29" s="40">
        <f>#REF!</f>
        <v/>
      </c>
      <c r="H29" s="24">
        <f>#REF!</f>
        <v/>
      </c>
      <c r="I29" s="27">
        <f>#REF!</f>
        <v/>
      </c>
      <c r="J29" s="40">
        <f>#REF!</f>
        <v/>
      </c>
      <c r="K29" s="40">
        <f>#REF!</f>
        <v/>
      </c>
      <c r="L29" s="69">
        <f>#REF!</f>
        <v/>
      </c>
      <c r="M29" s="23">
        <f>#REF!</f>
        <v/>
      </c>
      <c r="N29" s="40">
        <f>#REF!</f>
        <v/>
      </c>
      <c r="O29" s="40">
        <f>#REF!</f>
        <v/>
      </c>
      <c r="P29" s="24">
        <f>#REF!</f>
        <v/>
      </c>
      <c r="Q29" s="27">
        <f>#REF!+#REF!</f>
        <v/>
      </c>
      <c r="R29" s="27">
        <f>((IF(#REF!=0,#REF!,#REF!))+(IF(#REF!=0,#REF!,#REF!)))/2</f>
        <v/>
      </c>
      <c r="S29" s="27">
        <f>((IF(#REF!=0,#REF!,#REF!))+(IF(#REF!=0,#REF!,#REF!)))/2</f>
        <v/>
      </c>
      <c r="T29" s="87">
        <f>((IF(#REF!=0,#REF!,#REF!))+(IF(#REF!=0,#REF!,#REF!)))/2</f>
        <v/>
      </c>
      <c r="U29" s="23">
        <f>#REF!</f>
        <v/>
      </c>
      <c r="V29" s="40">
        <f>#REF!</f>
        <v/>
      </c>
      <c r="W29" s="40">
        <f>#REF!</f>
        <v/>
      </c>
      <c r="X29" s="24">
        <f>#REF!</f>
        <v/>
      </c>
    </row>
    <row r="30" ht="24.9" customHeight="1" s="141">
      <c r="B30" s="131" t="n">
        <v>11</v>
      </c>
      <c r="C30" s="20" t="n">
        <v>702</v>
      </c>
      <c r="D30" s="10" t="inlineStr">
        <is>
          <t>ЧС/В2</t>
        </is>
      </c>
      <c r="E30" s="23">
        <f>#REF!</f>
        <v/>
      </c>
      <c r="F30" s="40">
        <f>#REF!</f>
        <v/>
      </c>
      <c r="G30" s="40">
        <f>#REF!</f>
        <v/>
      </c>
      <c r="H30" s="24">
        <f>#REF!</f>
        <v/>
      </c>
      <c r="I30" s="27">
        <f>#REF!</f>
        <v/>
      </c>
      <c r="J30" s="40">
        <f>#REF!</f>
        <v/>
      </c>
      <c r="K30" s="40">
        <f>#REF!</f>
        <v/>
      </c>
      <c r="L30" s="69">
        <f>#REF!</f>
        <v/>
      </c>
      <c r="M30" s="23">
        <f>#REF!</f>
        <v/>
      </c>
      <c r="N30" s="40">
        <f>#REF!</f>
        <v/>
      </c>
      <c r="O30" s="40">
        <f>#REF!</f>
        <v/>
      </c>
      <c r="P30" s="24">
        <f>#REF!</f>
        <v/>
      </c>
      <c r="Q30" s="27">
        <f>#REF!+#REF!</f>
        <v/>
      </c>
      <c r="R30" s="27">
        <f>((IF(#REF!=0,#REF!,#REF!))+(IF(#REF!=0,#REF!,#REF!)))/2</f>
        <v/>
      </c>
      <c r="S30" s="27">
        <f>((IF(#REF!=0,#REF!,#REF!))+(IF(#REF!=0,#REF!,#REF!)))/2</f>
        <v/>
      </c>
      <c r="T30" s="87">
        <f>((IF(#REF!=0,#REF!,#REF!))+(IF(#REF!=0,#REF!,#REF!)))/2</f>
        <v/>
      </c>
      <c r="U30" s="23">
        <f>#REF!</f>
        <v/>
      </c>
      <c r="V30" s="40">
        <f>#REF!</f>
        <v/>
      </c>
      <c r="W30" s="40">
        <f>#REF!</f>
        <v/>
      </c>
      <c r="X30" s="24">
        <f>#REF!</f>
        <v/>
      </c>
    </row>
    <row r="31" ht="24.9" customHeight="1" s="141">
      <c r="B31" s="131" t="n">
        <v>12</v>
      </c>
      <c r="C31" s="20" t="n">
        <v>703</v>
      </c>
      <c r="D31" s="10" t="inlineStr">
        <is>
          <t>ЧС/В2</t>
        </is>
      </c>
      <c r="E31" s="23">
        <f>#REF!</f>
        <v/>
      </c>
      <c r="F31" s="40">
        <f>#REF!</f>
        <v/>
      </c>
      <c r="G31" s="40">
        <f>#REF!</f>
        <v/>
      </c>
      <c r="H31" s="24">
        <f>#REF!</f>
        <v/>
      </c>
      <c r="I31" s="27">
        <f>#REF!</f>
        <v/>
      </c>
      <c r="J31" s="40">
        <f>#REF!</f>
        <v/>
      </c>
      <c r="K31" s="40">
        <f>#REF!</f>
        <v/>
      </c>
      <c r="L31" s="69">
        <f>#REF!</f>
        <v/>
      </c>
      <c r="M31" s="23">
        <f>#REF!</f>
        <v/>
      </c>
      <c r="N31" s="40">
        <f>#REF!</f>
        <v/>
      </c>
      <c r="O31" s="40">
        <f>#REF!</f>
        <v/>
      </c>
      <c r="P31" s="24">
        <f>#REF!</f>
        <v/>
      </c>
      <c r="Q31" s="27">
        <f>#REF!+#REF!</f>
        <v/>
      </c>
      <c r="R31" s="27">
        <f>((IF(#REF!=0,#REF!,#REF!))+(IF(#REF!=0,#REF!,#REF!)))/2</f>
        <v/>
      </c>
      <c r="S31" s="27">
        <f>((IF(#REF!=0,#REF!,#REF!))+(IF(#REF!=0,#REF!,#REF!)))/2</f>
        <v/>
      </c>
      <c r="T31" s="87">
        <f>((IF(#REF!=0,#REF!,#REF!))+(IF(#REF!=0,#REF!,#REF!)))/2</f>
        <v/>
      </c>
      <c r="U31" s="23">
        <f>#REF!</f>
        <v/>
      </c>
      <c r="V31" s="40">
        <f>#REF!</f>
        <v/>
      </c>
      <c r="W31" s="40">
        <f>#REF!</f>
        <v/>
      </c>
      <c r="X31" s="24">
        <f>#REF!</f>
        <v/>
      </c>
    </row>
    <row r="32" ht="24.9" customHeight="1" s="141">
      <c r="B32" s="131" t="n">
        <v>13</v>
      </c>
      <c r="C32" s="20" t="n">
        <v>704</v>
      </c>
      <c r="D32" s="10" t="inlineStr">
        <is>
          <t>ЧС/В2</t>
        </is>
      </c>
      <c r="E32" s="23">
        <f>#REF!</f>
        <v/>
      </c>
      <c r="F32" s="40">
        <f>#REF!</f>
        <v/>
      </c>
      <c r="G32" s="40">
        <f>#REF!</f>
        <v/>
      </c>
      <c r="H32" s="24">
        <f>#REF!</f>
        <v/>
      </c>
      <c r="I32" s="27">
        <f>#REF!</f>
        <v/>
      </c>
      <c r="J32" s="40">
        <f>#REF!</f>
        <v/>
      </c>
      <c r="K32" s="40">
        <f>#REF!</f>
        <v/>
      </c>
      <c r="L32" s="69">
        <f>#REF!</f>
        <v/>
      </c>
      <c r="M32" s="23">
        <f>#REF!</f>
        <v/>
      </c>
      <c r="N32" s="40">
        <f>#REF!</f>
        <v/>
      </c>
      <c r="O32" s="40">
        <f>#REF!</f>
        <v/>
      </c>
      <c r="P32" s="24">
        <f>#REF!</f>
        <v/>
      </c>
      <c r="Q32" s="27">
        <f>#REF!+#REF!</f>
        <v/>
      </c>
      <c r="R32" s="27">
        <f>((IF(#REF!=0,#REF!,#REF!))+(IF(#REF!=0,#REF!,#REF!)))/2</f>
        <v/>
      </c>
      <c r="S32" s="27">
        <f>((IF(#REF!=0,#REF!,#REF!))+(IF(#REF!=0,#REF!,#REF!)))/2</f>
        <v/>
      </c>
      <c r="T32" s="87">
        <f>((IF(#REF!=0,#REF!,#REF!))+(IF(#REF!=0,#REF!,#REF!)))/2</f>
        <v/>
      </c>
      <c r="U32" s="23">
        <f>#REF!</f>
        <v/>
      </c>
      <c r="V32" s="40">
        <f>#REF!</f>
        <v/>
      </c>
      <c r="W32" s="40">
        <f>#REF!</f>
        <v/>
      </c>
      <c r="X32" s="24">
        <f>#REF!</f>
        <v/>
      </c>
    </row>
    <row r="33" ht="24.9" customHeight="1" s="141">
      <c r="B33" s="131" t="n">
        <v>14</v>
      </c>
      <c r="C33" s="20" t="n">
        <v>705</v>
      </c>
      <c r="D33" s="10" t="inlineStr">
        <is>
          <t>ЧС/В2</t>
        </is>
      </c>
      <c r="E33" s="23">
        <f>#REF!</f>
        <v/>
      </c>
      <c r="F33" s="40">
        <f>#REF!</f>
        <v/>
      </c>
      <c r="G33" s="40">
        <f>#REF!</f>
        <v/>
      </c>
      <c r="H33" s="24">
        <f>#REF!</f>
        <v/>
      </c>
      <c r="I33" s="27">
        <f>#REF!</f>
        <v/>
      </c>
      <c r="J33" s="40">
        <f>#REF!</f>
        <v/>
      </c>
      <c r="K33" s="40">
        <f>#REF!</f>
        <v/>
      </c>
      <c r="L33" s="69">
        <f>#REF!</f>
        <v/>
      </c>
      <c r="M33" s="23">
        <f>#REF!</f>
        <v/>
      </c>
      <c r="N33" s="40">
        <f>#REF!</f>
        <v/>
      </c>
      <c r="O33" s="40">
        <f>#REF!</f>
        <v/>
      </c>
      <c r="P33" s="24">
        <f>#REF!</f>
        <v/>
      </c>
      <c r="Q33" s="27">
        <f>#REF!+#REF!</f>
        <v/>
      </c>
      <c r="R33" s="27">
        <f>((IF(#REF!=0,#REF!,#REF!))+(IF(#REF!=0,#REF!,#REF!)))/2</f>
        <v/>
      </c>
      <c r="S33" s="27">
        <f>((IF(#REF!=0,#REF!,#REF!))+(IF(#REF!=0,#REF!,#REF!)))/2</f>
        <v/>
      </c>
      <c r="T33" s="87">
        <f>((IF(#REF!=0,#REF!,#REF!))+(IF(#REF!=0,#REF!,#REF!)))/2</f>
        <v/>
      </c>
      <c r="U33" s="23">
        <f>#REF!</f>
        <v/>
      </c>
      <c r="V33" s="40">
        <f>#REF!</f>
        <v/>
      </c>
      <c r="W33" s="40">
        <f>#REF!</f>
        <v/>
      </c>
      <c r="X33" s="24">
        <f>#REF!</f>
        <v/>
      </c>
    </row>
    <row r="34" ht="24.9" customHeight="1" s="141">
      <c r="B34" s="131" t="n">
        <v>15</v>
      </c>
      <c r="C34" s="20" t="n">
        <v>706</v>
      </c>
      <c r="D34" s="10" t="inlineStr">
        <is>
          <t>ЧС/В2</t>
        </is>
      </c>
      <c r="E34" s="23">
        <f>#REF!</f>
        <v/>
      </c>
      <c r="F34" s="40">
        <f>#REF!</f>
        <v/>
      </c>
      <c r="G34" s="40">
        <f>#REF!</f>
        <v/>
      </c>
      <c r="H34" s="24">
        <f>#REF!</f>
        <v/>
      </c>
      <c r="I34" s="27">
        <f>#REF!</f>
        <v/>
      </c>
      <c r="J34" s="40">
        <f>#REF!</f>
        <v/>
      </c>
      <c r="K34" s="40">
        <f>#REF!</f>
        <v/>
      </c>
      <c r="L34" s="69">
        <f>#REF!</f>
        <v/>
      </c>
      <c r="M34" s="23">
        <f>#REF!</f>
        <v/>
      </c>
      <c r="N34" s="40">
        <f>#REF!</f>
        <v/>
      </c>
      <c r="O34" s="40">
        <f>#REF!</f>
        <v/>
      </c>
      <c r="P34" s="24">
        <f>#REF!</f>
        <v/>
      </c>
      <c r="Q34" s="27">
        <f>#REF!+#REF!</f>
        <v/>
      </c>
      <c r="R34" s="27">
        <f>((IF(#REF!=0,#REF!,#REF!))+(IF(#REF!=0,#REF!,#REF!)))/2</f>
        <v/>
      </c>
      <c r="S34" s="27">
        <f>((IF(#REF!=0,#REF!,#REF!))+(IF(#REF!=0,#REF!,#REF!)))/2</f>
        <v/>
      </c>
      <c r="T34" s="87">
        <f>((IF(#REF!=0,#REF!,#REF!))+(IF(#REF!=0,#REF!,#REF!)))/2</f>
        <v/>
      </c>
      <c r="U34" s="23">
        <f>#REF!</f>
        <v/>
      </c>
      <c r="V34" s="40">
        <f>#REF!</f>
        <v/>
      </c>
      <c r="W34" s="40">
        <f>#REF!</f>
        <v/>
      </c>
      <c r="X34" s="24">
        <f>#REF!</f>
        <v/>
      </c>
    </row>
    <row r="35" ht="24.9" customHeight="1" s="141">
      <c r="B35" s="131" t="n">
        <v>16</v>
      </c>
      <c r="C35" s="20" t="n"/>
      <c r="D35" s="10" t="n"/>
      <c r="E35" s="23">
        <f>#REF!</f>
        <v/>
      </c>
      <c r="F35" s="40">
        <f>#REF!</f>
        <v/>
      </c>
      <c r="G35" s="40">
        <f>#REF!</f>
        <v/>
      </c>
      <c r="H35" s="24">
        <f>#REF!</f>
        <v/>
      </c>
      <c r="I35" s="27">
        <f>#REF!</f>
        <v/>
      </c>
      <c r="J35" s="40">
        <f>#REF!</f>
        <v/>
      </c>
      <c r="K35" s="40">
        <f>#REF!</f>
        <v/>
      </c>
      <c r="L35" s="69">
        <f>#REF!</f>
        <v/>
      </c>
      <c r="M35" s="23">
        <f>#REF!</f>
        <v/>
      </c>
      <c r="N35" s="40">
        <f>#REF!</f>
        <v/>
      </c>
      <c r="O35" s="40">
        <f>#REF!</f>
        <v/>
      </c>
      <c r="P35" s="24">
        <f>#REF!</f>
        <v/>
      </c>
      <c r="Q35" s="27">
        <f>#REF!+#REF!</f>
        <v/>
      </c>
      <c r="R35" s="27">
        <f>((IF(#REF!=0,#REF!,#REF!))+(IF(#REF!=0,#REF!,#REF!)))/2</f>
        <v/>
      </c>
      <c r="S35" s="27">
        <f>((IF(#REF!=0,#REF!,#REF!))+(IF(#REF!=0,#REF!,#REF!)))/2</f>
        <v/>
      </c>
      <c r="T35" s="87">
        <f>((IF(#REF!=0,#REF!,#REF!))+(IF(#REF!=0,#REF!,#REF!)))/2</f>
        <v/>
      </c>
      <c r="U35" s="23">
        <f>#REF!</f>
        <v/>
      </c>
      <c r="V35" s="40">
        <f>#REF!</f>
        <v/>
      </c>
      <c r="W35" s="40">
        <f>#REF!</f>
        <v/>
      </c>
      <c r="X35" s="24">
        <f>#REF!</f>
        <v/>
      </c>
    </row>
    <row r="36" ht="24.9" customHeight="1" s="141">
      <c r="B36" s="131" t="n">
        <v>17</v>
      </c>
      <c r="C36" s="20" t="n"/>
      <c r="D36" s="10" t="n"/>
      <c r="E36" s="23">
        <f>#REF!</f>
        <v/>
      </c>
      <c r="F36" s="40">
        <f>#REF!</f>
        <v/>
      </c>
      <c r="G36" s="40">
        <f>#REF!</f>
        <v/>
      </c>
      <c r="H36" s="24">
        <f>#REF!</f>
        <v/>
      </c>
      <c r="I36" s="27">
        <f>#REF!</f>
        <v/>
      </c>
      <c r="J36" s="40">
        <f>#REF!</f>
        <v/>
      </c>
      <c r="K36" s="40">
        <f>#REF!</f>
        <v/>
      </c>
      <c r="L36" s="69">
        <f>#REF!</f>
        <v/>
      </c>
      <c r="M36" s="23">
        <f>#REF!</f>
        <v/>
      </c>
      <c r="N36" s="40">
        <f>#REF!</f>
        <v/>
      </c>
      <c r="O36" s="40">
        <f>#REF!</f>
        <v/>
      </c>
      <c r="P36" s="24">
        <f>#REF!</f>
        <v/>
      </c>
      <c r="Q36" s="27">
        <f>#REF!+#REF!</f>
        <v/>
      </c>
      <c r="R36" s="27">
        <f>((IF(#REF!=0,#REF!,#REF!))+(IF(#REF!=0,#REF!,#REF!)))/2</f>
        <v/>
      </c>
      <c r="S36" s="27">
        <f>((IF(#REF!=0,#REF!,#REF!))+(IF(#REF!=0,#REF!,#REF!)))/2</f>
        <v/>
      </c>
      <c r="T36" s="87">
        <f>((IF(#REF!=0,#REF!,#REF!))+(IF(#REF!=0,#REF!,#REF!)))/2</f>
        <v/>
      </c>
      <c r="U36" s="23">
        <f>#REF!</f>
        <v/>
      </c>
      <c r="V36" s="40">
        <f>#REF!</f>
        <v/>
      </c>
      <c r="W36" s="40">
        <f>#REF!</f>
        <v/>
      </c>
      <c r="X36" s="24">
        <f>#REF!</f>
        <v/>
      </c>
    </row>
    <row r="37" ht="24.9" customHeight="1" s="141">
      <c r="B37" s="131" t="n">
        <v>18</v>
      </c>
      <c r="C37" s="20" t="n"/>
      <c r="D37" s="10" t="n"/>
      <c r="E37" s="23">
        <f>#REF!</f>
        <v/>
      </c>
      <c r="F37" s="40">
        <f>#REF!</f>
        <v/>
      </c>
      <c r="G37" s="40">
        <f>#REF!</f>
        <v/>
      </c>
      <c r="H37" s="24">
        <f>#REF!</f>
        <v/>
      </c>
      <c r="I37" s="27">
        <f>#REF!</f>
        <v/>
      </c>
      <c r="J37" s="40">
        <f>#REF!</f>
        <v/>
      </c>
      <c r="K37" s="40">
        <f>#REF!</f>
        <v/>
      </c>
      <c r="L37" s="69">
        <f>#REF!</f>
        <v/>
      </c>
      <c r="M37" s="23">
        <f>#REF!</f>
        <v/>
      </c>
      <c r="N37" s="40">
        <f>#REF!</f>
        <v/>
      </c>
      <c r="O37" s="40">
        <f>#REF!</f>
        <v/>
      </c>
      <c r="P37" s="24">
        <f>#REF!</f>
        <v/>
      </c>
      <c r="Q37" s="27">
        <f>#REF!+#REF!</f>
        <v/>
      </c>
      <c r="R37" s="27">
        <f>((IF(#REF!=0,#REF!,#REF!))+(IF(#REF!=0,#REF!,#REF!)))/2</f>
        <v/>
      </c>
      <c r="S37" s="27">
        <f>((IF(#REF!=0,#REF!,#REF!))+(IF(#REF!=0,#REF!,#REF!)))/2</f>
        <v/>
      </c>
      <c r="T37" s="87">
        <f>((IF(#REF!=0,#REF!,#REF!))+(IF(#REF!=0,#REF!,#REF!)))/2</f>
        <v/>
      </c>
      <c r="U37" s="23">
        <f>#REF!</f>
        <v/>
      </c>
      <c r="V37" s="40">
        <f>#REF!</f>
        <v/>
      </c>
      <c r="W37" s="40">
        <f>#REF!</f>
        <v/>
      </c>
      <c r="X37" s="24">
        <f>#REF!</f>
        <v/>
      </c>
    </row>
    <row r="38" ht="24.9" customHeight="1" s="141">
      <c r="B38" s="131" t="n">
        <v>19</v>
      </c>
      <c r="C38" s="20" t="n"/>
      <c r="D38" s="10" t="n"/>
      <c r="E38" s="23">
        <f>#REF!</f>
        <v/>
      </c>
      <c r="F38" s="40">
        <f>#REF!</f>
        <v/>
      </c>
      <c r="G38" s="40">
        <f>#REF!</f>
        <v/>
      </c>
      <c r="H38" s="24">
        <f>#REF!</f>
        <v/>
      </c>
      <c r="I38" s="27">
        <f>#REF!</f>
        <v/>
      </c>
      <c r="J38" s="40">
        <f>#REF!</f>
        <v/>
      </c>
      <c r="K38" s="40">
        <f>#REF!</f>
        <v/>
      </c>
      <c r="L38" s="69">
        <f>#REF!</f>
        <v/>
      </c>
      <c r="M38" s="23">
        <f>#REF!</f>
        <v/>
      </c>
      <c r="N38" s="40">
        <f>#REF!</f>
        <v/>
      </c>
      <c r="O38" s="40">
        <f>#REF!</f>
        <v/>
      </c>
      <c r="P38" s="24">
        <f>#REF!</f>
        <v/>
      </c>
      <c r="Q38" s="27">
        <f>#REF!+#REF!</f>
        <v/>
      </c>
      <c r="R38" s="27">
        <f>((IF(#REF!=0,#REF!,#REF!))+(IF(#REF!=0,#REF!,#REF!)))/2</f>
        <v/>
      </c>
      <c r="S38" s="27">
        <f>((IF(#REF!=0,#REF!,#REF!))+(IF(#REF!=0,#REF!,#REF!)))/2</f>
        <v/>
      </c>
      <c r="T38" s="87">
        <f>((IF(#REF!=0,#REF!,#REF!))+(IF(#REF!=0,#REF!,#REF!)))/2</f>
        <v/>
      </c>
      <c r="U38" s="23">
        <f>#REF!</f>
        <v/>
      </c>
      <c r="V38" s="40">
        <f>#REF!</f>
        <v/>
      </c>
      <c r="W38" s="40">
        <f>#REF!</f>
        <v/>
      </c>
      <c r="X38" s="24">
        <f>#REF!</f>
        <v/>
      </c>
    </row>
    <row r="39" ht="24.9" customHeight="1" s="141">
      <c r="B39" s="131" t="n">
        <v>20</v>
      </c>
      <c r="C39" s="20" t="n"/>
      <c r="D39" s="10" t="n"/>
      <c r="E39" s="23">
        <f>#REF!</f>
        <v/>
      </c>
      <c r="F39" s="40">
        <f>#REF!</f>
        <v/>
      </c>
      <c r="G39" s="40">
        <f>#REF!</f>
        <v/>
      </c>
      <c r="H39" s="24">
        <f>#REF!</f>
        <v/>
      </c>
      <c r="I39" s="27">
        <f>#REF!</f>
        <v/>
      </c>
      <c r="J39" s="40">
        <f>#REF!</f>
        <v/>
      </c>
      <c r="K39" s="40">
        <f>#REF!</f>
        <v/>
      </c>
      <c r="L39" s="69">
        <f>#REF!</f>
        <v/>
      </c>
      <c r="M39" s="23">
        <f>#REF!</f>
        <v/>
      </c>
      <c r="N39" s="40">
        <f>#REF!</f>
        <v/>
      </c>
      <c r="O39" s="40">
        <f>#REF!</f>
        <v/>
      </c>
      <c r="P39" s="24">
        <f>#REF!</f>
        <v/>
      </c>
      <c r="Q39" s="27">
        <f>#REF!+#REF!</f>
        <v/>
      </c>
      <c r="R39" s="27">
        <f>((IF(#REF!=0,#REF!,#REF!))+(IF(#REF!=0,#REF!,#REF!)))/2</f>
        <v/>
      </c>
      <c r="S39" s="27">
        <f>((IF(#REF!=0,#REF!,#REF!))+(IF(#REF!=0,#REF!,#REF!)))/2</f>
        <v/>
      </c>
      <c r="T39" s="87">
        <f>((IF(#REF!=0,#REF!,#REF!))+(IF(#REF!=0,#REF!,#REF!)))/2</f>
        <v/>
      </c>
      <c r="U39" s="23">
        <f>#REF!</f>
        <v/>
      </c>
      <c r="V39" s="40">
        <f>#REF!</f>
        <v/>
      </c>
      <c r="W39" s="40">
        <f>#REF!</f>
        <v/>
      </c>
      <c r="X39" s="24">
        <f>#REF!</f>
        <v/>
      </c>
    </row>
    <row r="40" ht="24.9" customHeight="1" s="141">
      <c r="B40" s="131" t="n">
        <v>21</v>
      </c>
      <c r="C40" s="20" t="n"/>
      <c r="D40" s="10" t="n"/>
      <c r="E40" s="23">
        <f>#REF!</f>
        <v/>
      </c>
      <c r="F40" s="40">
        <f>#REF!</f>
        <v/>
      </c>
      <c r="G40" s="40">
        <f>#REF!</f>
        <v/>
      </c>
      <c r="H40" s="24">
        <f>#REF!</f>
        <v/>
      </c>
      <c r="I40" s="27">
        <f>#REF!</f>
        <v/>
      </c>
      <c r="J40" s="40">
        <f>#REF!</f>
        <v/>
      </c>
      <c r="K40" s="40">
        <f>#REF!</f>
        <v/>
      </c>
      <c r="L40" s="69">
        <f>#REF!</f>
        <v/>
      </c>
      <c r="M40" s="23">
        <f>#REF!</f>
        <v/>
      </c>
      <c r="N40" s="40">
        <f>#REF!</f>
        <v/>
      </c>
      <c r="O40" s="40">
        <f>#REF!</f>
        <v/>
      </c>
      <c r="P40" s="24">
        <f>#REF!</f>
        <v/>
      </c>
      <c r="Q40" s="27">
        <f>#REF!+#REF!</f>
        <v/>
      </c>
      <c r="R40" s="27">
        <f>((IF(#REF!=0,#REF!,#REF!))+(IF(#REF!=0,#REF!,#REF!)))/2</f>
        <v/>
      </c>
      <c r="S40" s="27">
        <f>((IF(#REF!=0,#REF!,#REF!))+(IF(#REF!=0,#REF!,#REF!)))/2</f>
        <v/>
      </c>
      <c r="T40" s="87">
        <f>((IF(#REF!=0,#REF!,#REF!))+(IF(#REF!=0,#REF!,#REF!)))/2</f>
        <v/>
      </c>
      <c r="U40" s="23">
        <f>#REF!</f>
        <v/>
      </c>
      <c r="V40" s="40">
        <f>#REF!</f>
        <v/>
      </c>
      <c r="W40" s="40">
        <f>#REF!</f>
        <v/>
      </c>
      <c r="X40" s="24">
        <f>#REF!</f>
        <v/>
      </c>
    </row>
    <row r="41" ht="24.9" customHeight="1" s="141">
      <c r="B41" s="131" t="n">
        <v>22</v>
      </c>
      <c r="C41" s="20" t="n"/>
      <c r="D41" s="10" t="n"/>
      <c r="E41" s="23">
        <f>#REF!</f>
        <v/>
      </c>
      <c r="F41" s="40">
        <f>#REF!</f>
        <v/>
      </c>
      <c r="G41" s="40">
        <f>#REF!</f>
        <v/>
      </c>
      <c r="H41" s="24">
        <f>#REF!</f>
        <v/>
      </c>
      <c r="I41" s="27">
        <f>#REF!</f>
        <v/>
      </c>
      <c r="J41" s="40">
        <f>#REF!</f>
        <v/>
      </c>
      <c r="K41" s="40">
        <f>#REF!</f>
        <v/>
      </c>
      <c r="L41" s="69">
        <f>#REF!</f>
        <v/>
      </c>
      <c r="M41" s="23">
        <f>#REF!</f>
        <v/>
      </c>
      <c r="N41" s="40">
        <f>#REF!</f>
        <v/>
      </c>
      <c r="O41" s="40">
        <f>#REF!</f>
        <v/>
      </c>
      <c r="P41" s="24">
        <f>#REF!</f>
        <v/>
      </c>
      <c r="Q41" s="27">
        <f>#REF!+#REF!</f>
        <v/>
      </c>
      <c r="R41" s="27">
        <f>((IF(#REF!=0,#REF!,#REF!))+(IF(#REF!=0,#REF!,#REF!)))/2</f>
        <v/>
      </c>
      <c r="S41" s="27">
        <f>((IF(#REF!=0,#REF!,#REF!))+(IF(#REF!=0,#REF!,#REF!)))/2</f>
        <v/>
      </c>
      <c r="T41" s="87">
        <f>((IF(#REF!=0,#REF!,#REF!))+(IF(#REF!=0,#REF!,#REF!)))/2</f>
        <v/>
      </c>
      <c r="U41" s="23">
        <f>#REF!</f>
        <v/>
      </c>
      <c r="V41" s="40">
        <f>#REF!</f>
        <v/>
      </c>
      <c r="W41" s="40">
        <f>#REF!</f>
        <v/>
      </c>
      <c r="X41" s="24">
        <f>#REF!</f>
        <v/>
      </c>
    </row>
    <row r="42" ht="24.9" customHeight="1" s="141">
      <c r="B42" s="131" t="n">
        <v>23</v>
      </c>
      <c r="C42" s="20" t="n"/>
      <c r="D42" s="10" t="n"/>
      <c r="E42" s="23">
        <f>#REF!</f>
        <v/>
      </c>
      <c r="F42" s="40">
        <f>#REF!</f>
        <v/>
      </c>
      <c r="G42" s="40">
        <f>#REF!</f>
        <v/>
      </c>
      <c r="H42" s="24">
        <f>#REF!</f>
        <v/>
      </c>
      <c r="I42" s="27">
        <f>#REF!</f>
        <v/>
      </c>
      <c r="J42" s="40">
        <f>#REF!</f>
        <v/>
      </c>
      <c r="K42" s="40">
        <f>#REF!</f>
        <v/>
      </c>
      <c r="L42" s="69">
        <f>#REF!</f>
        <v/>
      </c>
      <c r="M42" s="23">
        <f>#REF!</f>
        <v/>
      </c>
      <c r="N42" s="40">
        <f>#REF!</f>
        <v/>
      </c>
      <c r="O42" s="40">
        <f>#REF!</f>
        <v/>
      </c>
      <c r="P42" s="24">
        <f>#REF!</f>
        <v/>
      </c>
      <c r="Q42" s="27">
        <f>#REF!+#REF!</f>
        <v/>
      </c>
      <c r="R42" s="27">
        <f>((IF(#REF!=0,#REF!,#REF!))+(IF(#REF!=0,#REF!,#REF!)))/2</f>
        <v/>
      </c>
      <c r="S42" s="27">
        <f>((IF(#REF!=0,#REF!,#REF!))+(IF(#REF!=0,#REF!,#REF!)))/2</f>
        <v/>
      </c>
      <c r="T42" s="87">
        <f>((IF(#REF!=0,#REF!,#REF!))+(IF(#REF!=0,#REF!,#REF!)))/2</f>
        <v/>
      </c>
      <c r="U42" s="23">
        <f>#REF!</f>
        <v/>
      </c>
      <c r="V42" s="40">
        <f>#REF!</f>
        <v/>
      </c>
      <c r="W42" s="40">
        <f>#REF!</f>
        <v/>
      </c>
      <c r="X42" s="24">
        <f>#REF!</f>
        <v/>
      </c>
    </row>
    <row r="43" ht="24.9" customHeight="1" s="141">
      <c r="B43" s="131" t="n">
        <v>24</v>
      </c>
      <c r="C43" s="20" t="n"/>
      <c r="D43" s="10" t="n"/>
      <c r="E43" s="23">
        <f>#REF!</f>
        <v/>
      </c>
      <c r="F43" s="40">
        <f>#REF!</f>
        <v/>
      </c>
      <c r="G43" s="40">
        <f>#REF!</f>
        <v/>
      </c>
      <c r="H43" s="24">
        <f>#REF!</f>
        <v/>
      </c>
      <c r="I43" s="27">
        <f>#REF!</f>
        <v/>
      </c>
      <c r="J43" s="40">
        <f>#REF!</f>
        <v/>
      </c>
      <c r="K43" s="40">
        <f>#REF!</f>
        <v/>
      </c>
      <c r="L43" s="69">
        <f>#REF!</f>
        <v/>
      </c>
      <c r="M43" s="23">
        <f>#REF!</f>
        <v/>
      </c>
      <c r="N43" s="40">
        <f>#REF!</f>
        <v/>
      </c>
      <c r="O43" s="40">
        <f>#REF!</f>
        <v/>
      </c>
      <c r="P43" s="24">
        <f>#REF!</f>
        <v/>
      </c>
      <c r="Q43" s="27">
        <f>#REF!+#REF!</f>
        <v/>
      </c>
      <c r="R43" s="27">
        <f>((IF(#REF!=0,#REF!,#REF!))+(IF(#REF!=0,#REF!,#REF!)))/2</f>
        <v/>
      </c>
      <c r="S43" s="27">
        <f>((IF(#REF!=0,#REF!,#REF!))+(IF(#REF!=0,#REF!,#REF!)))/2</f>
        <v/>
      </c>
      <c r="T43" s="87">
        <f>((IF(#REF!=0,#REF!,#REF!))+(IF(#REF!=0,#REF!,#REF!)))/2</f>
        <v/>
      </c>
      <c r="U43" s="23">
        <f>#REF!</f>
        <v/>
      </c>
      <c r="V43" s="40">
        <f>#REF!</f>
        <v/>
      </c>
      <c r="W43" s="40">
        <f>#REF!</f>
        <v/>
      </c>
      <c r="X43" s="24">
        <f>#REF!</f>
        <v/>
      </c>
    </row>
    <row r="44" ht="24.9" customHeight="1" s="141" thickBot="1">
      <c r="B44" s="132" t="n">
        <v>25</v>
      </c>
      <c r="C44" s="135" t="n"/>
      <c r="D44" s="136" t="n"/>
      <c r="E44" s="137">
        <f>#REF!</f>
        <v/>
      </c>
      <c r="F44" s="173">
        <f>#REF!</f>
        <v/>
      </c>
      <c r="G44" s="173">
        <f>#REF!</f>
        <v/>
      </c>
      <c r="H44" s="179">
        <f>#REF!</f>
        <v/>
      </c>
      <c r="I44" s="174">
        <f>#REF!</f>
        <v/>
      </c>
      <c r="J44" s="173">
        <f>#REF!</f>
        <v/>
      </c>
      <c r="K44" s="173">
        <f>#REF!</f>
        <v/>
      </c>
      <c r="L44" s="180">
        <f>#REF!</f>
        <v/>
      </c>
      <c r="M44" s="137">
        <f>#REF!</f>
        <v/>
      </c>
      <c r="N44" s="173">
        <f>#REF!</f>
        <v/>
      </c>
      <c r="O44" s="173">
        <f>#REF!</f>
        <v/>
      </c>
      <c r="P44" s="179">
        <f>#REF!</f>
        <v/>
      </c>
      <c r="Q44" s="174">
        <f>#REF!+#REF!</f>
        <v/>
      </c>
      <c r="R44" s="174">
        <f>((IF(#REF!=0,#REF!,#REF!))+(IF(#REF!=0,#REF!,#REF!)))/2</f>
        <v/>
      </c>
      <c r="S44" s="174">
        <f>((IF(#REF!=0,#REF!,#REF!))+(IF(#REF!=0,#REF!,#REF!)))/2</f>
        <v/>
      </c>
      <c r="T44" s="182">
        <f>((IF(#REF!=0,#REF!,#REF!))+(IF(#REF!=0,#REF!,#REF!)))/2</f>
        <v/>
      </c>
      <c r="U44" s="137">
        <f>#REF!</f>
        <v/>
      </c>
      <c r="V44" s="173">
        <f>#REF!</f>
        <v/>
      </c>
      <c r="W44" s="173">
        <f>#REF!</f>
        <v/>
      </c>
      <c r="X44" s="179">
        <f>#REF!</f>
        <v/>
      </c>
    </row>
    <row r="45" ht="24.9" customHeight="1" s="141">
      <c r="B45" s="244" t="inlineStr">
        <is>
          <t>Среднее (тыс.шт/га; см; м; лет)</t>
        </is>
      </c>
      <c r="C45" s="245" t="n"/>
      <c r="D45" s="246" t="n"/>
      <c r="E45" s="175">
        <f>#REF!</f>
        <v/>
      </c>
      <c r="F45" s="176">
        <f>#REF!</f>
        <v/>
      </c>
      <c r="G45" s="176">
        <f>#REF!</f>
        <v/>
      </c>
      <c r="H45" s="178">
        <f>#REF!</f>
        <v/>
      </c>
      <c r="I45" s="177">
        <f>#REF!</f>
        <v/>
      </c>
      <c r="J45" s="176">
        <f>#REF!</f>
        <v/>
      </c>
      <c r="K45" s="176">
        <f>#REF!</f>
        <v/>
      </c>
      <c r="L45" s="181">
        <f>#REF!</f>
        <v/>
      </c>
      <c r="M45" s="175">
        <f>#REF!</f>
        <v/>
      </c>
      <c r="N45" s="176">
        <f>#REF!</f>
        <v/>
      </c>
      <c r="O45" s="176">
        <f>#REF!</f>
        <v/>
      </c>
      <c r="P45" s="178">
        <f>#REF!</f>
        <v/>
      </c>
      <c r="Q45" s="177">
        <f>#REF!+#REF!</f>
        <v/>
      </c>
      <c r="R45" s="177">
        <f>((IF(#REF!=0,#REF!,#REF!))+(IF(#REF!=0,#REF!,#REF!)))/2</f>
        <v/>
      </c>
      <c r="S45" s="177">
        <f>((IF(#REF!=0,#REF!,#REF!))+(IF(#REF!=0,#REF!,#REF!)))/2</f>
        <v/>
      </c>
      <c r="T45" s="183">
        <f>((IF(#REF!=0,#REF!,#REF!))+(IF(#REF!=0,#REF!,#REF!)))/2</f>
        <v/>
      </c>
      <c r="U45" s="175">
        <f>#REF!</f>
        <v/>
      </c>
      <c r="V45" s="176">
        <f>#REF!</f>
        <v/>
      </c>
      <c r="W45" s="176">
        <f>#REF!</f>
        <v/>
      </c>
      <c r="X45" s="178">
        <f>#REF!</f>
        <v/>
      </c>
    </row>
    <row r="46" ht="24.9" customHeight="1" s="141" thickBot="1">
      <c r="B46" s="247" t="inlineStr">
        <is>
          <t>H выше 1.5 (метров)</t>
        </is>
      </c>
      <c r="C46" s="248" t="n"/>
      <c r="D46" s="249" t="n"/>
      <c r="E46" s="184">
        <f>#REF!</f>
        <v/>
      </c>
      <c r="F46" s="185">
        <f>#REF!</f>
        <v/>
      </c>
      <c r="G46" s="185">
        <f>#REF!</f>
        <v/>
      </c>
      <c r="H46" s="186">
        <f>#REF!</f>
        <v/>
      </c>
      <c r="I46" s="187">
        <f>#REF!</f>
        <v/>
      </c>
      <c r="J46" s="185">
        <f>#REF!</f>
        <v/>
      </c>
      <c r="K46" s="185">
        <f>#REF!</f>
        <v/>
      </c>
      <c r="L46" s="188">
        <f>#REF!</f>
        <v/>
      </c>
      <c r="M46" s="184">
        <f>#REF!</f>
        <v/>
      </c>
      <c r="N46" s="185">
        <f>#REF!</f>
        <v/>
      </c>
      <c r="O46" s="185">
        <f>#REF!</f>
        <v/>
      </c>
      <c r="P46" s="186">
        <f>#REF!</f>
        <v/>
      </c>
      <c r="Q46" s="187">
        <f>#REF!+#REF!</f>
        <v/>
      </c>
      <c r="R46" s="187">
        <f>((IF(#REF!=0,#REF!,#REF!))+(IF(#REF!=0,#REF!,#REF!)))/2</f>
        <v/>
      </c>
      <c r="S46" s="187">
        <f>((IF(#REF!=0,#REF!,#REF!))+(IF(#REF!=0,#REF!,#REF!)))/2</f>
        <v/>
      </c>
      <c r="T46" s="189">
        <f>((IF(#REF!=0,#REF!,#REF!))+(IF(#REF!=0,#REF!,#REF!)))/2</f>
        <v/>
      </c>
      <c r="U46" s="184">
        <f>#REF!</f>
        <v/>
      </c>
      <c r="V46" s="185">
        <f>#REF!</f>
        <v/>
      </c>
      <c r="W46" s="185">
        <f>#REF!</f>
        <v/>
      </c>
      <c r="X46" s="186">
        <f>#REF!</f>
        <v/>
      </c>
    </row>
    <row r="47" ht="24.9" customHeight="1" s="141"/>
    <row r="48" ht="24.9" customHeight="1" s="141"/>
    <row r="54">
      <c r="C54" s="139" t="n"/>
    </row>
    <row r="55">
      <c r="C55" s="139" t="n"/>
    </row>
    <row r="56">
      <c r="C56" s="139" t="n"/>
    </row>
    <row r="57">
      <c r="C57" s="139" t="n"/>
    </row>
    <row r="58">
      <c r="C58" s="139" t="n"/>
    </row>
    <row r="59">
      <c r="C59" s="139" t="n"/>
    </row>
    <row r="60">
      <c r="C60" s="139" t="n"/>
    </row>
    <row r="61">
      <c r="C61" s="139" t="n"/>
    </row>
    <row r="62">
      <c r="C62" s="139" t="n"/>
    </row>
    <row r="63">
      <c r="C63" s="139" t="n"/>
    </row>
    <row r="66">
      <c r="C66" s="139" t="n"/>
    </row>
  </sheetData>
  <mergeCells count="8">
    <mergeCell ref="Q18:T18"/>
    <mergeCell ref="U18:X18"/>
    <mergeCell ref="E18:H18"/>
    <mergeCell ref="I18:L18"/>
    <mergeCell ref="B45:D45"/>
    <mergeCell ref="B46:D46"/>
    <mergeCell ref="C18:D18"/>
    <mergeCell ref="M18:P18"/>
  </mergeCells>
  <pageMargins left="0.2362204724409449" right="0.2362204724409449" top="0.5511811023622047" bottom="0.5511811023622047" header="0" footer="0"/>
  <pageSetup orientation="landscape" paperSize="9" scale="61" fitToHeight="0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B16:Z66"/>
  <sheetViews>
    <sheetView showZeros="0" topLeftCell="A16" zoomScale="70" zoomScaleNormal="70" workbookViewId="0">
      <selection activeCell="C20" sqref="C20:Z35"/>
    </sheetView>
  </sheetViews>
  <sheetFormatPr baseColWidth="8" defaultRowHeight="14.4"/>
  <cols>
    <col width="11.44140625" customWidth="1" style="141" min="4" max="4"/>
    <col width="9" customWidth="1" style="141" min="7" max="7"/>
    <col width="9.88671875" bestFit="1" customWidth="1" style="141" min="20" max="26"/>
  </cols>
  <sheetData>
    <row r="16" ht="24.9" customHeight="1" s="141">
      <c r="B16" s="127" t="inlineStr">
        <is>
          <t>Перечётная ведомость № _1___    литер _а__   Кв. __113___        Выд. _16___          Радиус ПП, м __3.99____              Измерения выполнил: __Богачёв П.В._______    Дата, подпись _____11.06.2023______________</t>
        </is>
      </c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128" t="n"/>
      <c r="S16" s="45" t="n"/>
      <c r="T16" s="128" t="n"/>
      <c r="U16" s="45" t="n"/>
      <c r="V16" s="45" t="n"/>
      <c r="W16" s="45" t="n"/>
    </row>
    <row r="17" ht="24.9" customHeight="1" s="141" thickBot="1"/>
    <row r="18" ht="24.9" customHeight="1" s="141" thickBot="1" thickTop="1">
      <c r="B18" s="1" t="inlineStr">
        <is>
          <t>Пор.</t>
        </is>
      </c>
      <c r="C18" s="236" t="inlineStr">
        <is>
          <t>Площадка</t>
        </is>
      </c>
      <c r="D18" s="238" t="n"/>
      <c r="E18" s="235" t="inlineStr">
        <is>
          <t>Сосна</t>
        </is>
      </c>
      <c r="F18" s="241" t="n"/>
      <c r="G18" s="241" t="n"/>
      <c r="H18" s="241" t="n"/>
      <c r="I18" s="241" t="n"/>
      <c r="J18" s="241" t="n"/>
      <c r="K18" s="254" t="inlineStr">
        <is>
          <t>Ель последующего (самосев/ЛК)</t>
        </is>
      </c>
      <c r="L18" s="255" t="n"/>
      <c r="M18" s="255" t="n"/>
      <c r="N18" s="255" t="n"/>
      <c r="O18" s="255" t="n"/>
      <c r="P18" s="75" t="n"/>
      <c r="Q18" s="254" t="inlineStr">
        <is>
          <t>Ель предварительного (сохр. Подрост)</t>
        </is>
      </c>
      <c r="R18" s="255" t="n"/>
      <c r="S18" s="255" t="n"/>
      <c r="T18" s="255" t="n"/>
      <c r="U18" s="255" t="n"/>
      <c r="V18" s="75" t="n"/>
      <c r="W18" s="234" t="inlineStr">
        <is>
          <t>Берёза</t>
        </is>
      </c>
      <c r="X18" s="241" t="n"/>
      <c r="Y18" s="241" t="n"/>
      <c r="Z18" s="242" t="n"/>
    </row>
    <row r="19" ht="24.9" customHeight="1" s="141" thickBot="1">
      <c r="B19" s="31" t="inlineStr">
        <is>
          <t>NN</t>
        </is>
      </c>
      <c r="C19" s="25" t="inlineStr">
        <is>
          <t>GPS точка</t>
        </is>
      </c>
      <c r="D19" s="68" t="inlineStr">
        <is>
          <t>Предмет ухода</t>
        </is>
      </c>
      <c r="E19" s="53" t="inlineStr">
        <is>
          <t>До 0.5м</t>
        </is>
      </c>
      <c r="F19" s="50" t="inlineStr">
        <is>
          <t>0,5-1,5</t>
        </is>
      </c>
      <c r="G19" s="50" t="inlineStr">
        <is>
          <t>&gt; 1.5</t>
        </is>
      </c>
      <c r="H19" s="50" t="inlineStr">
        <is>
          <t>D, см</t>
        </is>
      </c>
      <c r="I19" s="51" t="inlineStr">
        <is>
          <t>h, м</t>
        </is>
      </c>
      <c r="J19" s="54" t="inlineStr">
        <is>
          <t>A, лет</t>
        </is>
      </c>
      <c r="K19" s="53" t="inlineStr">
        <is>
          <t>До 0.5м</t>
        </is>
      </c>
      <c r="L19" s="50" t="inlineStr">
        <is>
          <t>0,5-1,5</t>
        </is>
      </c>
      <c r="M19" s="50" t="inlineStr">
        <is>
          <t>&gt; 1.5</t>
        </is>
      </c>
      <c r="N19" s="50" t="inlineStr">
        <is>
          <t>D, см</t>
        </is>
      </c>
      <c r="O19" s="51" t="inlineStr">
        <is>
          <t>h, м</t>
        </is>
      </c>
      <c r="P19" s="52" t="inlineStr">
        <is>
          <t>A, лет</t>
        </is>
      </c>
      <c r="Q19" s="53" t="inlineStr">
        <is>
          <t>До 0.5м</t>
        </is>
      </c>
      <c r="R19" s="50" t="inlineStr">
        <is>
          <t>0,5-1,5</t>
        </is>
      </c>
      <c r="S19" s="50" t="inlineStr">
        <is>
          <t>&gt; 1.5</t>
        </is>
      </c>
      <c r="T19" s="50" t="inlineStr">
        <is>
          <t>D, см</t>
        </is>
      </c>
      <c r="U19" s="51" t="inlineStr">
        <is>
          <t>h, м</t>
        </is>
      </c>
      <c r="V19" s="52" t="inlineStr">
        <is>
          <t>A, лет</t>
        </is>
      </c>
      <c r="W19" s="49" t="inlineStr">
        <is>
          <t>Кол-во</t>
        </is>
      </c>
      <c r="X19" s="50" t="inlineStr">
        <is>
          <t>D, см</t>
        </is>
      </c>
      <c r="Y19" s="51" t="inlineStr">
        <is>
          <t>h, м</t>
        </is>
      </c>
      <c r="Z19" s="52" t="inlineStr">
        <is>
          <t>A, лет</t>
        </is>
      </c>
    </row>
    <row r="20" ht="24.9" customHeight="1" s="141">
      <c r="B20" s="129" t="n">
        <v>1</v>
      </c>
      <c r="C20" s="27" t="n">
        <v>692</v>
      </c>
      <c r="D20" s="69" t="inlineStr">
        <is>
          <t>4Е</t>
        </is>
      </c>
      <c r="E20" s="130">
        <f>#REF!</f>
        <v/>
      </c>
      <c r="F20" s="7">
        <f>#REF!</f>
        <v/>
      </c>
      <c r="G20" s="7">
        <f>#REF!</f>
        <v/>
      </c>
      <c r="H20" s="7">
        <f>#REF!</f>
        <v/>
      </c>
      <c r="I20" s="7">
        <f>#REF!</f>
        <v/>
      </c>
      <c r="J20" s="8">
        <f>#REF!</f>
        <v/>
      </c>
      <c r="K20" s="130">
        <f>#REF!</f>
        <v/>
      </c>
      <c r="L20" s="7">
        <f>#REF!</f>
        <v/>
      </c>
      <c r="M20" s="7">
        <f>#REF!</f>
        <v/>
      </c>
      <c r="N20" s="7">
        <f>#REF!</f>
        <v/>
      </c>
      <c r="O20" s="7">
        <f>#REF!</f>
        <v/>
      </c>
      <c r="P20" s="8">
        <f>#REF!</f>
        <v/>
      </c>
      <c r="Q20" s="130">
        <f>#REF!</f>
        <v/>
      </c>
      <c r="R20" s="7">
        <f>#REF!</f>
        <v/>
      </c>
      <c r="S20" s="7">
        <f>#REF!</f>
        <v/>
      </c>
      <c r="T20" s="7">
        <f>#REF!</f>
        <v/>
      </c>
      <c r="U20" s="7">
        <f>#REF!</f>
        <v/>
      </c>
      <c r="V20" s="8">
        <f>#REF!</f>
        <v/>
      </c>
      <c r="W20" s="130">
        <f>#REF!</f>
        <v/>
      </c>
      <c r="X20" s="7">
        <f>#REF!</f>
        <v/>
      </c>
      <c r="Y20" s="7">
        <f>#REF!</f>
        <v/>
      </c>
      <c r="Z20" s="8">
        <f>#REF!</f>
        <v/>
      </c>
    </row>
    <row r="21" ht="24.9" customHeight="1" s="141">
      <c r="B21" s="131" t="n">
        <v>2</v>
      </c>
      <c r="C21" s="28" t="n">
        <v>693</v>
      </c>
      <c r="D21" s="37" t="inlineStr">
        <is>
          <t>9Е1С</t>
        </is>
      </c>
      <c r="E21" s="20">
        <f>#REF!</f>
        <v/>
      </c>
      <c r="F21" s="3">
        <f>#REF!</f>
        <v/>
      </c>
      <c r="G21" s="3">
        <f>#REF!</f>
        <v/>
      </c>
      <c r="H21" s="3">
        <f>#REF!</f>
        <v/>
      </c>
      <c r="I21" s="3">
        <f>#REF!</f>
        <v/>
      </c>
      <c r="J21" s="10">
        <f>#REF!</f>
        <v/>
      </c>
      <c r="K21" s="20">
        <f>#REF!</f>
        <v/>
      </c>
      <c r="L21" s="3">
        <f>#REF!</f>
        <v/>
      </c>
      <c r="M21" s="3">
        <f>#REF!</f>
        <v/>
      </c>
      <c r="N21" s="3">
        <f>#REF!</f>
        <v/>
      </c>
      <c r="O21" s="3">
        <f>#REF!</f>
        <v/>
      </c>
      <c r="P21" s="10">
        <f>#REF!</f>
        <v/>
      </c>
      <c r="Q21" s="20">
        <f>#REF!</f>
        <v/>
      </c>
      <c r="R21" s="3">
        <f>#REF!</f>
        <v/>
      </c>
      <c r="S21" s="3">
        <f>#REF!</f>
        <v/>
      </c>
      <c r="T21" s="3">
        <f>#REF!</f>
        <v/>
      </c>
      <c r="U21" s="3">
        <f>#REF!</f>
        <v/>
      </c>
      <c r="V21" s="10">
        <f>#REF!</f>
        <v/>
      </c>
      <c r="W21" s="20">
        <f>#REF!</f>
        <v/>
      </c>
      <c r="X21" s="3">
        <f>#REF!</f>
        <v/>
      </c>
      <c r="Y21" s="3">
        <f>#REF!</f>
        <v/>
      </c>
      <c r="Z21" s="10">
        <f>#REF!</f>
        <v/>
      </c>
    </row>
    <row r="22" ht="24.9" customHeight="1" s="141">
      <c r="B22" s="131" t="n">
        <v>3</v>
      </c>
      <c r="C22" s="28" t="n">
        <v>694</v>
      </c>
      <c r="D22" s="37" t="inlineStr">
        <is>
          <t>2С5Е3Б</t>
        </is>
      </c>
      <c r="E22" s="20">
        <f>#REF!</f>
        <v/>
      </c>
      <c r="F22" s="3">
        <f>#REF!</f>
        <v/>
      </c>
      <c r="G22" s="3">
        <f>#REF!</f>
        <v/>
      </c>
      <c r="H22" s="3">
        <f>#REF!</f>
        <v/>
      </c>
      <c r="I22" s="3">
        <f>#REF!</f>
        <v/>
      </c>
      <c r="J22" s="10">
        <f>#REF!</f>
        <v/>
      </c>
      <c r="K22" s="20">
        <f>#REF!</f>
        <v/>
      </c>
      <c r="L22" s="3">
        <f>#REF!</f>
        <v/>
      </c>
      <c r="M22" s="3">
        <f>#REF!</f>
        <v/>
      </c>
      <c r="N22" s="3">
        <f>#REF!</f>
        <v/>
      </c>
      <c r="O22" s="3">
        <f>#REF!</f>
        <v/>
      </c>
      <c r="P22" s="10">
        <f>#REF!</f>
        <v/>
      </c>
      <c r="Q22" s="20">
        <f>#REF!</f>
        <v/>
      </c>
      <c r="R22" s="3">
        <f>#REF!</f>
        <v/>
      </c>
      <c r="S22" s="3">
        <f>#REF!</f>
        <v/>
      </c>
      <c r="T22" s="3">
        <f>#REF!</f>
        <v/>
      </c>
      <c r="U22" s="3">
        <f>#REF!</f>
        <v/>
      </c>
      <c r="V22" s="10">
        <f>#REF!</f>
        <v/>
      </c>
      <c r="W22" s="20">
        <f>#REF!</f>
        <v/>
      </c>
      <c r="X22" s="3">
        <f>#REF!</f>
        <v/>
      </c>
      <c r="Y22" s="3">
        <f>#REF!</f>
        <v/>
      </c>
      <c r="Z22" s="10">
        <f>#REF!</f>
        <v/>
      </c>
    </row>
    <row r="23" ht="24.9" customHeight="1" s="141">
      <c r="B23" s="131" t="n">
        <v>4</v>
      </c>
      <c r="C23" s="28" t="n">
        <v>695</v>
      </c>
      <c r="D23" s="37" t="inlineStr">
        <is>
          <t>7Е1Б</t>
        </is>
      </c>
      <c r="E23" s="20">
        <f>#REF!</f>
        <v/>
      </c>
      <c r="F23" s="3">
        <f>#REF!</f>
        <v/>
      </c>
      <c r="G23" s="3">
        <f>#REF!</f>
        <v/>
      </c>
      <c r="H23" s="3">
        <f>#REF!</f>
        <v/>
      </c>
      <c r="I23" s="3">
        <f>#REF!</f>
        <v/>
      </c>
      <c r="J23" s="10">
        <f>#REF!</f>
        <v/>
      </c>
      <c r="K23" s="20">
        <f>#REF!</f>
        <v/>
      </c>
      <c r="L23" s="3">
        <f>#REF!</f>
        <v/>
      </c>
      <c r="M23" s="3">
        <f>#REF!</f>
        <v/>
      </c>
      <c r="N23" s="3">
        <f>#REF!</f>
        <v/>
      </c>
      <c r="O23" s="3">
        <f>#REF!</f>
        <v/>
      </c>
      <c r="P23" s="10">
        <f>#REF!</f>
        <v/>
      </c>
      <c r="Q23" s="20">
        <f>#REF!</f>
        <v/>
      </c>
      <c r="R23" s="3">
        <f>#REF!</f>
        <v/>
      </c>
      <c r="S23" s="3">
        <f>#REF!</f>
        <v/>
      </c>
      <c r="T23" s="3">
        <f>#REF!</f>
        <v/>
      </c>
      <c r="U23" s="3">
        <f>#REF!</f>
        <v/>
      </c>
      <c r="V23" s="10">
        <f>#REF!</f>
        <v/>
      </c>
      <c r="W23" s="20">
        <f>#REF!</f>
        <v/>
      </c>
      <c r="X23" s="3">
        <f>#REF!</f>
        <v/>
      </c>
      <c r="Y23" s="3">
        <f>#REF!</f>
        <v/>
      </c>
      <c r="Z23" s="10">
        <f>#REF!</f>
        <v/>
      </c>
    </row>
    <row r="24" ht="24.9" customHeight="1" s="141">
      <c r="B24" s="131" t="n">
        <v>5</v>
      </c>
      <c r="C24" s="28" t="n">
        <v>696</v>
      </c>
      <c r="D24" s="37" t="inlineStr">
        <is>
          <t>3Е5Б</t>
        </is>
      </c>
      <c r="E24" s="20">
        <f>#REF!</f>
        <v/>
      </c>
      <c r="F24" s="3">
        <f>#REF!</f>
        <v/>
      </c>
      <c r="G24" s="3">
        <f>#REF!</f>
        <v/>
      </c>
      <c r="H24" s="3">
        <f>#REF!</f>
        <v/>
      </c>
      <c r="I24" s="3">
        <f>#REF!</f>
        <v/>
      </c>
      <c r="J24" s="10">
        <f>#REF!</f>
        <v/>
      </c>
      <c r="K24" s="20">
        <f>#REF!</f>
        <v/>
      </c>
      <c r="L24" s="3">
        <f>#REF!</f>
        <v/>
      </c>
      <c r="M24" s="3">
        <f>#REF!</f>
        <v/>
      </c>
      <c r="N24" s="3">
        <f>#REF!</f>
        <v/>
      </c>
      <c r="O24" s="3">
        <f>#REF!</f>
        <v/>
      </c>
      <c r="P24" s="10">
        <f>#REF!</f>
        <v/>
      </c>
      <c r="Q24" s="20">
        <f>#REF!</f>
        <v/>
      </c>
      <c r="R24" s="3">
        <f>#REF!</f>
        <v/>
      </c>
      <c r="S24" s="3">
        <f>#REF!</f>
        <v/>
      </c>
      <c r="T24" s="3">
        <f>#REF!</f>
        <v/>
      </c>
      <c r="U24" s="3">
        <f>#REF!</f>
        <v/>
      </c>
      <c r="V24" s="10">
        <f>#REF!</f>
        <v/>
      </c>
      <c r="W24" s="20">
        <f>#REF!</f>
        <v/>
      </c>
      <c r="X24" s="3">
        <f>#REF!</f>
        <v/>
      </c>
      <c r="Y24" s="3">
        <f>#REF!</f>
        <v/>
      </c>
      <c r="Z24" s="10">
        <f>#REF!</f>
        <v/>
      </c>
    </row>
    <row r="25" ht="24.9" customHeight="1" s="141">
      <c r="B25" s="131" t="n">
        <v>6</v>
      </c>
      <c r="C25" s="28" t="n">
        <v>697</v>
      </c>
      <c r="D25" s="37" t="inlineStr">
        <is>
          <t>5С6Е</t>
        </is>
      </c>
      <c r="E25" s="20">
        <f>#REF!</f>
        <v/>
      </c>
      <c r="F25" s="3">
        <f>#REF!</f>
        <v/>
      </c>
      <c r="G25" s="3">
        <f>#REF!</f>
        <v/>
      </c>
      <c r="H25" s="3">
        <f>#REF!</f>
        <v/>
      </c>
      <c r="I25" s="3">
        <f>#REF!</f>
        <v/>
      </c>
      <c r="J25" s="10">
        <f>#REF!</f>
        <v/>
      </c>
      <c r="K25" s="20">
        <f>#REF!</f>
        <v/>
      </c>
      <c r="L25" s="3">
        <f>#REF!</f>
        <v/>
      </c>
      <c r="M25" s="3">
        <f>#REF!</f>
        <v/>
      </c>
      <c r="N25" s="3">
        <f>#REF!</f>
        <v/>
      </c>
      <c r="O25" s="3">
        <f>#REF!</f>
        <v/>
      </c>
      <c r="P25" s="10">
        <f>#REF!</f>
        <v/>
      </c>
      <c r="Q25" s="20">
        <f>#REF!</f>
        <v/>
      </c>
      <c r="R25" s="3">
        <f>#REF!</f>
        <v/>
      </c>
      <c r="S25" s="3">
        <f>#REF!</f>
        <v/>
      </c>
      <c r="T25" s="3">
        <f>#REF!</f>
        <v/>
      </c>
      <c r="U25" s="3">
        <f>#REF!</f>
        <v/>
      </c>
      <c r="V25" s="10">
        <f>#REF!</f>
        <v/>
      </c>
      <c r="W25" s="20">
        <f>#REF!</f>
        <v/>
      </c>
      <c r="X25" s="3">
        <f>#REF!</f>
        <v/>
      </c>
      <c r="Y25" s="3">
        <f>#REF!</f>
        <v/>
      </c>
      <c r="Z25" s="10">
        <f>#REF!</f>
        <v/>
      </c>
    </row>
    <row r="26" ht="24.9" customHeight="1" s="141">
      <c r="B26" s="131" t="n">
        <v>7</v>
      </c>
      <c r="C26" s="28" t="n">
        <v>698</v>
      </c>
      <c r="D26" s="37" t="inlineStr">
        <is>
          <t>5Е4С</t>
        </is>
      </c>
      <c r="E26" s="20">
        <f>#REF!</f>
        <v/>
      </c>
      <c r="F26" s="3">
        <f>#REF!</f>
        <v/>
      </c>
      <c r="G26" s="3">
        <f>#REF!</f>
        <v/>
      </c>
      <c r="H26" s="3">
        <f>#REF!</f>
        <v/>
      </c>
      <c r="I26" s="3">
        <f>#REF!</f>
        <v/>
      </c>
      <c r="J26" s="10">
        <f>#REF!</f>
        <v/>
      </c>
      <c r="K26" s="20">
        <f>#REF!</f>
        <v/>
      </c>
      <c r="L26" s="3">
        <f>#REF!</f>
        <v/>
      </c>
      <c r="M26" s="3">
        <f>#REF!</f>
        <v/>
      </c>
      <c r="N26" s="3">
        <f>#REF!</f>
        <v/>
      </c>
      <c r="O26" s="3">
        <f>#REF!</f>
        <v/>
      </c>
      <c r="P26" s="10">
        <f>#REF!</f>
        <v/>
      </c>
      <c r="Q26" s="20">
        <f>#REF!</f>
        <v/>
      </c>
      <c r="R26" s="3">
        <f>#REF!</f>
        <v/>
      </c>
      <c r="S26" s="3">
        <f>#REF!</f>
        <v/>
      </c>
      <c r="T26" s="3">
        <f>#REF!</f>
        <v/>
      </c>
      <c r="U26" s="3">
        <f>#REF!</f>
        <v/>
      </c>
      <c r="V26" s="10">
        <f>#REF!</f>
        <v/>
      </c>
      <c r="W26" s="20">
        <f>#REF!</f>
        <v/>
      </c>
      <c r="X26" s="3">
        <f>#REF!</f>
        <v/>
      </c>
      <c r="Y26" s="3">
        <f>#REF!</f>
        <v/>
      </c>
      <c r="Z26" s="10">
        <f>#REF!</f>
        <v/>
      </c>
    </row>
    <row r="27" ht="24.9" customHeight="1" s="141">
      <c r="B27" s="131" t="n">
        <v>8</v>
      </c>
      <c r="C27" s="28" t="n">
        <v>699</v>
      </c>
      <c r="D27" s="37" t="inlineStr">
        <is>
          <t>1С10Е</t>
        </is>
      </c>
      <c r="E27" s="20">
        <f>#REF!</f>
        <v/>
      </c>
      <c r="F27" s="3">
        <f>#REF!</f>
        <v/>
      </c>
      <c r="G27" s="3">
        <f>#REF!</f>
        <v/>
      </c>
      <c r="H27" s="3">
        <f>#REF!</f>
        <v/>
      </c>
      <c r="I27" s="3">
        <f>#REF!</f>
        <v/>
      </c>
      <c r="J27" s="10">
        <f>#REF!</f>
        <v/>
      </c>
      <c r="K27" s="20">
        <f>#REF!</f>
        <v/>
      </c>
      <c r="L27" s="3">
        <f>#REF!</f>
        <v/>
      </c>
      <c r="M27" s="3">
        <f>#REF!</f>
        <v/>
      </c>
      <c r="N27" s="3">
        <f>#REF!</f>
        <v/>
      </c>
      <c r="O27" s="3">
        <f>#REF!</f>
        <v/>
      </c>
      <c r="P27" s="10">
        <f>#REF!</f>
        <v/>
      </c>
      <c r="Q27" s="20">
        <f>#REF!</f>
        <v/>
      </c>
      <c r="R27" s="3">
        <f>#REF!</f>
        <v/>
      </c>
      <c r="S27" s="3">
        <f>#REF!</f>
        <v/>
      </c>
      <c r="T27" s="3">
        <f>#REF!</f>
        <v/>
      </c>
      <c r="U27" s="3">
        <f>#REF!</f>
        <v/>
      </c>
      <c r="V27" s="10">
        <f>#REF!</f>
        <v/>
      </c>
      <c r="W27" s="20">
        <f>#REF!</f>
        <v/>
      </c>
      <c r="X27" s="3">
        <f>#REF!</f>
        <v/>
      </c>
      <c r="Y27" s="3">
        <f>#REF!</f>
        <v/>
      </c>
      <c r="Z27" s="10">
        <f>#REF!</f>
        <v/>
      </c>
    </row>
    <row r="28" ht="24.9" customHeight="1" s="141">
      <c r="B28" s="131" t="n">
        <v>9</v>
      </c>
      <c r="C28" s="28" t="n">
        <v>700</v>
      </c>
      <c r="D28" s="37" t="inlineStr">
        <is>
          <t>8Е</t>
        </is>
      </c>
      <c r="E28" s="20">
        <f>#REF!</f>
        <v/>
      </c>
      <c r="F28" s="3">
        <f>#REF!</f>
        <v/>
      </c>
      <c r="G28" s="3">
        <f>#REF!</f>
        <v/>
      </c>
      <c r="H28" s="3">
        <f>#REF!</f>
        <v/>
      </c>
      <c r="I28" s="3">
        <f>#REF!</f>
        <v/>
      </c>
      <c r="J28" s="10">
        <f>#REF!</f>
        <v/>
      </c>
      <c r="K28" s="20">
        <f>#REF!</f>
        <v/>
      </c>
      <c r="L28" s="3">
        <f>#REF!</f>
        <v/>
      </c>
      <c r="M28" s="3">
        <f>#REF!</f>
        <v/>
      </c>
      <c r="N28" s="3">
        <f>#REF!</f>
        <v/>
      </c>
      <c r="O28" s="3">
        <f>#REF!</f>
        <v/>
      </c>
      <c r="P28" s="10">
        <f>#REF!</f>
        <v/>
      </c>
      <c r="Q28" s="20">
        <f>#REF!</f>
        <v/>
      </c>
      <c r="R28" s="3">
        <f>#REF!</f>
        <v/>
      </c>
      <c r="S28" s="3">
        <f>#REF!</f>
        <v/>
      </c>
      <c r="T28" s="3">
        <f>#REF!</f>
        <v/>
      </c>
      <c r="U28" s="3">
        <f>#REF!</f>
        <v/>
      </c>
      <c r="V28" s="10">
        <f>#REF!</f>
        <v/>
      </c>
      <c r="W28" s="20">
        <f>#REF!</f>
        <v/>
      </c>
      <c r="X28" s="3">
        <f>#REF!</f>
        <v/>
      </c>
      <c r="Y28" s="3">
        <f>#REF!</f>
        <v/>
      </c>
      <c r="Z28" s="10">
        <f>#REF!</f>
        <v/>
      </c>
    </row>
    <row r="29" ht="24.9" customHeight="1" s="141">
      <c r="B29" s="131" t="n">
        <v>10</v>
      </c>
      <c r="C29" s="28" t="n">
        <v>701</v>
      </c>
      <c r="D29" s="37" t="inlineStr">
        <is>
          <t>3С10Е</t>
        </is>
      </c>
      <c r="E29" s="20">
        <f>#REF!</f>
        <v/>
      </c>
      <c r="F29" s="3">
        <f>#REF!</f>
        <v/>
      </c>
      <c r="G29" s="3">
        <f>#REF!</f>
        <v/>
      </c>
      <c r="H29" s="3">
        <f>#REF!</f>
        <v/>
      </c>
      <c r="I29" s="3">
        <f>#REF!</f>
        <v/>
      </c>
      <c r="J29" s="10">
        <f>#REF!</f>
        <v/>
      </c>
      <c r="K29" s="20">
        <f>#REF!</f>
        <v/>
      </c>
      <c r="L29" s="3">
        <f>#REF!</f>
        <v/>
      </c>
      <c r="M29" s="3">
        <f>#REF!</f>
        <v/>
      </c>
      <c r="N29" s="3">
        <f>#REF!</f>
        <v/>
      </c>
      <c r="O29" s="3">
        <f>#REF!</f>
        <v/>
      </c>
      <c r="P29" s="10">
        <f>#REF!</f>
        <v/>
      </c>
      <c r="Q29" s="20">
        <f>#REF!</f>
        <v/>
      </c>
      <c r="R29" s="3">
        <f>#REF!</f>
        <v/>
      </c>
      <c r="S29" s="3">
        <f>#REF!</f>
        <v/>
      </c>
      <c r="T29" s="3">
        <f>#REF!</f>
        <v/>
      </c>
      <c r="U29" s="3">
        <f>#REF!</f>
        <v/>
      </c>
      <c r="V29" s="10">
        <f>#REF!</f>
        <v/>
      </c>
      <c r="W29" s="20">
        <f>#REF!</f>
        <v/>
      </c>
      <c r="X29" s="3">
        <f>#REF!</f>
        <v/>
      </c>
      <c r="Y29" s="3">
        <f>#REF!</f>
        <v/>
      </c>
      <c r="Z29" s="10">
        <f>#REF!</f>
        <v/>
      </c>
    </row>
    <row r="30" ht="24.9" customHeight="1" s="141">
      <c r="B30" s="131" t="n">
        <v>11</v>
      </c>
      <c r="C30" s="28" t="n">
        <v>702</v>
      </c>
      <c r="D30" s="37" t="inlineStr">
        <is>
          <t>7Е3Б</t>
        </is>
      </c>
      <c r="E30" s="20">
        <f>#REF!</f>
        <v/>
      </c>
      <c r="F30" s="3">
        <f>#REF!</f>
        <v/>
      </c>
      <c r="G30" s="3">
        <f>#REF!</f>
        <v/>
      </c>
      <c r="H30" s="3">
        <f>#REF!</f>
        <v/>
      </c>
      <c r="I30" s="3">
        <f>#REF!</f>
        <v/>
      </c>
      <c r="J30" s="10">
        <f>#REF!</f>
        <v/>
      </c>
      <c r="K30" s="20">
        <f>#REF!</f>
        <v/>
      </c>
      <c r="L30" s="3">
        <f>#REF!</f>
        <v/>
      </c>
      <c r="M30" s="3">
        <f>#REF!</f>
        <v/>
      </c>
      <c r="N30" s="3">
        <f>#REF!</f>
        <v/>
      </c>
      <c r="O30" s="3">
        <f>#REF!</f>
        <v/>
      </c>
      <c r="P30" s="10">
        <f>#REF!</f>
        <v/>
      </c>
      <c r="Q30" s="20">
        <f>#REF!</f>
        <v/>
      </c>
      <c r="R30" s="3">
        <f>#REF!</f>
        <v/>
      </c>
      <c r="S30" s="3">
        <f>#REF!</f>
        <v/>
      </c>
      <c r="T30" s="3">
        <f>#REF!</f>
        <v/>
      </c>
      <c r="U30" s="3">
        <f>#REF!</f>
        <v/>
      </c>
      <c r="V30" s="10">
        <f>#REF!</f>
        <v/>
      </c>
      <c r="W30" s="20">
        <f>#REF!</f>
        <v/>
      </c>
      <c r="X30" s="3">
        <f>#REF!</f>
        <v/>
      </c>
      <c r="Y30" s="3">
        <f>#REF!</f>
        <v/>
      </c>
      <c r="Z30" s="10">
        <f>#REF!</f>
        <v/>
      </c>
    </row>
    <row r="31" ht="24.9" customHeight="1" s="141">
      <c r="B31" s="131" t="n">
        <v>12</v>
      </c>
      <c r="C31" s="28" t="n">
        <v>703</v>
      </c>
      <c r="D31" s="37" t="inlineStr">
        <is>
          <t>3С9Е</t>
        </is>
      </c>
      <c r="E31" s="20">
        <f>#REF!</f>
        <v/>
      </c>
      <c r="F31" s="3">
        <f>#REF!</f>
        <v/>
      </c>
      <c r="G31" s="3">
        <f>#REF!</f>
        <v/>
      </c>
      <c r="H31" s="3">
        <f>#REF!</f>
        <v/>
      </c>
      <c r="I31" s="3">
        <f>#REF!</f>
        <v/>
      </c>
      <c r="J31" s="10">
        <f>#REF!</f>
        <v/>
      </c>
      <c r="K31" s="20">
        <f>#REF!</f>
        <v/>
      </c>
      <c r="L31" s="3">
        <f>#REF!</f>
        <v/>
      </c>
      <c r="M31" s="3">
        <f>#REF!</f>
        <v/>
      </c>
      <c r="N31" s="3">
        <f>#REF!</f>
        <v/>
      </c>
      <c r="O31" s="3">
        <f>#REF!</f>
        <v/>
      </c>
      <c r="P31" s="10">
        <f>#REF!</f>
        <v/>
      </c>
      <c r="Q31" s="20">
        <f>#REF!</f>
        <v/>
      </c>
      <c r="R31" s="3">
        <f>#REF!</f>
        <v/>
      </c>
      <c r="S31" s="3">
        <f>#REF!</f>
        <v/>
      </c>
      <c r="T31" s="3">
        <f>#REF!</f>
        <v/>
      </c>
      <c r="U31" s="3">
        <f>#REF!</f>
        <v/>
      </c>
      <c r="V31" s="10">
        <f>#REF!</f>
        <v/>
      </c>
      <c r="W31" s="20">
        <f>#REF!</f>
        <v/>
      </c>
      <c r="X31" s="3">
        <f>#REF!</f>
        <v/>
      </c>
      <c r="Y31" s="3">
        <f>#REF!</f>
        <v/>
      </c>
      <c r="Z31" s="10">
        <f>#REF!</f>
        <v/>
      </c>
    </row>
    <row r="32" ht="24.9" customHeight="1" s="141">
      <c r="B32" s="131" t="n">
        <v>13</v>
      </c>
      <c r="C32" s="28" t="n">
        <v>704</v>
      </c>
      <c r="D32" s="37" t="inlineStr">
        <is>
          <t>6С5Е</t>
        </is>
      </c>
      <c r="E32" s="20">
        <f>#REF!</f>
        <v/>
      </c>
      <c r="F32" s="3">
        <f>#REF!</f>
        <v/>
      </c>
      <c r="G32" s="3">
        <f>#REF!</f>
        <v/>
      </c>
      <c r="H32" s="3">
        <f>#REF!</f>
        <v/>
      </c>
      <c r="I32" s="3">
        <f>#REF!</f>
        <v/>
      </c>
      <c r="J32" s="10">
        <f>#REF!</f>
        <v/>
      </c>
      <c r="K32" s="20">
        <f>#REF!</f>
        <v/>
      </c>
      <c r="L32" s="3">
        <f>#REF!</f>
        <v/>
      </c>
      <c r="M32" s="3">
        <f>#REF!</f>
        <v/>
      </c>
      <c r="N32" s="3">
        <f>#REF!</f>
        <v/>
      </c>
      <c r="O32" s="3">
        <f>#REF!</f>
        <v/>
      </c>
      <c r="P32" s="10">
        <f>#REF!</f>
        <v/>
      </c>
      <c r="Q32" s="20">
        <f>#REF!</f>
        <v/>
      </c>
      <c r="R32" s="3">
        <f>#REF!</f>
        <v/>
      </c>
      <c r="S32" s="3">
        <f>#REF!</f>
        <v/>
      </c>
      <c r="T32" s="3">
        <f>#REF!</f>
        <v/>
      </c>
      <c r="U32" s="3">
        <f>#REF!</f>
        <v/>
      </c>
      <c r="V32" s="10">
        <f>#REF!</f>
        <v/>
      </c>
      <c r="W32" s="20">
        <f>#REF!</f>
        <v/>
      </c>
      <c r="X32" s="3">
        <f>#REF!</f>
        <v/>
      </c>
      <c r="Y32" s="3">
        <f>#REF!</f>
        <v/>
      </c>
      <c r="Z32" s="10">
        <f>#REF!</f>
        <v/>
      </c>
    </row>
    <row r="33" ht="24.9" customHeight="1" s="141">
      <c r="B33" s="131" t="n">
        <v>14</v>
      </c>
      <c r="C33" s="28" t="n">
        <v>705</v>
      </c>
      <c r="D33" s="37" t="inlineStr">
        <is>
          <t>5С5Е</t>
        </is>
      </c>
      <c r="E33" s="20">
        <f>#REF!</f>
        <v/>
      </c>
      <c r="F33" s="3">
        <f>#REF!</f>
        <v/>
      </c>
      <c r="G33" s="3">
        <f>#REF!</f>
        <v/>
      </c>
      <c r="H33" s="3">
        <f>#REF!</f>
        <v/>
      </c>
      <c r="I33" s="3">
        <f>#REF!</f>
        <v/>
      </c>
      <c r="J33" s="10">
        <f>#REF!</f>
        <v/>
      </c>
      <c r="K33" s="20">
        <f>#REF!</f>
        <v/>
      </c>
      <c r="L33" s="3">
        <f>#REF!</f>
        <v/>
      </c>
      <c r="M33" s="3">
        <f>#REF!</f>
        <v/>
      </c>
      <c r="N33" s="3">
        <f>#REF!</f>
        <v/>
      </c>
      <c r="O33" s="3">
        <f>#REF!</f>
        <v/>
      </c>
      <c r="P33" s="10">
        <f>#REF!</f>
        <v/>
      </c>
      <c r="Q33" s="20">
        <f>#REF!</f>
        <v/>
      </c>
      <c r="R33" s="3">
        <f>#REF!</f>
        <v/>
      </c>
      <c r="S33" s="3">
        <f>#REF!</f>
        <v/>
      </c>
      <c r="T33" s="3">
        <f>#REF!</f>
        <v/>
      </c>
      <c r="U33" s="3">
        <f>#REF!</f>
        <v/>
      </c>
      <c r="V33" s="10">
        <f>#REF!</f>
        <v/>
      </c>
      <c r="W33" s="20">
        <f>#REF!</f>
        <v/>
      </c>
      <c r="X33" s="3">
        <f>#REF!</f>
        <v/>
      </c>
      <c r="Y33" s="3">
        <f>#REF!</f>
        <v/>
      </c>
      <c r="Z33" s="10">
        <f>#REF!</f>
        <v/>
      </c>
    </row>
    <row r="34" ht="24.9" customHeight="1" s="141">
      <c r="B34" s="131" t="n">
        <v>15</v>
      </c>
      <c r="C34" s="28" t="n">
        <v>706</v>
      </c>
      <c r="D34" s="37" t="inlineStr">
        <is>
          <t>3С9Е</t>
        </is>
      </c>
      <c r="E34" s="20">
        <f>#REF!</f>
        <v/>
      </c>
      <c r="F34" s="3">
        <f>#REF!</f>
        <v/>
      </c>
      <c r="G34" s="3">
        <f>#REF!</f>
        <v/>
      </c>
      <c r="H34" s="3">
        <f>#REF!</f>
        <v/>
      </c>
      <c r="I34" s="3">
        <f>#REF!</f>
        <v/>
      </c>
      <c r="J34" s="10">
        <f>#REF!</f>
        <v/>
      </c>
      <c r="K34" s="20">
        <f>#REF!</f>
        <v/>
      </c>
      <c r="L34" s="3">
        <f>#REF!</f>
        <v/>
      </c>
      <c r="M34" s="3">
        <f>#REF!</f>
        <v/>
      </c>
      <c r="N34" s="3">
        <f>#REF!</f>
        <v/>
      </c>
      <c r="O34" s="3">
        <f>#REF!</f>
        <v/>
      </c>
      <c r="P34" s="10">
        <f>#REF!</f>
        <v/>
      </c>
      <c r="Q34" s="20">
        <f>#REF!</f>
        <v/>
      </c>
      <c r="R34" s="3">
        <f>#REF!</f>
        <v/>
      </c>
      <c r="S34" s="3">
        <f>#REF!</f>
        <v/>
      </c>
      <c r="T34" s="3">
        <f>#REF!</f>
        <v/>
      </c>
      <c r="U34" s="3">
        <f>#REF!</f>
        <v/>
      </c>
      <c r="V34" s="10">
        <f>#REF!</f>
        <v/>
      </c>
      <c r="W34" s="20">
        <f>#REF!</f>
        <v/>
      </c>
      <c r="X34" s="3">
        <f>#REF!</f>
        <v/>
      </c>
      <c r="Y34" s="3">
        <f>#REF!</f>
        <v/>
      </c>
      <c r="Z34" s="10">
        <f>#REF!</f>
        <v/>
      </c>
    </row>
    <row r="35" ht="24.9" customHeight="1" s="141">
      <c r="B35" s="131" t="n">
        <v>16</v>
      </c>
      <c r="C35" s="28" t="n"/>
      <c r="D35" s="37" t="n"/>
      <c r="E35" s="20">
        <f>#REF!</f>
        <v/>
      </c>
      <c r="F35" s="3">
        <f>#REF!</f>
        <v/>
      </c>
      <c r="G35" s="3">
        <f>#REF!</f>
        <v/>
      </c>
      <c r="H35" s="3">
        <f>#REF!</f>
        <v/>
      </c>
      <c r="I35" s="3">
        <f>#REF!</f>
        <v/>
      </c>
      <c r="J35" s="10">
        <f>#REF!</f>
        <v/>
      </c>
      <c r="K35" s="20">
        <f>#REF!</f>
        <v/>
      </c>
      <c r="L35" s="3">
        <f>#REF!</f>
        <v/>
      </c>
      <c r="M35" s="3">
        <f>#REF!</f>
        <v/>
      </c>
      <c r="N35" s="3">
        <f>#REF!</f>
        <v/>
      </c>
      <c r="O35" s="3">
        <f>#REF!</f>
        <v/>
      </c>
      <c r="P35" s="10">
        <f>#REF!</f>
        <v/>
      </c>
      <c r="Q35" s="20">
        <f>#REF!</f>
        <v/>
      </c>
      <c r="R35" s="3">
        <f>#REF!</f>
        <v/>
      </c>
      <c r="S35" s="3">
        <f>#REF!</f>
        <v/>
      </c>
      <c r="T35" s="3">
        <f>#REF!</f>
        <v/>
      </c>
      <c r="U35" s="3">
        <f>#REF!</f>
        <v/>
      </c>
      <c r="V35" s="10">
        <f>#REF!</f>
        <v/>
      </c>
      <c r="W35" s="20">
        <f>#REF!</f>
        <v/>
      </c>
      <c r="X35" s="3">
        <f>#REF!</f>
        <v/>
      </c>
      <c r="Y35" s="3">
        <f>#REF!</f>
        <v/>
      </c>
      <c r="Z35" s="10">
        <f>#REF!</f>
        <v/>
      </c>
    </row>
    <row r="36" ht="24.9" customHeight="1" s="141">
      <c r="B36" s="131" t="n">
        <v>17</v>
      </c>
      <c r="C36" s="28" t="n"/>
      <c r="D36" s="37" t="n"/>
      <c r="E36" s="20">
        <f>#REF!</f>
        <v/>
      </c>
      <c r="F36" s="3">
        <f>#REF!</f>
        <v/>
      </c>
      <c r="G36" s="3">
        <f>#REF!</f>
        <v/>
      </c>
      <c r="H36" s="3">
        <f>#REF!</f>
        <v/>
      </c>
      <c r="I36" s="3">
        <f>#REF!</f>
        <v/>
      </c>
      <c r="J36" s="10">
        <f>#REF!</f>
        <v/>
      </c>
      <c r="K36" s="20">
        <f>#REF!</f>
        <v/>
      </c>
      <c r="L36" s="3">
        <f>#REF!</f>
        <v/>
      </c>
      <c r="M36" s="3">
        <f>#REF!</f>
        <v/>
      </c>
      <c r="N36" s="3">
        <f>#REF!</f>
        <v/>
      </c>
      <c r="O36" s="3">
        <f>#REF!</f>
        <v/>
      </c>
      <c r="P36" s="10">
        <f>#REF!</f>
        <v/>
      </c>
      <c r="Q36" s="20">
        <f>#REF!</f>
        <v/>
      </c>
      <c r="R36" s="3">
        <f>#REF!</f>
        <v/>
      </c>
      <c r="S36" s="3">
        <f>#REF!</f>
        <v/>
      </c>
      <c r="T36" s="3">
        <f>#REF!</f>
        <v/>
      </c>
      <c r="U36" s="3">
        <f>#REF!</f>
        <v/>
      </c>
      <c r="V36" s="10">
        <f>#REF!</f>
        <v/>
      </c>
      <c r="W36" s="20">
        <f>#REF!</f>
        <v/>
      </c>
      <c r="X36" s="3">
        <f>#REF!</f>
        <v/>
      </c>
      <c r="Y36" s="3">
        <f>#REF!</f>
        <v/>
      </c>
      <c r="Z36" s="10">
        <f>#REF!</f>
        <v/>
      </c>
    </row>
    <row r="37" ht="24.9" customHeight="1" s="141">
      <c r="B37" s="131" t="n">
        <v>18</v>
      </c>
      <c r="C37" s="28" t="n"/>
      <c r="D37" s="37" t="n"/>
      <c r="E37" s="20">
        <f>#REF!</f>
        <v/>
      </c>
      <c r="F37" s="3">
        <f>#REF!</f>
        <v/>
      </c>
      <c r="G37" s="3">
        <f>#REF!</f>
        <v/>
      </c>
      <c r="H37" s="3">
        <f>#REF!</f>
        <v/>
      </c>
      <c r="I37" s="3">
        <f>#REF!</f>
        <v/>
      </c>
      <c r="J37" s="10">
        <f>#REF!</f>
        <v/>
      </c>
      <c r="K37" s="20">
        <f>#REF!</f>
        <v/>
      </c>
      <c r="L37" s="3">
        <f>#REF!</f>
        <v/>
      </c>
      <c r="M37" s="3">
        <f>#REF!</f>
        <v/>
      </c>
      <c r="N37" s="3">
        <f>#REF!</f>
        <v/>
      </c>
      <c r="O37" s="3">
        <f>#REF!</f>
        <v/>
      </c>
      <c r="P37" s="10">
        <f>#REF!</f>
        <v/>
      </c>
      <c r="Q37" s="20">
        <f>#REF!</f>
        <v/>
      </c>
      <c r="R37" s="3">
        <f>#REF!</f>
        <v/>
      </c>
      <c r="S37" s="3">
        <f>#REF!</f>
        <v/>
      </c>
      <c r="T37" s="3">
        <f>#REF!</f>
        <v/>
      </c>
      <c r="U37" s="3">
        <f>#REF!</f>
        <v/>
      </c>
      <c r="V37" s="10">
        <f>#REF!</f>
        <v/>
      </c>
      <c r="W37" s="20">
        <f>#REF!</f>
        <v/>
      </c>
      <c r="X37" s="3">
        <f>#REF!</f>
        <v/>
      </c>
      <c r="Y37" s="3">
        <f>#REF!</f>
        <v/>
      </c>
      <c r="Z37" s="10">
        <f>#REF!</f>
        <v/>
      </c>
    </row>
    <row r="38" ht="24.9" customHeight="1" s="141">
      <c r="B38" s="131" t="n">
        <v>19</v>
      </c>
      <c r="C38" s="28" t="n"/>
      <c r="D38" s="37" t="n"/>
      <c r="E38" s="20">
        <f>#REF!</f>
        <v/>
      </c>
      <c r="F38" s="3">
        <f>#REF!</f>
        <v/>
      </c>
      <c r="G38" s="3">
        <f>#REF!</f>
        <v/>
      </c>
      <c r="H38" s="3">
        <f>#REF!</f>
        <v/>
      </c>
      <c r="I38" s="3">
        <f>#REF!</f>
        <v/>
      </c>
      <c r="J38" s="10">
        <f>#REF!</f>
        <v/>
      </c>
      <c r="K38" s="20">
        <f>#REF!</f>
        <v/>
      </c>
      <c r="L38" s="3">
        <f>#REF!</f>
        <v/>
      </c>
      <c r="M38" s="3">
        <f>#REF!</f>
        <v/>
      </c>
      <c r="N38" s="3">
        <f>#REF!</f>
        <v/>
      </c>
      <c r="O38" s="3">
        <f>#REF!</f>
        <v/>
      </c>
      <c r="P38" s="10">
        <f>#REF!</f>
        <v/>
      </c>
      <c r="Q38" s="20">
        <f>#REF!</f>
        <v/>
      </c>
      <c r="R38" s="3">
        <f>#REF!</f>
        <v/>
      </c>
      <c r="S38" s="3">
        <f>#REF!</f>
        <v/>
      </c>
      <c r="T38" s="3">
        <f>#REF!</f>
        <v/>
      </c>
      <c r="U38" s="3">
        <f>#REF!</f>
        <v/>
      </c>
      <c r="V38" s="10">
        <f>#REF!</f>
        <v/>
      </c>
      <c r="W38" s="20">
        <f>#REF!</f>
        <v/>
      </c>
      <c r="X38" s="3">
        <f>#REF!</f>
        <v/>
      </c>
      <c r="Y38" s="3">
        <f>#REF!</f>
        <v/>
      </c>
      <c r="Z38" s="10">
        <f>#REF!</f>
        <v/>
      </c>
    </row>
    <row r="39" ht="24.9" customHeight="1" s="141">
      <c r="B39" s="131" t="n">
        <v>20</v>
      </c>
      <c r="C39" s="28" t="n"/>
      <c r="D39" s="37" t="n"/>
      <c r="E39" s="20">
        <f>#REF!</f>
        <v/>
      </c>
      <c r="F39" s="3">
        <f>#REF!</f>
        <v/>
      </c>
      <c r="G39" s="3">
        <f>#REF!</f>
        <v/>
      </c>
      <c r="H39" s="3">
        <f>#REF!</f>
        <v/>
      </c>
      <c r="I39" s="3">
        <f>#REF!</f>
        <v/>
      </c>
      <c r="J39" s="10">
        <f>#REF!</f>
        <v/>
      </c>
      <c r="K39" s="20">
        <f>#REF!</f>
        <v/>
      </c>
      <c r="L39" s="3">
        <f>#REF!</f>
        <v/>
      </c>
      <c r="M39" s="3">
        <f>#REF!</f>
        <v/>
      </c>
      <c r="N39" s="3">
        <f>#REF!</f>
        <v/>
      </c>
      <c r="O39" s="3">
        <f>#REF!</f>
        <v/>
      </c>
      <c r="P39" s="10">
        <f>#REF!</f>
        <v/>
      </c>
      <c r="Q39" s="20">
        <f>#REF!</f>
        <v/>
      </c>
      <c r="R39" s="3">
        <f>#REF!</f>
        <v/>
      </c>
      <c r="S39" s="3">
        <f>#REF!</f>
        <v/>
      </c>
      <c r="T39" s="3">
        <f>#REF!</f>
        <v/>
      </c>
      <c r="U39" s="3">
        <f>#REF!</f>
        <v/>
      </c>
      <c r="V39" s="10">
        <f>#REF!</f>
        <v/>
      </c>
      <c r="W39" s="20">
        <f>#REF!</f>
        <v/>
      </c>
      <c r="X39" s="3">
        <f>#REF!</f>
        <v/>
      </c>
      <c r="Y39" s="3">
        <f>#REF!</f>
        <v/>
      </c>
      <c r="Z39" s="10">
        <f>#REF!</f>
        <v/>
      </c>
    </row>
    <row r="40" ht="24.9" customHeight="1" s="141">
      <c r="B40" s="131" t="n">
        <v>21</v>
      </c>
      <c r="C40" s="28" t="n"/>
      <c r="D40" s="37" t="n"/>
      <c r="E40" s="20">
        <f>#REF!</f>
        <v/>
      </c>
      <c r="F40" s="3">
        <f>#REF!</f>
        <v/>
      </c>
      <c r="G40" s="3">
        <f>#REF!</f>
        <v/>
      </c>
      <c r="H40" s="3">
        <f>#REF!</f>
        <v/>
      </c>
      <c r="I40" s="3">
        <f>#REF!</f>
        <v/>
      </c>
      <c r="J40" s="10">
        <f>#REF!</f>
        <v/>
      </c>
      <c r="K40" s="20">
        <f>#REF!</f>
        <v/>
      </c>
      <c r="L40" s="3">
        <f>#REF!</f>
        <v/>
      </c>
      <c r="M40" s="3">
        <f>#REF!</f>
        <v/>
      </c>
      <c r="N40" s="3">
        <f>#REF!</f>
        <v/>
      </c>
      <c r="O40" s="3">
        <f>#REF!</f>
        <v/>
      </c>
      <c r="P40" s="10">
        <f>#REF!</f>
        <v/>
      </c>
      <c r="Q40" s="20">
        <f>#REF!</f>
        <v/>
      </c>
      <c r="R40" s="3">
        <f>#REF!</f>
        <v/>
      </c>
      <c r="S40" s="3">
        <f>#REF!</f>
        <v/>
      </c>
      <c r="T40" s="3">
        <f>#REF!</f>
        <v/>
      </c>
      <c r="U40" s="3">
        <f>#REF!</f>
        <v/>
      </c>
      <c r="V40" s="10">
        <f>#REF!</f>
        <v/>
      </c>
      <c r="W40" s="20">
        <f>#REF!</f>
        <v/>
      </c>
      <c r="X40" s="3">
        <f>#REF!</f>
        <v/>
      </c>
      <c r="Y40" s="3">
        <f>#REF!</f>
        <v/>
      </c>
      <c r="Z40" s="10">
        <f>#REF!</f>
        <v/>
      </c>
    </row>
    <row r="41" ht="24.9" customHeight="1" s="141">
      <c r="B41" s="131" t="n">
        <v>22</v>
      </c>
      <c r="C41" s="28" t="n"/>
      <c r="D41" s="37" t="n"/>
      <c r="E41" s="20">
        <f>#REF!</f>
        <v/>
      </c>
      <c r="F41" s="3">
        <f>#REF!</f>
        <v/>
      </c>
      <c r="G41" s="3">
        <f>#REF!</f>
        <v/>
      </c>
      <c r="H41" s="3">
        <f>#REF!</f>
        <v/>
      </c>
      <c r="I41" s="3">
        <f>#REF!</f>
        <v/>
      </c>
      <c r="J41" s="10">
        <f>#REF!</f>
        <v/>
      </c>
      <c r="K41" s="20">
        <f>#REF!</f>
        <v/>
      </c>
      <c r="L41" s="3">
        <f>#REF!</f>
        <v/>
      </c>
      <c r="M41" s="3">
        <f>#REF!</f>
        <v/>
      </c>
      <c r="N41" s="3">
        <f>#REF!</f>
        <v/>
      </c>
      <c r="O41" s="3">
        <f>#REF!</f>
        <v/>
      </c>
      <c r="P41" s="10">
        <f>#REF!</f>
        <v/>
      </c>
      <c r="Q41" s="20">
        <f>#REF!</f>
        <v/>
      </c>
      <c r="R41" s="3">
        <f>#REF!</f>
        <v/>
      </c>
      <c r="S41" s="3">
        <f>#REF!</f>
        <v/>
      </c>
      <c r="T41" s="3">
        <f>#REF!</f>
        <v/>
      </c>
      <c r="U41" s="3">
        <f>#REF!</f>
        <v/>
      </c>
      <c r="V41" s="10">
        <f>#REF!</f>
        <v/>
      </c>
      <c r="W41" s="20">
        <f>#REF!</f>
        <v/>
      </c>
      <c r="X41" s="3">
        <f>#REF!</f>
        <v/>
      </c>
      <c r="Y41" s="3">
        <f>#REF!</f>
        <v/>
      </c>
      <c r="Z41" s="10">
        <f>#REF!</f>
        <v/>
      </c>
    </row>
    <row r="42" ht="24.9" customHeight="1" s="141">
      <c r="B42" s="131" t="n">
        <v>23</v>
      </c>
      <c r="C42" s="28" t="n"/>
      <c r="D42" s="37" t="n"/>
      <c r="E42" s="20">
        <f>#REF!</f>
        <v/>
      </c>
      <c r="F42" s="3">
        <f>#REF!</f>
        <v/>
      </c>
      <c r="G42" s="3">
        <f>#REF!</f>
        <v/>
      </c>
      <c r="H42" s="3">
        <f>#REF!</f>
        <v/>
      </c>
      <c r="I42" s="3">
        <f>#REF!</f>
        <v/>
      </c>
      <c r="J42" s="10">
        <f>#REF!</f>
        <v/>
      </c>
      <c r="K42" s="20">
        <f>#REF!</f>
        <v/>
      </c>
      <c r="L42" s="3">
        <f>#REF!</f>
        <v/>
      </c>
      <c r="M42" s="3">
        <f>#REF!</f>
        <v/>
      </c>
      <c r="N42" s="3">
        <f>#REF!</f>
        <v/>
      </c>
      <c r="O42" s="3">
        <f>#REF!</f>
        <v/>
      </c>
      <c r="P42" s="10">
        <f>#REF!</f>
        <v/>
      </c>
      <c r="Q42" s="20">
        <f>#REF!</f>
        <v/>
      </c>
      <c r="R42" s="3">
        <f>#REF!</f>
        <v/>
      </c>
      <c r="S42" s="3">
        <f>#REF!</f>
        <v/>
      </c>
      <c r="T42" s="3">
        <f>#REF!</f>
        <v/>
      </c>
      <c r="U42" s="3">
        <f>#REF!</f>
        <v/>
      </c>
      <c r="V42" s="10">
        <f>#REF!</f>
        <v/>
      </c>
      <c r="W42" s="20">
        <f>#REF!</f>
        <v/>
      </c>
      <c r="X42" s="3">
        <f>#REF!</f>
        <v/>
      </c>
      <c r="Y42" s="3">
        <f>#REF!</f>
        <v/>
      </c>
      <c r="Z42" s="10">
        <f>#REF!</f>
        <v/>
      </c>
    </row>
    <row r="43" ht="24.9" customHeight="1" s="141">
      <c r="B43" s="131" t="n">
        <v>24</v>
      </c>
      <c r="C43" s="28" t="n"/>
      <c r="D43" s="37" t="n"/>
      <c r="E43" s="20">
        <f>#REF!</f>
        <v/>
      </c>
      <c r="F43" s="3">
        <f>#REF!</f>
        <v/>
      </c>
      <c r="G43" s="3">
        <f>#REF!</f>
        <v/>
      </c>
      <c r="H43" s="3">
        <f>#REF!</f>
        <v/>
      </c>
      <c r="I43" s="3">
        <f>#REF!</f>
        <v/>
      </c>
      <c r="J43" s="10">
        <f>#REF!</f>
        <v/>
      </c>
      <c r="K43" s="20">
        <f>#REF!</f>
        <v/>
      </c>
      <c r="L43" s="3">
        <f>#REF!</f>
        <v/>
      </c>
      <c r="M43" s="3">
        <f>#REF!</f>
        <v/>
      </c>
      <c r="N43" s="3">
        <f>#REF!</f>
        <v/>
      </c>
      <c r="O43" s="3">
        <f>#REF!</f>
        <v/>
      </c>
      <c r="P43" s="10">
        <f>#REF!</f>
        <v/>
      </c>
      <c r="Q43" s="20">
        <f>#REF!</f>
        <v/>
      </c>
      <c r="R43" s="3">
        <f>#REF!</f>
        <v/>
      </c>
      <c r="S43" s="3">
        <f>#REF!</f>
        <v/>
      </c>
      <c r="T43" s="3">
        <f>#REF!</f>
        <v/>
      </c>
      <c r="U43" s="3">
        <f>#REF!</f>
        <v/>
      </c>
      <c r="V43" s="10">
        <f>#REF!</f>
        <v/>
      </c>
      <c r="W43" s="20">
        <f>#REF!</f>
        <v/>
      </c>
      <c r="X43" s="3">
        <f>#REF!</f>
        <v/>
      </c>
      <c r="Y43" s="3">
        <f>#REF!</f>
        <v/>
      </c>
      <c r="Z43" s="10">
        <f>#REF!</f>
        <v/>
      </c>
    </row>
    <row r="44" ht="24.9" customHeight="1" s="141" thickBot="1">
      <c r="B44" s="132" t="n">
        <v>25</v>
      </c>
      <c r="C44" s="133" t="n"/>
      <c r="D44" s="134" t="n"/>
      <c r="E44" s="167">
        <f>#REF!</f>
        <v/>
      </c>
      <c r="F44" s="168">
        <f>#REF!</f>
        <v/>
      </c>
      <c r="G44" s="168">
        <f>#REF!</f>
        <v/>
      </c>
      <c r="H44" s="168">
        <f>#REF!</f>
        <v/>
      </c>
      <c r="I44" s="168">
        <f>#REF!</f>
        <v/>
      </c>
      <c r="J44" s="169">
        <f>#REF!</f>
        <v/>
      </c>
      <c r="K44" s="167">
        <f>#REF!</f>
        <v/>
      </c>
      <c r="L44" s="168">
        <f>#REF!</f>
        <v/>
      </c>
      <c r="M44" s="168">
        <f>#REF!</f>
        <v/>
      </c>
      <c r="N44" s="168">
        <f>#REF!</f>
        <v/>
      </c>
      <c r="O44" s="168">
        <f>#REF!</f>
        <v/>
      </c>
      <c r="P44" s="169">
        <f>#REF!</f>
        <v/>
      </c>
      <c r="Q44" s="167">
        <f>#REF!</f>
        <v/>
      </c>
      <c r="R44" s="168">
        <f>#REF!</f>
        <v/>
      </c>
      <c r="S44" s="168">
        <f>#REF!</f>
        <v/>
      </c>
      <c r="T44" s="168">
        <f>#REF!</f>
        <v/>
      </c>
      <c r="U44" s="168">
        <f>#REF!</f>
        <v/>
      </c>
      <c r="V44" s="169">
        <f>#REF!</f>
        <v/>
      </c>
      <c r="W44" s="167">
        <f>#REF!</f>
        <v/>
      </c>
      <c r="X44" s="168">
        <f>#REF!</f>
        <v/>
      </c>
      <c r="Y44" s="168">
        <f>#REF!</f>
        <v/>
      </c>
      <c r="Z44" s="169">
        <f>#REF!</f>
        <v/>
      </c>
    </row>
    <row r="45" ht="24.9" customHeight="1" s="141" thickBot="1">
      <c r="B45" s="244" t="inlineStr">
        <is>
          <t>Среднее (тыс.шт/га; см; м; лет)</t>
        </is>
      </c>
      <c r="C45" s="245" t="n"/>
      <c r="D45" s="246" t="n"/>
      <c r="E45" s="190">
        <f>#REF!</f>
        <v/>
      </c>
      <c r="F45" s="191">
        <f>#REF!</f>
        <v/>
      </c>
      <c r="G45" s="191">
        <f>#REF!</f>
        <v/>
      </c>
      <c r="H45" s="191">
        <f>#REF!</f>
        <v/>
      </c>
      <c r="I45" s="191">
        <f>#REF!</f>
        <v/>
      </c>
      <c r="J45" s="192">
        <f>#REF!</f>
        <v/>
      </c>
      <c r="K45" s="190">
        <f>#REF!</f>
        <v/>
      </c>
      <c r="L45" s="191">
        <f>#REF!</f>
        <v/>
      </c>
      <c r="M45" s="191">
        <f>#REF!</f>
        <v/>
      </c>
      <c r="N45" s="191">
        <f>#REF!</f>
        <v/>
      </c>
      <c r="O45" s="191">
        <f>#REF!</f>
        <v/>
      </c>
      <c r="P45" s="192">
        <f>#REF!</f>
        <v/>
      </c>
      <c r="Q45" s="190">
        <f>#REF!</f>
        <v/>
      </c>
      <c r="R45" s="191">
        <f>#REF!</f>
        <v/>
      </c>
      <c r="S45" s="191">
        <f>#REF!</f>
        <v/>
      </c>
      <c r="T45" s="191">
        <f>#REF!</f>
        <v/>
      </c>
      <c r="U45" s="191">
        <f>#REF!</f>
        <v/>
      </c>
      <c r="V45" s="192">
        <f>#REF!</f>
        <v/>
      </c>
      <c r="W45" s="190">
        <f>#REF!</f>
        <v/>
      </c>
      <c r="X45" s="191">
        <f>#REF!</f>
        <v/>
      </c>
      <c r="Y45" s="191">
        <f>#REF!</f>
        <v/>
      </c>
      <c r="Z45" s="192">
        <f>#REF!</f>
        <v/>
      </c>
    </row>
    <row r="46" ht="24.9" customHeight="1" s="141" thickBot="1">
      <c r="B46" s="247" t="inlineStr">
        <is>
          <t>H выше 1.5 (метров)</t>
        </is>
      </c>
      <c r="C46" s="248" t="n"/>
      <c r="D46" s="249" t="n"/>
      <c r="E46" s="172">
        <f>#REF!</f>
        <v/>
      </c>
      <c r="F46" s="170">
        <f>#REF!</f>
        <v/>
      </c>
      <c r="G46" s="170">
        <f>#REF!</f>
        <v/>
      </c>
      <c r="H46" s="170">
        <f>#REF!</f>
        <v/>
      </c>
      <c r="I46" s="170">
        <f>#REF!</f>
        <v/>
      </c>
      <c r="J46" s="171">
        <f>#REF!</f>
        <v/>
      </c>
      <c r="K46" s="172">
        <f>#REF!</f>
        <v/>
      </c>
      <c r="L46" s="170">
        <f>#REF!</f>
        <v/>
      </c>
      <c r="M46" s="170">
        <f>#REF!</f>
        <v/>
      </c>
      <c r="N46" s="170">
        <f>#REF!</f>
        <v/>
      </c>
      <c r="O46" s="170">
        <f>#REF!</f>
        <v/>
      </c>
      <c r="P46" s="171">
        <f>#REF!</f>
        <v/>
      </c>
      <c r="Q46" s="172">
        <f>#REF!</f>
        <v/>
      </c>
      <c r="R46" s="170">
        <f>#REF!</f>
        <v/>
      </c>
      <c r="S46" s="170">
        <f>#REF!</f>
        <v/>
      </c>
      <c r="T46" s="170">
        <f>#REF!</f>
        <v/>
      </c>
      <c r="U46" s="170">
        <f>#REF!</f>
        <v/>
      </c>
      <c r="V46" s="171">
        <f>#REF!</f>
        <v/>
      </c>
      <c r="W46" s="172">
        <f>#REF!</f>
        <v/>
      </c>
      <c r="X46" s="170">
        <f>#REF!</f>
        <v/>
      </c>
      <c r="Y46" s="170">
        <f>#REF!</f>
        <v/>
      </c>
      <c r="Z46" s="171">
        <f>#REF!</f>
        <v/>
      </c>
    </row>
    <row r="47" ht="24.9" customHeight="1" s="141"/>
    <row r="48" ht="24.9" customHeight="1" s="141"/>
    <row r="54">
      <c r="C54" s="139" t="n"/>
      <c r="G54" s="123" t="n"/>
      <c r="H54" s="139" t="n"/>
      <c r="I54" s="139" t="n"/>
      <c r="J54" s="139" t="n"/>
      <c r="K54" s="139" t="n"/>
    </row>
    <row r="55">
      <c r="C55" s="139" t="n"/>
      <c r="G55" s="123" t="n"/>
      <c r="H55" s="139" t="n"/>
      <c r="I55" s="139" t="n"/>
      <c r="J55" s="139" t="n"/>
      <c r="K55" s="139" t="n"/>
    </row>
    <row r="56">
      <c r="C56" s="139" t="n"/>
      <c r="G56" s="123" t="n"/>
      <c r="H56" s="139" t="n"/>
      <c r="I56" s="139" t="n"/>
      <c r="J56" s="139" t="n"/>
      <c r="K56" s="139" t="n"/>
    </row>
    <row r="57">
      <c r="C57" s="139" t="n"/>
      <c r="G57" s="123" t="n"/>
      <c r="H57" s="139" t="n"/>
      <c r="I57" s="139" t="n"/>
      <c r="J57" s="139" t="n"/>
      <c r="K57" s="139" t="n"/>
    </row>
    <row r="58">
      <c r="C58" s="139" t="n"/>
      <c r="G58" s="123" t="n"/>
      <c r="H58" s="139" t="n"/>
      <c r="I58" s="139" t="n"/>
      <c r="J58" s="139" t="n"/>
      <c r="K58" s="139" t="n"/>
    </row>
    <row r="59">
      <c r="C59" s="139" t="n"/>
      <c r="G59" s="123" t="n"/>
      <c r="H59" s="139" t="n"/>
      <c r="I59" s="139" t="n"/>
      <c r="J59" s="139" t="n"/>
      <c r="K59" s="139" t="n"/>
    </row>
    <row r="60">
      <c r="C60" s="139" t="n"/>
      <c r="G60" s="123" t="n"/>
      <c r="H60" s="139" t="n"/>
      <c r="I60" s="139" t="n"/>
      <c r="J60" s="139" t="n"/>
      <c r="K60" s="139" t="n"/>
    </row>
    <row r="61">
      <c r="C61" s="139" t="n"/>
      <c r="G61" s="123" t="n"/>
      <c r="H61" s="139" t="n"/>
      <c r="I61" s="139" t="n"/>
      <c r="J61" s="139" t="n"/>
      <c r="K61" s="139" t="n"/>
    </row>
    <row r="62">
      <c r="C62" s="139" t="n"/>
      <c r="G62" s="123" t="n"/>
      <c r="H62" s="139" t="n"/>
      <c r="I62" s="139" t="n"/>
      <c r="J62" s="139" t="n"/>
      <c r="K62" s="139" t="n"/>
    </row>
    <row r="63">
      <c r="C63" s="139" t="n"/>
      <c r="G63" s="123" t="n"/>
      <c r="H63" s="139" t="n"/>
      <c r="I63" s="139" t="n"/>
      <c r="J63" s="139" t="n"/>
      <c r="K63" s="139" t="n"/>
    </row>
    <row r="64">
      <c r="J64" s="139" t="n"/>
      <c r="K64" s="139" t="n"/>
    </row>
    <row r="65">
      <c r="J65" s="139" t="n"/>
      <c r="K65" s="139" t="n"/>
    </row>
    <row r="66">
      <c r="C66" s="139" t="n"/>
      <c r="G66" s="123" t="n"/>
      <c r="H66" s="123" t="n"/>
      <c r="I66" s="123" t="n"/>
      <c r="J66" s="123" t="n"/>
      <c r="K66" s="139" t="n"/>
    </row>
  </sheetData>
  <mergeCells count="7">
    <mergeCell ref="W18:Z18"/>
    <mergeCell ref="B45:D45"/>
    <mergeCell ref="B46:D46"/>
    <mergeCell ref="Q18:V18"/>
    <mergeCell ref="E18:J18"/>
    <mergeCell ref="K18:P18"/>
    <mergeCell ref="C18:D18"/>
  </mergeCells>
  <pageMargins left="0.2362204724409449" right="0.2362204724409449" top="0.5511811023622047" bottom="0.5511811023622047" header="0" footer="0"/>
  <pageSetup orientation="landscape" paperSize="9" scale="5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Богачёв Павел</dc:creator>
  <dcterms:created xsi:type="dcterms:W3CDTF">2021-06-29T19:30:12Z</dcterms:created>
  <dcterms:modified xsi:type="dcterms:W3CDTF">2025-11-10T20:30:45Z</dcterms:modified>
  <cp:lastModifiedBy>Вася Дудин</cp:lastModifiedBy>
  <cp:lastPrinted>2024-07-03T18:38:22Z</cp:lastPrinted>
</cp:coreProperties>
</file>