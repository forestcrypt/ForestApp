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48" yWindow="348" windowWidth="23256" windowHeight="9216" tabRatio="665" activeTab="14"/>
  </bookViews>
  <sheets>
    <sheet name="До рубки 208 1.1" sheetId="38" r:id="rId1"/>
    <sheet name="Стр. 2 Породы (2)" sheetId="21" r:id="rId2"/>
    <sheet name="До рубки 205 д.2" sheetId="24" r:id="rId3"/>
    <sheet name="До рубки 183 в 10(осв)" sheetId="27" r:id="rId4"/>
    <sheet name="До рубки 183 в 17(осв) " sheetId="28" r:id="rId5"/>
    <sheet name="До рубки 174 в 17(осв)" sheetId="29" r:id="rId6"/>
    <sheet name="До рубки 176 в 5(прч)" sheetId="30" r:id="rId7"/>
    <sheet name="До рубки 155 в 23(прч)" sheetId="31" r:id="rId8"/>
    <sheet name="До рубки 138 в 13(осв)" sheetId="32" r:id="rId9"/>
    <sheet name="До рубки 138 в 22(прч)" sheetId="33" r:id="rId10"/>
    <sheet name="До рубки 163 в 3( прч)" sheetId="34" r:id="rId11"/>
    <sheet name="До рубки 135 в 34(осв)" sheetId="35" r:id="rId12"/>
    <sheet name="До рубки 152 в 16(осв)" sheetId="36" r:id="rId13"/>
    <sheet name="До рубки 151 в 8(осв)" sheetId="37" r:id="rId14"/>
    <sheet name="До рубки 173 В 4" sheetId="39" r:id="rId15"/>
    <sheet name="До рубки 152 В 26" sheetId="40" r:id="rId16"/>
    <sheet name="Чистый бланк" sheetId="13" r:id="rId17"/>
    <sheet name="До рубки 205 д.1" sheetId="22" r:id="rId18"/>
    <sheet name="Проектируемые данныеПосле рубки" sheetId="16" r:id="rId19"/>
    <sheet name="Расчёты для проекта" sheetId="2" r:id="rId20"/>
    <sheet name="Проект" sheetId="17" r:id="rId21"/>
    <sheet name="Стр. 1 Породы" sheetId="18" r:id="rId22"/>
    <sheet name="Стр. 2 Породы" sheetId="19" r:id="rId23"/>
    <sheet name="Стр. 1 Породы (2)" sheetId="20" r:id="rId24"/>
  </sheets>
  <definedNames>
    <definedName name="_xlnm.Print_Area" localSheetId="20">Проект!$A$1:$M$58</definedName>
  </definedNames>
  <calcPr calcId="14562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D77" i="40" l="1"/>
  <c r="C77" i="40"/>
  <c r="B77" i="40"/>
  <c r="C76" i="40"/>
  <c r="B76" i="40"/>
  <c r="D75" i="40"/>
  <c r="C75" i="40"/>
  <c r="B75" i="40"/>
  <c r="D74" i="40"/>
  <c r="C74" i="40"/>
  <c r="B74" i="40"/>
  <c r="C73" i="40"/>
  <c r="B73" i="40"/>
  <c r="R72" i="40"/>
  <c r="R71" i="40"/>
  <c r="R70" i="40"/>
  <c r="R69" i="40"/>
  <c r="R68" i="40"/>
  <c r="R67" i="40"/>
  <c r="R66" i="40"/>
  <c r="R65" i="40"/>
  <c r="R64" i="40"/>
  <c r="R63" i="40"/>
  <c r="X62" i="40"/>
  <c r="D62" i="40" s="1"/>
  <c r="W62" i="40"/>
  <c r="V62" i="40"/>
  <c r="B62" i="40" s="1"/>
  <c r="C62" i="40"/>
  <c r="U60" i="40"/>
  <c r="BL52" i="40"/>
  <c r="X72" i="40" s="1"/>
  <c r="BJ52" i="40"/>
  <c r="V72" i="40" s="1"/>
  <c r="BI52" i="40"/>
  <c r="U72" i="40" s="1"/>
  <c r="BH52" i="40"/>
  <c r="X71" i="40" s="1"/>
  <c r="BF52" i="40"/>
  <c r="V71" i="40" s="1"/>
  <c r="BE52" i="40"/>
  <c r="U71" i="40" s="1"/>
  <c r="BD52" i="40"/>
  <c r="X70" i="40" s="1"/>
  <c r="BB52" i="40"/>
  <c r="V70" i="40" s="1"/>
  <c r="BA52" i="40"/>
  <c r="U70" i="40" s="1"/>
  <c r="AZ52" i="40"/>
  <c r="X69" i="40" s="1"/>
  <c r="AX52" i="40"/>
  <c r="V69" i="40" s="1"/>
  <c r="AW52" i="40"/>
  <c r="U69" i="40" s="1"/>
  <c r="AV52" i="40"/>
  <c r="X68" i="40" s="1"/>
  <c r="AT52" i="40"/>
  <c r="V68" i="40" s="1"/>
  <c r="B68" i="40" s="1"/>
  <c r="AS52" i="40"/>
  <c r="U68" i="40" s="1"/>
  <c r="AR52" i="40"/>
  <c r="X67" i="40" s="1"/>
  <c r="AP52" i="40"/>
  <c r="V67" i="40" s="1"/>
  <c r="AO52" i="40"/>
  <c r="U67" i="40" s="1"/>
  <c r="AN52" i="40"/>
  <c r="X66" i="40" s="1"/>
  <c r="AL52" i="40"/>
  <c r="V66" i="40" s="1"/>
  <c r="B66" i="40" s="1"/>
  <c r="AK52" i="40"/>
  <c r="U66" i="40" s="1"/>
  <c r="AJ52" i="40"/>
  <c r="X65" i="40" s="1"/>
  <c r="AH52" i="40"/>
  <c r="V65" i="40" s="1"/>
  <c r="AG52" i="40"/>
  <c r="AF52" i="40"/>
  <c r="AE52" i="40"/>
  <c r="U65" i="40" s="1"/>
  <c r="AD52" i="40"/>
  <c r="X64" i="40" s="1"/>
  <c r="AB52" i="40"/>
  <c r="V64" i="40" s="1"/>
  <c r="AA52" i="40"/>
  <c r="Z52" i="40"/>
  <c r="Y52" i="40"/>
  <c r="X52" i="40"/>
  <c r="X63" i="40" s="1"/>
  <c r="V52" i="40"/>
  <c r="V63" i="40" s="1"/>
  <c r="U52" i="40"/>
  <c r="T52" i="40"/>
  <c r="S52" i="40"/>
  <c r="U63" i="40" s="1"/>
  <c r="L51" i="40"/>
  <c r="K51" i="40"/>
  <c r="J51" i="40"/>
  <c r="I51" i="40"/>
  <c r="H51" i="40"/>
  <c r="G51" i="40"/>
  <c r="F51" i="40"/>
  <c r="E51" i="40"/>
  <c r="D51" i="40"/>
  <c r="C51" i="40"/>
  <c r="B51" i="40"/>
  <c r="L50" i="40"/>
  <c r="K50" i="40"/>
  <c r="J50" i="40"/>
  <c r="I50" i="40"/>
  <c r="H50" i="40"/>
  <c r="G50" i="40"/>
  <c r="F50" i="40"/>
  <c r="E50" i="40"/>
  <c r="D50" i="40"/>
  <c r="C50" i="40"/>
  <c r="B50" i="40"/>
  <c r="L49" i="40"/>
  <c r="K49" i="40"/>
  <c r="J49" i="40"/>
  <c r="I49" i="40"/>
  <c r="H49" i="40"/>
  <c r="G49" i="40"/>
  <c r="F49" i="40"/>
  <c r="E49" i="40"/>
  <c r="D49" i="40"/>
  <c r="C49" i="40"/>
  <c r="B49" i="40"/>
  <c r="L48" i="40"/>
  <c r="K48" i="40"/>
  <c r="J48" i="40"/>
  <c r="I48" i="40"/>
  <c r="H48" i="40"/>
  <c r="G48" i="40"/>
  <c r="F48" i="40"/>
  <c r="E48" i="40"/>
  <c r="D48" i="40"/>
  <c r="C48" i="40"/>
  <c r="B48" i="40"/>
  <c r="L47" i="40"/>
  <c r="K47" i="40"/>
  <c r="J47" i="40"/>
  <c r="I47" i="40"/>
  <c r="H47" i="40"/>
  <c r="G47" i="40"/>
  <c r="F47" i="40"/>
  <c r="E47" i="40"/>
  <c r="D47" i="40"/>
  <c r="C47" i="40"/>
  <c r="B47" i="40"/>
  <c r="L46" i="40"/>
  <c r="K46" i="40"/>
  <c r="J46" i="40"/>
  <c r="I46" i="40"/>
  <c r="H46" i="40"/>
  <c r="G46" i="40"/>
  <c r="F46" i="40"/>
  <c r="E46" i="40"/>
  <c r="D46" i="40"/>
  <c r="C46" i="40"/>
  <c r="B46" i="40"/>
  <c r="L45" i="40"/>
  <c r="K45" i="40"/>
  <c r="J45" i="40"/>
  <c r="I45" i="40"/>
  <c r="H45" i="40"/>
  <c r="G45" i="40"/>
  <c r="F45" i="40"/>
  <c r="E45" i="40"/>
  <c r="D45" i="40"/>
  <c r="C45" i="40"/>
  <c r="B45" i="40"/>
  <c r="L44" i="40"/>
  <c r="K44" i="40"/>
  <c r="J44" i="40"/>
  <c r="I44" i="40"/>
  <c r="H44" i="40"/>
  <c r="G44" i="40"/>
  <c r="F44" i="40"/>
  <c r="E44" i="40"/>
  <c r="D44" i="40"/>
  <c r="C44" i="40"/>
  <c r="B44" i="40"/>
  <c r="L43" i="40"/>
  <c r="K43" i="40"/>
  <c r="J43" i="40"/>
  <c r="I43" i="40"/>
  <c r="H43" i="40"/>
  <c r="G43" i="40"/>
  <c r="F43" i="40"/>
  <c r="E43" i="40"/>
  <c r="D43" i="40"/>
  <c r="C43" i="40"/>
  <c r="B43" i="40"/>
  <c r="L42" i="40"/>
  <c r="K42" i="40"/>
  <c r="J42" i="40"/>
  <c r="I42" i="40"/>
  <c r="H42" i="40"/>
  <c r="G42" i="40"/>
  <c r="F42" i="40"/>
  <c r="E42" i="40"/>
  <c r="D42" i="40"/>
  <c r="C42" i="40"/>
  <c r="B42" i="40"/>
  <c r="L41" i="40"/>
  <c r="K41" i="40"/>
  <c r="J41" i="40"/>
  <c r="I41" i="40"/>
  <c r="H41" i="40"/>
  <c r="G41" i="40"/>
  <c r="F41" i="40"/>
  <c r="E41" i="40"/>
  <c r="D41" i="40"/>
  <c r="C41" i="40"/>
  <c r="B41" i="40"/>
  <c r="L40" i="40"/>
  <c r="K40" i="40"/>
  <c r="J40" i="40"/>
  <c r="I40" i="40"/>
  <c r="H40" i="40"/>
  <c r="G40" i="40"/>
  <c r="F40" i="40"/>
  <c r="E40" i="40"/>
  <c r="D40" i="40"/>
  <c r="C40" i="40"/>
  <c r="B40" i="40"/>
  <c r="L39" i="40"/>
  <c r="K39" i="40"/>
  <c r="J39" i="40"/>
  <c r="I39" i="40"/>
  <c r="H39" i="40"/>
  <c r="G39" i="40"/>
  <c r="F39" i="40"/>
  <c r="E39" i="40"/>
  <c r="D39" i="40"/>
  <c r="C39" i="40"/>
  <c r="B39" i="40"/>
  <c r="L38" i="40"/>
  <c r="K38" i="40"/>
  <c r="J38" i="40"/>
  <c r="I38" i="40"/>
  <c r="H38" i="40"/>
  <c r="G38" i="40"/>
  <c r="F38" i="40"/>
  <c r="E38" i="40"/>
  <c r="D38" i="40"/>
  <c r="C38" i="40"/>
  <c r="B38" i="40"/>
  <c r="L37" i="40"/>
  <c r="K37" i="40"/>
  <c r="J37" i="40"/>
  <c r="I37" i="40"/>
  <c r="H37" i="40"/>
  <c r="G37" i="40"/>
  <c r="F37" i="40"/>
  <c r="E37" i="40"/>
  <c r="D37" i="40"/>
  <c r="C37" i="40"/>
  <c r="B37" i="40"/>
  <c r="L36" i="40"/>
  <c r="K36" i="40"/>
  <c r="J36" i="40"/>
  <c r="I36" i="40"/>
  <c r="H36" i="40"/>
  <c r="G36" i="40"/>
  <c r="F36" i="40"/>
  <c r="E36" i="40"/>
  <c r="D36" i="40"/>
  <c r="C36" i="40"/>
  <c r="B36" i="40"/>
  <c r="L35" i="40"/>
  <c r="K35" i="40"/>
  <c r="J35" i="40"/>
  <c r="I35" i="40"/>
  <c r="H35" i="40"/>
  <c r="G35" i="40"/>
  <c r="F35" i="40"/>
  <c r="E35" i="40"/>
  <c r="D35" i="40"/>
  <c r="C35" i="40"/>
  <c r="B35" i="40"/>
  <c r="L34" i="40"/>
  <c r="K34" i="40"/>
  <c r="J34" i="40"/>
  <c r="I34" i="40"/>
  <c r="H34" i="40"/>
  <c r="G34" i="40"/>
  <c r="F34" i="40"/>
  <c r="E34" i="40"/>
  <c r="D34" i="40"/>
  <c r="C34" i="40"/>
  <c r="B34" i="40"/>
  <c r="L33" i="40"/>
  <c r="K33" i="40"/>
  <c r="J33" i="40"/>
  <c r="I33" i="40"/>
  <c r="H33" i="40"/>
  <c r="G33" i="40"/>
  <c r="F33" i="40"/>
  <c r="E33" i="40"/>
  <c r="D33" i="40"/>
  <c r="C33" i="40"/>
  <c r="B33" i="40"/>
  <c r="L32" i="40"/>
  <c r="K32" i="40"/>
  <c r="J32" i="40"/>
  <c r="I32" i="40"/>
  <c r="H32" i="40"/>
  <c r="G32" i="40"/>
  <c r="F32" i="40"/>
  <c r="E32" i="40"/>
  <c r="D32" i="40"/>
  <c r="C32" i="40"/>
  <c r="B32" i="40"/>
  <c r="L31" i="40"/>
  <c r="K31" i="40"/>
  <c r="J31" i="40"/>
  <c r="I31" i="40"/>
  <c r="H31" i="40"/>
  <c r="G31" i="40"/>
  <c r="F31" i="40"/>
  <c r="E31" i="40"/>
  <c r="D31" i="40"/>
  <c r="C31" i="40"/>
  <c r="B31" i="40"/>
  <c r="L30" i="40"/>
  <c r="K30" i="40"/>
  <c r="J30" i="40"/>
  <c r="I30" i="40"/>
  <c r="H30" i="40"/>
  <c r="G30" i="40"/>
  <c r="F30" i="40"/>
  <c r="E30" i="40"/>
  <c r="D30" i="40"/>
  <c r="C30" i="40"/>
  <c r="B30" i="40"/>
  <c r="L29" i="40"/>
  <c r="K29" i="40"/>
  <c r="J29" i="40"/>
  <c r="I29" i="40"/>
  <c r="H29" i="40"/>
  <c r="G29" i="40"/>
  <c r="F29" i="40"/>
  <c r="E29" i="40"/>
  <c r="D29" i="40"/>
  <c r="C29" i="40"/>
  <c r="B29" i="40"/>
  <c r="L28" i="40"/>
  <c r="K28" i="40"/>
  <c r="J28" i="40"/>
  <c r="I28" i="40"/>
  <c r="H28" i="40"/>
  <c r="G28" i="40"/>
  <c r="F28" i="40"/>
  <c r="E28" i="40"/>
  <c r="D28" i="40"/>
  <c r="C28" i="40"/>
  <c r="B28" i="40"/>
  <c r="L27" i="40"/>
  <c r="K27" i="40"/>
  <c r="J27" i="40"/>
  <c r="I27" i="40"/>
  <c r="H27" i="40"/>
  <c r="G27" i="40"/>
  <c r="F27" i="40"/>
  <c r="E27" i="40"/>
  <c r="D27" i="40"/>
  <c r="C27" i="40"/>
  <c r="B27" i="40"/>
  <c r="L26" i="40"/>
  <c r="K26" i="40"/>
  <c r="J26" i="40"/>
  <c r="I26" i="40"/>
  <c r="H26" i="40"/>
  <c r="G26" i="40"/>
  <c r="F26" i="40"/>
  <c r="E26" i="40"/>
  <c r="D26" i="40"/>
  <c r="C26" i="40"/>
  <c r="B26" i="40"/>
  <c r="L25" i="40"/>
  <c r="K25" i="40"/>
  <c r="J25" i="40"/>
  <c r="I25" i="40"/>
  <c r="H25" i="40"/>
  <c r="G25" i="40"/>
  <c r="F25" i="40"/>
  <c r="E25" i="40"/>
  <c r="D25" i="40"/>
  <c r="C25" i="40"/>
  <c r="B25" i="40"/>
  <c r="L24" i="40"/>
  <c r="K24" i="40"/>
  <c r="J24" i="40"/>
  <c r="I24" i="40"/>
  <c r="H24" i="40"/>
  <c r="G24" i="40"/>
  <c r="F24" i="40"/>
  <c r="E24" i="40"/>
  <c r="D24" i="40"/>
  <c r="C24" i="40"/>
  <c r="B24" i="40"/>
  <c r="L23" i="40"/>
  <c r="K23" i="40"/>
  <c r="J23" i="40"/>
  <c r="I23" i="40"/>
  <c r="H23" i="40"/>
  <c r="G23" i="40"/>
  <c r="F23" i="40"/>
  <c r="E23" i="40"/>
  <c r="D23" i="40"/>
  <c r="C23" i="40"/>
  <c r="B23" i="40"/>
  <c r="L22" i="40"/>
  <c r="K22" i="40"/>
  <c r="J22" i="40"/>
  <c r="I22" i="40"/>
  <c r="H22" i="40"/>
  <c r="G22" i="40"/>
  <c r="F22" i="40"/>
  <c r="E22" i="40"/>
  <c r="D22" i="40"/>
  <c r="C22" i="40"/>
  <c r="B22" i="40"/>
  <c r="L21" i="40"/>
  <c r="K21" i="40"/>
  <c r="J21" i="40"/>
  <c r="I21" i="40"/>
  <c r="H21" i="40"/>
  <c r="G21" i="40"/>
  <c r="F21" i="40"/>
  <c r="E21" i="40"/>
  <c r="D21" i="40"/>
  <c r="C21" i="40"/>
  <c r="B21" i="40"/>
  <c r="L20" i="40"/>
  <c r="K20" i="40"/>
  <c r="BK52" i="40" s="1"/>
  <c r="W72" i="40" s="1"/>
  <c r="C72" i="40" s="1"/>
  <c r="J20" i="40"/>
  <c r="BG52" i="40" s="1"/>
  <c r="W71" i="40" s="1"/>
  <c r="C71" i="40" s="1"/>
  <c r="I20" i="40"/>
  <c r="BC52" i="40" s="1"/>
  <c r="W70" i="40" s="1"/>
  <c r="C70" i="40" s="1"/>
  <c r="H20" i="40"/>
  <c r="AY52" i="40" s="1"/>
  <c r="W69" i="40" s="1"/>
  <c r="C69" i="40" s="1"/>
  <c r="G20" i="40"/>
  <c r="AU52" i="40" s="1"/>
  <c r="W68" i="40" s="1"/>
  <c r="C68" i="40" s="1"/>
  <c r="F20" i="40"/>
  <c r="AQ52" i="40" s="1"/>
  <c r="W67" i="40" s="1"/>
  <c r="C67" i="40" s="1"/>
  <c r="E20" i="40"/>
  <c r="AM52" i="40" s="1"/>
  <c r="W66" i="40" s="1"/>
  <c r="C66" i="40" s="1"/>
  <c r="D20" i="40"/>
  <c r="W53" i="40" s="1"/>
  <c r="C20" i="40"/>
  <c r="AI53" i="40" s="1"/>
  <c r="B20" i="40"/>
  <c r="AC53" i="40" s="1"/>
  <c r="K19" i="40"/>
  <c r="J19" i="40"/>
  <c r="I19" i="40"/>
  <c r="H19" i="40"/>
  <c r="G19" i="40"/>
  <c r="F19" i="40"/>
  <c r="E19" i="40"/>
  <c r="D19" i="40"/>
  <c r="C19" i="40"/>
  <c r="B19" i="40"/>
  <c r="D77" i="39"/>
  <c r="C77" i="39"/>
  <c r="B77" i="39"/>
  <c r="C76" i="39"/>
  <c r="B76" i="39"/>
  <c r="D75" i="39"/>
  <c r="C75" i="39"/>
  <c r="B75" i="39"/>
  <c r="D74" i="39"/>
  <c r="C74" i="39"/>
  <c r="B74" i="39"/>
  <c r="C73" i="39"/>
  <c r="B73" i="39"/>
  <c r="R72" i="39"/>
  <c r="R71" i="39"/>
  <c r="R70" i="39"/>
  <c r="R69" i="39"/>
  <c r="R68" i="39"/>
  <c r="R67" i="39"/>
  <c r="R66" i="39"/>
  <c r="R65" i="39"/>
  <c r="R64" i="39"/>
  <c r="R63" i="39"/>
  <c r="X62" i="39"/>
  <c r="W62" i="39"/>
  <c r="C62" i="39" s="1"/>
  <c r="V62" i="39"/>
  <c r="D62" i="39"/>
  <c r="B62" i="39"/>
  <c r="U60" i="39"/>
  <c r="BL52" i="39"/>
  <c r="X72" i="39" s="1"/>
  <c r="BJ52" i="39"/>
  <c r="V72" i="39" s="1"/>
  <c r="BI52" i="39"/>
  <c r="U72" i="39" s="1"/>
  <c r="BH52" i="39"/>
  <c r="X71" i="39" s="1"/>
  <c r="BF52" i="39"/>
  <c r="V71" i="39" s="1"/>
  <c r="BE52" i="39"/>
  <c r="U71" i="39" s="1"/>
  <c r="BD52" i="39"/>
  <c r="X70" i="39" s="1"/>
  <c r="BB52" i="39"/>
  <c r="V70" i="39" s="1"/>
  <c r="BA52" i="39"/>
  <c r="U70" i="39" s="1"/>
  <c r="AZ52" i="39"/>
  <c r="X69" i="39" s="1"/>
  <c r="AX52" i="39"/>
  <c r="V69" i="39" s="1"/>
  <c r="AW52" i="39"/>
  <c r="U69" i="39" s="1"/>
  <c r="AV52" i="39"/>
  <c r="X68" i="39" s="1"/>
  <c r="AT52" i="39"/>
  <c r="V68" i="39" s="1"/>
  <c r="AS52" i="39"/>
  <c r="U68" i="39" s="1"/>
  <c r="AR52" i="39"/>
  <c r="X67" i="39" s="1"/>
  <c r="AP52" i="39"/>
  <c r="V67" i="39" s="1"/>
  <c r="AO52" i="39"/>
  <c r="U67" i="39" s="1"/>
  <c r="AN52" i="39"/>
  <c r="X66" i="39" s="1"/>
  <c r="AL52" i="39"/>
  <c r="V66" i="39" s="1"/>
  <c r="AK52" i="39"/>
  <c r="U66" i="39" s="1"/>
  <c r="AJ52" i="39"/>
  <c r="X65" i="39" s="1"/>
  <c r="AH52" i="39"/>
  <c r="V65" i="39" s="1"/>
  <c r="AG52" i="39"/>
  <c r="AF52" i="39"/>
  <c r="AE52" i="39"/>
  <c r="U65" i="39" s="1"/>
  <c r="AD52" i="39"/>
  <c r="X64" i="39" s="1"/>
  <c r="AB52" i="39"/>
  <c r="V64" i="39" s="1"/>
  <c r="AA52" i="39"/>
  <c r="Z52" i="39"/>
  <c r="Y52" i="39"/>
  <c r="X52" i="39"/>
  <c r="X63" i="39" s="1"/>
  <c r="V52" i="39"/>
  <c r="V63" i="39" s="1"/>
  <c r="U52" i="39"/>
  <c r="T52" i="39"/>
  <c r="S52" i="39"/>
  <c r="U63" i="39" s="1"/>
  <c r="L51" i="39"/>
  <c r="K51" i="39"/>
  <c r="J51" i="39"/>
  <c r="I51" i="39"/>
  <c r="H51" i="39"/>
  <c r="G51" i="39"/>
  <c r="F51" i="39"/>
  <c r="E51" i="39"/>
  <c r="D51" i="39"/>
  <c r="C51" i="39"/>
  <c r="B51" i="39"/>
  <c r="L50" i="39"/>
  <c r="K50" i="39"/>
  <c r="J50" i="39"/>
  <c r="I50" i="39"/>
  <c r="H50" i="39"/>
  <c r="G50" i="39"/>
  <c r="F50" i="39"/>
  <c r="E50" i="39"/>
  <c r="D50" i="39"/>
  <c r="C50" i="39"/>
  <c r="B50" i="39"/>
  <c r="L49" i="39"/>
  <c r="K49" i="39"/>
  <c r="J49" i="39"/>
  <c r="I49" i="39"/>
  <c r="H49" i="39"/>
  <c r="G49" i="39"/>
  <c r="F49" i="39"/>
  <c r="E49" i="39"/>
  <c r="D49" i="39"/>
  <c r="C49" i="39"/>
  <c r="B49" i="39"/>
  <c r="L48" i="39"/>
  <c r="K48" i="39"/>
  <c r="J48" i="39"/>
  <c r="I48" i="39"/>
  <c r="H48" i="39"/>
  <c r="G48" i="39"/>
  <c r="F48" i="39"/>
  <c r="E48" i="39"/>
  <c r="D48" i="39"/>
  <c r="C48" i="39"/>
  <c r="B48" i="39"/>
  <c r="L47" i="39"/>
  <c r="K47" i="39"/>
  <c r="J47" i="39"/>
  <c r="I47" i="39"/>
  <c r="H47" i="39"/>
  <c r="G47" i="39"/>
  <c r="F47" i="39"/>
  <c r="E47" i="39"/>
  <c r="D47" i="39"/>
  <c r="C47" i="39"/>
  <c r="B47" i="39"/>
  <c r="L46" i="39"/>
  <c r="K46" i="39"/>
  <c r="J46" i="39"/>
  <c r="I46" i="39"/>
  <c r="H46" i="39"/>
  <c r="G46" i="39"/>
  <c r="F46" i="39"/>
  <c r="E46" i="39"/>
  <c r="D46" i="39"/>
  <c r="C46" i="39"/>
  <c r="B46" i="39"/>
  <c r="L45" i="39"/>
  <c r="K45" i="39"/>
  <c r="J45" i="39"/>
  <c r="I45" i="39"/>
  <c r="H45" i="39"/>
  <c r="G45" i="39"/>
  <c r="F45" i="39"/>
  <c r="E45" i="39"/>
  <c r="D45" i="39"/>
  <c r="C45" i="39"/>
  <c r="B45" i="39"/>
  <c r="L44" i="39"/>
  <c r="K44" i="39"/>
  <c r="J44" i="39"/>
  <c r="I44" i="39"/>
  <c r="H44" i="39"/>
  <c r="G44" i="39"/>
  <c r="F44" i="39"/>
  <c r="E44" i="39"/>
  <c r="D44" i="39"/>
  <c r="C44" i="39"/>
  <c r="B44" i="39"/>
  <c r="L43" i="39"/>
  <c r="K43" i="39"/>
  <c r="J43" i="39"/>
  <c r="I43" i="39"/>
  <c r="H43" i="39"/>
  <c r="G43" i="39"/>
  <c r="F43" i="39"/>
  <c r="E43" i="39"/>
  <c r="D43" i="39"/>
  <c r="C43" i="39"/>
  <c r="B43" i="39"/>
  <c r="L42" i="39"/>
  <c r="K42" i="39"/>
  <c r="J42" i="39"/>
  <c r="I42" i="39"/>
  <c r="H42" i="39"/>
  <c r="G42" i="39"/>
  <c r="F42" i="39"/>
  <c r="E42" i="39"/>
  <c r="D42" i="39"/>
  <c r="C42" i="39"/>
  <c r="B42" i="39"/>
  <c r="L41" i="39"/>
  <c r="K41" i="39"/>
  <c r="J41" i="39"/>
  <c r="I41" i="39"/>
  <c r="H41" i="39"/>
  <c r="G41" i="39"/>
  <c r="F41" i="39"/>
  <c r="E41" i="39"/>
  <c r="D41" i="39"/>
  <c r="C41" i="39"/>
  <c r="B41" i="39"/>
  <c r="L40" i="39"/>
  <c r="K40" i="39"/>
  <c r="J40" i="39"/>
  <c r="I40" i="39"/>
  <c r="H40" i="39"/>
  <c r="G40" i="39"/>
  <c r="F40" i="39"/>
  <c r="E40" i="39"/>
  <c r="D40" i="39"/>
  <c r="C40" i="39"/>
  <c r="B40" i="39"/>
  <c r="L39" i="39"/>
  <c r="K39" i="39"/>
  <c r="J39" i="39"/>
  <c r="I39" i="39"/>
  <c r="H39" i="39"/>
  <c r="G39" i="39"/>
  <c r="F39" i="39"/>
  <c r="E39" i="39"/>
  <c r="D39" i="39"/>
  <c r="C39" i="39"/>
  <c r="B39" i="39"/>
  <c r="L38" i="39"/>
  <c r="K38" i="39"/>
  <c r="J38" i="39"/>
  <c r="I38" i="39"/>
  <c r="H38" i="39"/>
  <c r="G38" i="39"/>
  <c r="F38" i="39"/>
  <c r="E38" i="39"/>
  <c r="D38" i="39"/>
  <c r="C38" i="39"/>
  <c r="B38" i="39"/>
  <c r="L37" i="39"/>
  <c r="K37" i="39"/>
  <c r="J37" i="39"/>
  <c r="I37" i="39"/>
  <c r="H37" i="39"/>
  <c r="G37" i="39"/>
  <c r="F37" i="39"/>
  <c r="E37" i="39"/>
  <c r="D37" i="39"/>
  <c r="C37" i="39"/>
  <c r="B37" i="39"/>
  <c r="L36" i="39"/>
  <c r="K36" i="39"/>
  <c r="J36" i="39"/>
  <c r="I36" i="39"/>
  <c r="H36" i="39"/>
  <c r="G36" i="39"/>
  <c r="F36" i="39"/>
  <c r="E36" i="39"/>
  <c r="D36" i="39"/>
  <c r="C36" i="39"/>
  <c r="B36" i="39"/>
  <c r="L35" i="39"/>
  <c r="K35" i="39"/>
  <c r="J35" i="39"/>
  <c r="I35" i="39"/>
  <c r="H35" i="39"/>
  <c r="G35" i="39"/>
  <c r="F35" i="39"/>
  <c r="E35" i="39"/>
  <c r="D35" i="39"/>
  <c r="C35" i="39"/>
  <c r="B35" i="39"/>
  <c r="L34" i="39"/>
  <c r="K34" i="39"/>
  <c r="J34" i="39"/>
  <c r="I34" i="39"/>
  <c r="H34" i="39"/>
  <c r="G34" i="39"/>
  <c r="F34" i="39"/>
  <c r="E34" i="39"/>
  <c r="D34" i="39"/>
  <c r="C34" i="39"/>
  <c r="B34" i="39"/>
  <c r="L33" i="39"/>
  <c r="K33" i="39"/>
  <c r="J33" i="39"/>
  <c r="I33" i="39"/>
  <c r="H33" i="39"/>
  <c r="G33" i="39"/>
  <c r="F33" i="39"/>
  <c r="E33" i="39"/>
  <c r="D33" i="39"/>
  <c r="C33" i="39"/>
  <c r="B33" i="39"/>
  <c r="L32" i="39"/>
  <c r="K32" i="39"/>
  <c r="J32" i="39"/>
  <c r="I32" i="39"/>
  <c r="H32" i="39"/>
  <c r="G32" i="39"/>
  <c r="F32" i="39"/>
  <c r="E32" i="39"/>
  <c r="D32" i="39"/>
  <c r="C32" i="39"/>
  <c r="B32" i="39"/>
  <c r="L31" i="39"/>
  <c r="K31" i="39"/>
  <c r="J31" i="39"/>
  <c r="I31" i="39"/>
  <c r="H31" i="39"/>
  <c r="G31" i="39"/>
  <c r="F31" i="39"/>
  <c r="E31" i="39"/>
  <c r="D31" i="39"/>
  <c r="C31" i="39"/>
  <c r="B31" i="39"/>
  <c r="L30" i="39"/>
  <c r="K30" i="39"/>
  <c r="J30" i="39"/>
  <c r="I30" i="39"/>
  <c r="H30" i="39"/>
  <c r="G30" i="39"/>
  <c r="F30" i="39"/>
  <c r="E30" i="39"/>
  <c r="D30" i="39"/>
  <c r="C30" i="39"/>
  <c r="B30" i="39"/>
  <c r="L29" i="39"/>
  <c r="K29" i="39"/>
  <c r="J29" i="39"/>
  <c r="I29" i="39"/>
  <c r="H29" i="39"/>
  <c r="G29" i="39"/>
  <c r="F29" i="39"/>
  <c r="E29" i="39"/>
  <c r="D29" i="39"/>
  <c r="C29" i="39"/>
  <c r="B29" i="39"/>
  <c r="L28" i="39"/>
  <c r="K28" i="39"/>
  <c r="J28" i="39"/>
  <c r="I28" i="39"/>
  <c r="H28" i="39"/>
  <c r="G28" i="39"/>
  <c r="F28" i="39"/>
  <c r="E28" i="39"/>
  <c r="D28" i="39"/>
  <c r="C28" i="39"/>
  <c r="B28" i="39"/>
  <c r="L27" i="39"/>
  <c r="K27" i="39"/>
  <c r="J27" i="39"/>
  <c r="I27" i="39"/>
  <c r="H27" i="39"/>
  <c r="G27" i="39"/>
  <c r="F27" i="39"/>
  <c r="E27" i="39"/>
  <c r="D27" i="39"/>
  <c r="C27" i="39"/>
  <c r="B27" i="39"/>
  <c r="L26" i="39"/>
  <c r="K26" i="39"/>
  <c r="J26" i="39"/>
  <c r="I26" i="39"/>
  <c r="H26" i="39"/>
  <c r="G26" i="39"/>
  <c r="F26" i="39"/>
  <c r="E26" i="39"/>
  <c r="D26" i="39"/>
  <c r="C26" i="39"/>
  <c r="B26" i="39"/>
  <c r="L25" i="39"/>
  <c r="K25" i="39"/>
  <c r="J25" i="39"/>
  <c r="I25" i="39"/>
  <c r="H25" i="39"/>
  <c r="G25" i="39"/>
  <c r="F25" i="39"/>
  <c r="E25" i="39"/>
  <c r="D25" i="39"/>
  <c r="C25" i="39"/>
  <c r="B25" i="39"/>
  <c r="L24" i="39"/>
  <c r="K24" i="39"/>
  <c r="J24" i="39"/>
  <c r="I24" i="39"/>
  <c r="H24" i="39"/>
  <c r="G24" i="39"/>
  <c r="F24" i="39"/>
  <c r="E24" i="39"/>
  <c r="D24" i="39"/>
  <c r="C24" i="39"/>
  <c r="B24" i="39"/>
  <c r="L23" i="39"/>
  <c r="K23" i="39"/>
  <c r="J23" i="39"/>
  <c r="I23" i="39"/>
  <c r="H23" i="39"/>
  <c r="G23" i="39"/>
  <c r="F23" i="39"/>
  <c r="E23" i="39"/>
  <c r="D23" i="39"/>
  <c r="C23" i="39"/>
  <c r="B23" i="39"/>
  <c r="L22" i="39"/>
  <c r="K22" i="39"/>
  <c r="J22" i="39"/>
  <c r="I22" i="39"/>
  <c r="H22" i="39"/>
  <c r="G22" i="39"/>
  <c r="F22" i="39"/>
  <c r="E22" i="39"/>
  <c r="D22" i="39"/>
  <c r="C22" i="39"/>
  <c r="B22" i="39"/>
  <c r="L21" i="39"/>
  <c r="K21" i="39"/>
  <c r="J21" i="39"/>
  <c r="I21" i="39"/>
  <c r="H21" i="39"/>
  <c r="G21" i="39"/>
  <c r="F21" i="39"/>
  <c r="E21" i="39"/>
  <c r="D21" i="39"/>
  <c r="C21" i="39"/>
  <c r="B21" i="39"/>
  <c r="L20" i="39"/>
  <c r="K20" i="39"/>
  <c r="J20" i="39"/>
  <c r="BG52" i="39" s="1"/>
  <c r="W71" i="39" s="1"/>
  <c r="C71" i="39" s="1"/>
  <c r="I20" i="39"/>
  <c r="H20" i="39"/>
  <c r="AY52" i="39" s="1"/>
  <c r="W69" i="39" s="1"/>
  <c r="C69" i="39" s="1"/>
  <c r="G20" i="39"/>
  <c r="F20" i="39"/>
  <c r="AQ52" i="39" s="1"/>
  <c r="W67" i="39" s="1"/>
  <c r="C67" i="39" s="1"/>
  <c r="E20" i="39"/>
  <c r="D20" i="39"/>
  <c r="W53" i="39" s="1"/>
  <c r="C20" i="39"/>
  <c r="B20" i="39"/>
  <c r="AC53" i="39" s="1"/>
  <c r="K19" i="39"/>
  <c r="J19" i="39"/>
  <c r="I19" i="39"/>
  <c r="H19" i="39"/>
  <c r="G19" i="39"/>
  <c r="F19" i="39"/>
  <c r="E19" i="39"/>
  <c r="D19" i="39"/>
  <c r="C19" i="39"/>
  <c r="B19" i="39"/>
  <c r="D77" i="38"/>
  <c r="C77" i="38"/>
  <c r="B77" i="38"/>
  <c r="C76" i="38"/>
  <c r="B76" i="38"/>
  <c r="D75" i="38"/>
  <c r="C75" i="38"/>
  <c r="B75" i="38"/>
  <c r="D74" i="38"/>
  <c r="C74" i="38"/>
  <c r="B74" i="38"/>
  <c r="C73" i="38"/>
  <c r="B73" i="38"/>
  <c r="R72" i="38"/>
  <c r="R71" i="38"/>
  <c r="R70" i="38"/>
  <c r="R69" i="38"/>
  <c r="R68" i="38"/>
  <c r="R67" i="38"/>
  <c r="R66" i="38"/>
  <c r="R65" i="38"/>
  <c r="R64" i="38"/>
  <c r="R63" i="38"/>
  <c r="X62" i="38"/>
  <c r="W62" i="38"/>
  <c r="C62" i="38" s="1"/>
  <c r="V62" i="38"/>
  <c r="D62" i="38"/>
  <c r="B62" i="38"/>
  <c r="U60" i="38"/>
  <c r="BL52" i="38"/>
  <c r="X72" i="38" s="1"/>
  <c r="BJ52" i="38"/>
  <c r="V72" i="38" s="1"/>
  <c r="BI52" i="38"/>
  <c r="U72" i="38" s="1"/>
  <c r="BH52" i="38"/>
  <c r="X71" i="38" s="1"/>
  <c r="BF52" i="38"/>
  <c r="V71" i="38" s="1"/>
  <c r="BE52" i="38"/>
  <c r="U71" i="38" s="1"/>
  <c r="BD52" i="38"/>
  <c r="X70" i="38" s="1"/>
  <c r="BB52" i="38"/>
  <c r="V70" i="38" s="1"/>
  <c r="BA52" i="38"/>
  <c r="U70" i="38" s="1"/>
  <c r="AZ52" i="38"/>
  <c r="X69" i="38" s="1"/>
  <c r="AX52" i="38"/>
  <c r="V69" i="38" s="1"/>
  <c r="AW52" i="38"/>
  <c r="U69" i="38" s="1"/>
  <c r="AV52" i="38"/>
  <c r="X68" i="38" s="1"/>
  <c r="AT52" i="38"/>
  <c r="V68" i="38" s="1"/>
  <c r="AS52" i="38"/>
  <c r="U68" i="38" s="1"/>
  <c r="AR52" i="38"/>
  <c r="X67" i="38" s="1"/>
  <c r="AP52" i="38"/>
  <c r="V67" i="38" s="1"/>
  <c r="AO52" i="38"/>
  <c r="U67" i="38" s="1"/>
  <c r="AN52" i="38"/>
  <c r="X66" i="38" s="1"/>
  <c r="AL52" i="38"/>
  <c r="V66" i="38" s="1"/>
  <c r="AK52" i="38"/>
  <c r="U66" i="38" s="1"/>
  <c r="AJ52" i="38"/>
  <c r="X65" i="38" s="1"/>
  <c r="AH52" i="38"/>
  <c r="V65" i="38" s="1"/>
  <c r="AG52" i="38"/>
  <c r="AF52" i="38"/>
  <c r="AE52" i="38"/>
  <c r="U65" i="38" s="1"/>
  <c r="AD52" i="38"/>
  <c r="X64" i="38" s="1"/>
  <c r="AB52" i="38"/>
  <c r="V64" i="38" s="1"/>
  <c r="AA52" i="38"/>
  <c r="Z52" i="38"/>
  <c r="Y52" i="38"/>
  <c r="X52" i="38"/>
  <c r="X63" i="38" s="1"/>
  <c r="V52" i="38"/>
  <c r="V63" i="38" s="1"/>
  <c r="U52" i="38"/>
  <c r="T52" i="38"/>
  <c r="S52" i="38"/>
  <c r="U63" i="38" s="1"/>
  <c r="L51" i="38"/>
  <c r="K51" i="38"/>
  <c r="J51" i="38"/>
  <c r="I51" i="38"/>
  <c r="H51" i="38"/>
  <c r="G51" i="38"/>
  <c r="F51" i="38"/>
  <c r="E51" i="38"/>
  <c r="D51" i="38"/>
  <c r="C51" i="38"/>
  <c r="B51" i="38"/>
  <c r="L50" i="38"/>
  <c r="K50" i="38"/>
  <c r="J50" i="38"/>
  <c r="I50" i="38"/>
  <c r="H50" i="38"/>
  <c r="G50" i="38"/>
  <c r="F50" i="38"/>
  <c r="E50" i="38"/>
  <c r="D50" i="38"/>
  <c r="C50" i="38"/>
  <c r="B50" i="38"/>
  <c r="L49" i="38"/>
  <c r="K49" i="38"/>
  <c r="J49" i="38"/>
  <c r="I49" i="38"/>
  <c r="H49" i="38"/>
  <c r="G49" i="38"/>
  <c r="F49" i="38"/>
  <c r="E49" i="38"/>
  <c r="D49" i="38"/>
  <c r="C49" i="38"/>
  <c r="B49" i="38"/>
  <c r="L48" i="38"/>
  <c r="K48" i="38"/>
  <c r="J48" i="38"/>
  <c r="I48" i="38"/>
  <c r="H48" i="38"/>
  <c r="G48" i="38"/>
  <c r="F48" i="38"/>
  <c r="E48" i="38"/>
  <c r="D48" i="38"/>
  <c r="C48" i="38"/>
  <c r="B48" i="38"/>
  <c r="L47" i="38"/>
  <c r="K47" i="38"/>
  <c r="J47" i="38"/>
  <c r="I47" i="38"/>
  <c r="H47" i="38"/>
  <c r="G47" i="38"/>
  <c r="F47" i="38"/>
  <c r="E47" i="38"/>
  <c r="D47" i="38"/>
  <c r="C47" i="38"/>
  <c r="B47" i="38"/>
  <c r="L46" i="38"/>
  <c r="K46" i="38"/>
  <c r="J46" i="38"/>
  <c r="I46" i="38"/>
  <c r="H46" i="38"/>
  <c r="G46" i="38"/>
  <c r="F46" i="38"/>
  <c r="E46" i="38"/>
  <c r="D46" i="38"/>
  <c r="C46" i="38"/>
  <c r="B46" i="38"/>
  <c r="L45" i="38"/>
  <c r="K45" i="38"/>
  <c r="J45" i="38"/>
  <c r="I45" i="38"/>
  <c r="H45" i="38"/>
  <c r="G45" i="38"/>
  <c r="F45" i="38"/>
  <c r="E45" i="38"/>
  <c r="D45" i="38"/>
  <c r="C45" i="38"/>
  <c r="B45" i="38"/>
  <c r="L44" i="38"/>
  <c r="K44" i="38"/>
  <c r="J44" i="38"/>
  <c r="I44" i="38"/>
  <c r="H44" i="38"/>
  <c r="G44" i="38"/>
  <c r="F44" i="38"/>
  <c r="E44" i="38"/>
  <c r="D44" i="38"/>
  <c r="C44" i="38"/>
  <c r="B44" i="38"/>
  <c r="L43" i="38"/>
  <c r="K43" i="38"/>
  <c r="J43" i="38"/>
  <c r="I43" i="38"/>
  <c r="H43" i="38"/>
  <c r="G43" i="38"/>
  <c r="F43" i="38"/>
  <c r="E43" i="38"/>
  <c r="D43" i="38"/>
  <c r="C43" i="38"/>
  <c r="B43" i="38"/>
  <c r="L42" i="38"/>
  <c r="K42" i="38"/>
  <c r="J42" i="38"/>
  <c r="I42" i="38"/>
  <c r="H42" i="38"/>
  <c r="G42" i="38"/>
  <c r="F42" i="38"/>
  <c r="E42" i="38"/>
  <c r="D42" i="38"/>
  <c r="C42" i="38"/>
  <c r="B42" i="38"/>
  <c r="L41" i="38"/>
  <c r="K41" i="38"/>
  <c r="J41" i="38"/>
  <c r="I41" i="38"/>
  <c r="H41" i="38"/>
  <c r="G41" i="38"/>
  <c r="F41" i="38"/>
  <c r="E41" i="38"/>
  <c r="D41" i="38"/>
  <c r="C41" i="38"/>
  <c r="B41" i="38"/>
  <c r="L40" i="38"/>
  <c r="K40" i="38"/>
  <c r="J40" i="38"/>
  <c r="I40" i="38"/>
  <c r="H40" i="38"/>
  <c r="G40" i="38"/>
  <c r="F40" i="38"/>
  <c r="E40" i="38"/>
  <c r="D40" i="38"/>
  <c r="C40" i="38"/>
  <c r="B40" i="38"/>
  <c r="L39" i="38"/>
  <c r="K39" i="38"/>
  <c r="J39" i="38"/>
  <c r="I39" i="38"/>
  <c r="H39" i="38"/>
  <c r="G39" i="38"/>
  <c r="F39" i="38"/>
  <c r="E39" i="38"/>
  <c r="D39" i="38"/>
  <c r="C39" i="38"/>
  <c r="B39" i="38"/>
  <c r="L38" i="38"/>
  <c r="K38" i="38"/>
  <c r="J38" i="38"/>
  <c r="I38" i="38"/>
  <c r="H38" i="38"/>
  <c r="G38" i="38"/>
  <c r="F38" i="38"/>
  <c r="E38" i="38"/>
  <c r="D38" i="38"/>
  <c r="C38" i="38"/>
  <c r="B38" i="38"/>
  <c r="L37" i="38"/>
  <c r="K37" i="38"/>
  <c r="J37" i="38"/>
  <c r="I37" i="38"/>
  <c r="H37" i="38"/>
  <c r="G37" i="38"/>
  <c r="F37" i="38"/>
  <c r="E37" i="38"/>
  <c r="D37" i="38"/>
  <c r="C37" i="38"/>
  <c r="B37" i="38"/>
  <c r="L36" i="38"/>
  <c r="K36" i="38"/>
  <c r="J36" i="38"/>
  <c r="I36" i="38"/>
  <c r="H36" i="38"/>
  <c r="G36" i="38"/>
  <c r="F36" i="38"/>
  <c r="E36" i="38"/>
  <c r="D36" i="38"/>
  <c r="C36" i="38"/>
  <c r="B36" i="38"/>
  <c r="L35" i="38"/>
  <c r="K35" i="38"/>
  <c r="J35" i="38"/>
  <c r="I35" i="38"/>
  <c r="H35" i="38"/>
  <c r="G35" i="38"/>
  <c r="F35" i="38"/>
  <c r="E35" i="38"/>
  <c r="D35" i="38"/>
  <c r="C35" i="38"/>
  <c r="B35" i="38"/>
  <c r="L34" i="38"/>
  <c r="K34" i="38"/>
  <c r="J34" i="38"/>
  <c r="I34" i="38"/>
  <c r="H34" i="38"/>
  <c r="G34" i="38"/>
  <c r="F34" i="38"/>
  <c r="E34" i="38"/>
  <c r="D34" i="38"/>
  <c r="C34" i="38"/>
  <c r="B34" i="38"/>
  <c r="L33" i="38"/>
  <c r="K33" i="38"/>
  <c r="J33" i="38"/>
  <c r="I33" i="38"/>
  <c r="H33" i="38"/>
  <c r="G33" i="38"/>
  <c r="F33" i="38"/>
  <c r="E33" i="38"/>
  <c r="D33" i="38"/>
  <c r="C33" i="38"/>
  <c r="B33" i="38"/>
  <c r="L32" i="38"/>
  <c r="K32" i="38"/>
  <c r="J32" i="38"/>
  <c r="I32" i="38"/>
  <c r="H32" i="38"/>
  <c r="G32" i="38"/>
  <c r="F32" i="38"/>
  <c r="E32" i="38"/>
  <c r="D32" i="38"/>
  <c r="C32" i="38"/>
  <c r="B32" i="38"/>
  <c r="L31" i="38"/>
  <c r="K31" i="38"/>
  <c r="J31" i="38"/>
  <c r="I31" i="38"/>
  <c r="H31" i="38"/>
  <c r="G31" i="38"/>
  <c r="F31" i="38"/>
  <c r="E31" i="38"/>
  <c r="D31" i="38"/>
  <c r="C31" i="38"/>
  <c r="B31" i="38"/>
  <c r="L30" i="38"/>
  <c r="K30" i="38"/>
  <c r="J30" i="38"/>
  <c r="I30" i="38"/>
  <c r="H30" i="38"/>
  <c r="G30" i="38"/>
  <c r="F30" i="38"/>
  <c r="E30" i="38"/>
  <c r="D30" i="38"/>
  <c r="C30" i="38"/>
  <c r="B30" i="38"/>
  <c r="L29" i="38"/>
  <c r="K29" i="38"/>
  <c r="J29" i="38"/>
  <c r="I29" i="38"/>
  <c r="H29" i="38"/>
  <c r="G29" i="38"/>
  <c r="F29" i="38"/>
  <c r="E29" i="38"/>
  <c r="D29" i="38"/>
  <c r="C29" i="38"/>
  <c r="B29" i="38"/>
  <c r="L28" i="38"/>
  <c r="K28" i="38"/>
  <c r="J28" i="38"/>
  <c r="I28" i="38"/>
  <c r="H28" i="38"/>
  <c r="G28" i="38"/>
  <c r="F28" i="38"/>
  <c r="E28" i="38"/>
  <c r="D28" i="38"/>
  <c r="C28" i="38"/>
  <c r="B28" i="38"/>
  <c r="L27" i="38"/>
  <c r="K27" i="38"/>
  <c r="J27" i="38"/>
  <c r="I27" i="38"/>
  <c r="H27" i="38"/>
  <c r="G27" i="38"/>
  <c r="F27" i="38"/>
  <c r="E27" i="38"/>
  <c r="D27" i="38"/>
  <c r="C27" i="38"/>
  <c r="B27" i="38"/>
  <c r="L26" i="38"/>
  <c r="K26" i="38"/>
  <c r="J26" i="38"/>
  <c r="I26" i="38"/>
  <c r="H26" i="38"/>
  <c r="G26" i="38"/>
  <c r="F26" i="38"/>
  <c r="E26" i="38"/>
  <c r="D26" i="38"/>
  <c r="C26" i="38"/>
  <c r="B26" i="38"/>
  <c r="L25" i="38"/>
  <c r="K25" i="38"/>
  <c r="J25" i="38"/>
  <c r="I25" i="38"/>
  <c r="H25" i="38"/>
  <c r="G25" i="38"/>
  <c r="F25" i="38"/>
  <c r="E25" i="38"/>
  <c r="D25" i="38"/>
  <c r="C25" i="38"/>
  <c r="B25" i="38"/>
  <c r="L24" i="38"/>
  <c r="K24" i="38"/>
  <c r="J24" i="38"/>
  <c r="I24" i="38"/>
  <c r="H24" i="38"/>
  <c r="G24" i="38"/>
  <c r="F24" i="38"/>
  <c r="E24" i="38"/>
  <c r="D24" i="38"/>
  <c r="C24" i="38"/>
  <c r="B24" i="38"/>
  <c r="L23" i="38"/>
  <c r="K23" i="38"/>
  <c r="J23" i="38"/>
  <c r="I23" i="38"/>
  <c r="H23" i="38"/>
  <c r="G23" i="38"/>
  <c r="F23" i="38"/>
  <c r="E23" i="38"/>
  <c r="D23" i="38"/>
  <c r="C23" i="38"/>
  <c r="B23" i="38"/>
  <c r="L22" i="38"/>
  <c r="K22" i="38"/>
  <c r="J22" i="38"/>
  <c r="I22" i="38"/>
  <c r="H22" i="38"/>
  <c r="G22" i="38"/>
  <c r="F22" i="38"/>
  <c r="E22" i="38"/>
  <c r="D22" i="38"/>
  <c r="C22" i="38"/>
  <c r="B22" i="38"/>
  <c r="L21" i="38"/>
  <c r="K21" i="38"/>
  <c r="J21" i="38"/>
  <c r="I21" i="38"/>
  <c r="H21" i="38"/>
  <c r="G21" i="38"/>
  <c r="AU52" i="38" s="1"/>
  <c r="W68" i="38" s="1"/>
  <c r="F21" i="38"/>
  <c r="E21" i="38"/>
  <c r="AM52" i="38" s="1"/>
  <c r="W66" i="38" s="1"/>
  <c r="C66" i="38" s="1"/>
  <c r="D21" i="38"/>
  <c r="C21" i="38"/>
  <c r="AI53" i="38" s="1"/>
  <c r="B21" i="38"/>
  <c r="L20" i="38"/>
  <c r="K20" i="38"/>
  <c r="J20" i="38"/>
  <c r="BG52" i="38" s="1"/>
  <c r="W71" i="38" s="1"/>
  <c r="C71" i="38" s="1"/>
  <c r="I20" i="38"/>
  <c r="H20" i="38"/>
  <c r="AY52" i="38" s="1"/>
  <c r="W69" i="38" s="1"/>
  <c r="C69" i="38" s="1"/>
  <c r="G20" i="38"/>
  <c r="F20" i="38"/>
  <c r="AQ52" i="38" s="1"/>
  <c r="W67" i="38" s="1"/>
  <c r="C67" i="38" s="1"/>
  <c r="E20" i="38"/>
  <c r="D20" i="38"/>
  <c r="W53" i="38" s="1"/>
  <c r="C20" i="38"/>
  <c r="B20" i="38"/>
  <c r="AC53" i="38" s="1"/>
  <c r="K19" i="38"/>
  <c r="J19" i="38"/>
  <c r="I19" i="38"/>
  <c r="H19" i="38"/>
  <c r="G19" i="38"/>
  <c r="F19" i="38"/>
  <c r="E19" i="38"/>
  <c r="D19" i="38"/>
  <c r="C19" i="38"/>
  <c r="B19" i="38"/>
  <c r="B70" i="40" l="1"/>
  <c r="B72" i="40"/>
  <c r="U64" i="40"/>
  <c r="B64" i="40" s="1"/>
  <c r="U75" i="40"/>
  <c r="O63" i="40" s="1"/>
  <c r="D63" i="40"/>
  <c r="D65" i="40"/>
  <c r="D67" i="40"/>
  <c r="D69" i="40"/>
  <c r="D71" i="40"/>
  <c r="B63" i="40"/>
  <c r="O64" i="40"/>
  <c r="D64" i="40"/>
  <c r="B65" i="40"/>
  <c r="O66" i="40"/>
  <c r="D66" i="40"/>
  <c r="B67" i="40"/>
  <c r="O68" i="40"/>
  <c r="D68" i="40"/>
  <c r="B69" i="40"/>
  <c r="O70" i="40"/>
  <c r="D70" i="40"/>
  <c r="B71" i="40"/>
  <c r="O72" i="40"/>
  <c r="D72" i="40"/>
  <c r="W52" i="40"/>
  <c r="W63" i="40" s="1"/>
  <c r="C63" i="40" s="1"/>
  <c r="AC52" i="40"/>
  <c r="W64" i="40" s="1"/>
  <c r="C64" i="40" s="1"/>
  <c r="AI52" i="40"/>
  <c r="W65" i="40" s="1"/>
  <c r="C65" i="40" s="1"/>
  <c r="U64" i="39"/>
  <c r="D64" i="39" s="1"/>
  <c r="D66" i="39"/>
  <c r="AI53" i="39"/>
  <c r="AM52" i="39"/>
  <c r="W66" i="39" s="1"/>
  <c r="C66" i="39" s="1"/>
  <c r="AU52" i="39"/>
  <c r="W68" i="39" s="1"/>
  <c r="BC52" i="39"/>
  <c r="W70" i="39" s="1"/>
  <c r="BK52" i="39"/>
  <c r="W72" i="39" s="1"/>
  <c r="B64" i="39"/>
  <c r="B66" i="39"/>
  <c r="D68" i="39"/>
  <c r="D70" i="39"/>
  <c r="D72" i="39"/>
  <c r="C68" i="39"/>
  <c r="C70" i="39"/>
  <c r="C72" i="39"/>
  <c r="U75" i="39"/>
  <c r="D63" i="39"/>
  <c r="B63" i="39"/>
  <c r="W52" i="39"/>
  <c r="W63" i="39" s="1"/>
  <c r="C63" i="39" s="1"/>
  <c r="AC52" i="39"/>
  <c r="W64" i="39" s="1"/>
  <c r="C64" i="39" s="1"/>
  <c r="D65" i="39"/>
  <c r="B65" i="39"/>
  <c r="AI52" i="39"/>
  <c r="W65" i="39" s="1"/>
  <c r="C65" i="39" s="1"/>
  <c r="O67" i="39"/>
  <c r="D67" i="39"/>
  <c r="B67" i="39"/>
  <c r="B68" i="39"/>
  <c r="O69" i="39"/>
  <c r="D69" i="39"/>
  <c r="B69" i="39"/>
  <c r="B70" i="39"/>
  <c r="O71" i="39"/>
  <c r="D71" i="39"/>
  <c r="B71" i="39"/>
  <c r="B72" i="39"/>
  <c r="U64" i="38"/>
  <c r="D64" i="38" s="1"/>
  <c r="D66" i="38"/>
  <c r="BC52" i="38"/>
  <c r="W70" i="38" s="1"/>
  <c r="BK52" i="38"/>
  <c r="W72" i="38" s="1"/>
  <c r="B64" i="38"/>
  <c r="B66" i="38"/>
  <c r="D68" i="38"/>
  <c r="D70" i="38"/>
  <c r="D72" i="38"/>
  <c r="C68" i="38"/>
  <c r="C70" i="38"/>
  <c r="C72" i="38"/>
  <c r="U75" i="38"/>
  <c r="D63" i="38"/>
  <c r="B63" i="38"/>
  <c r="W52" i="38"/>
  <c r="W63" i="38" s="1"/>
  <c r="C63" i="38" s="1"/>
  <c r="AC52" i="38"/>
  <c r="W64" i="38" s="1"/>
  <c r="C64" i="38" s="1"/>
  <c r="D65" i="38"/>
  <c r="B65" i="38"/>
  <c r="AI52" i="38"/>
  <c r="W65" i="38" s="1"/>
  <c r="C65" i="38" s="1"/>
  <c r="O67" i="38"/>
  <c r="D67" i="38"/>
  <c r="B67" i="38"/>
  <c r="B68" i="38"/>
  <c r="O69" i="38"/>
  <c r="D69" i="38"/>
  <c r="B69" i="38"/>
  <c r="B70" i="38"/>
  <c r="O71" i="38"/>
  <c r="D71" i="38"/>
  <c r="B71" i="38"/>
  <c r="B72" i="38"/>
  <c r="D77" i="37"/>
  <c r="C77" i="37"/>
  <c r="B77" i="37"/>
  <c r="C76" i="37"/>
  <c r="B76" i="37"/>
  <c r="D75" i="37"/>
  <c r="C75" i="37"/>
  <c r="B75" i="37"/>
  <c r="D74" i="37"/>
  <c r="C74" i="37"/>
  <c r="B74" i="37"/>
  <c r="C73" i="37"/>
  <c r="B73" i="37"/>
  <c r="R72" i="37"/>
  <c r="R71" i="37"/>
  <c r="R70" i="37"/>
  <c r="R69" i="37"/>
  <c r="R68" i="37"/>
  <c r="R67" i="37"/>
  <c r="R66" i="37"/>
  <c r="R65" i="37"/>
  <c r="R64" i="37"/>
  <c r="R63" i="37"/>
  <c r="X62" i="37"/>
  <c r="D62" i="37" s="1"/>
  <c r="W62" i="37"/>
  <c r="V62" i="37"/>
  <c r="B62" i="37" s="1"/>
  <c r="C62" i="37"/>
  <c r="U60" i="37"/>
  <c r="BL52" i="37"/>
  <c r="X72" i="37" s="1"/>
  <c r="BJ52" i="37"/>
  <c r="V72" i="37" s="1"/>
  <c r="BI52" i="37"/>
  <c r="U72" i="37" s="1"/>
  <c r="BH52" i="37"/>
  <c r="X71" i="37" s="1"/>
  <c r="BF52" i="37"/>
  <c r="V71" i="37" s="1"/>
  <c r="BE52" i="37"/>
  <c r="U71" i="37" s="1"/>
  <c r="BD52" i="37"/>
  <c r="X70" i="37" s="1"/>
  <c r="BB52" i="37"/>
  <c r="V70" i="37" s="1"/>
  <c r="B70" i="37" s="1"/>
  <c r="BA52" i="37"/>
  <c r="U70" i="37" s="1"/>
  <c r="AZ52" i="37"/>
  <c r="X69" i="37" s="1"/>
  <c r="AX52" i="37"/>
  <c r="V69" i="37" s="1"/>
  <c r="AW52" i="37"/>
  <c r="U69" i="37" s="1"/>
  <c r="AV52" i="37"/>
  <c r="X68" i="37" s="1"/>
  <c r="AT52" i="37"/>
  <c r="V68" i="37" s="1"/>
  <c r="B68" i="37" s="1"/>
  <c r="AS52" i="37"/>
  <c r="U68" i="37" s="1"/>
  <c r="AR52" i="37"/>
  <c r="X67" i="37" s="1"/>
  <c r="AP52" i="37"/>
  <c r="V67" i="37" s="1"/>
  <c r="AO52" i="37"/>
  <c r="U67" i="37" s="1"/>
  <c r="AN52" i="37"/>
  <c r="X66" i="37" s="1"/>
  <c r="AL52" i="37"/>
  <c r="V66" i="37" s="1"/>
  <c r="AK52" i="37"/>
  <c r="U66" i="37" s="1"/>
  <c r="AJ52" i="37"/>
  <c r="X65" i="37" s="1"/>
  <c r="AH52" i="37"/>
  <c r="V65" i="37" s="1"/>
  <c r="AG52" i="37"/>
  <c r="AF52" i="37"/>
  <c r="AE52" i="37"/>
  <c r="AD52" i="37"/>
  <c r="X64" i="37" s="1"/>
  <c r="AB52" i="37"/>
  <c r="V64" i="37" s="1"/>
  <c r="AA52" i="37"/>
  <c r="Z52" i="37"/>
  <c r="Y52" i="37"/>
  <c r="X52" i="37"/>
  <c r="X63" i="37" s="1"/>
  <c r="V52" i="37"/>
  <c r="V63" i="37" s="1"/>
  <c r="U52" i="37"/>
  <c r="T52" i="37"/>
  <c r="S52" i="37"/>
  <c r="L51" i="37"/>
  <c r="K51" i="37"/>
  <c r="J51" i="37"/>
  <c r="I51" i="37"/>
  <c r="H51" i="37"/>
  <c r="G51" i="37"/>
  <c r="F51" i="37"/>
  <c r="E51" i="37"/>
  <c r="D51" i="37"/>
  <c r="C51" i="37"/>
  <c r="B51" i="37"/>
  <c r="L50" i="37"/>
  <c r="K50" i="37"/>
  <c r="J50" i="37"/>
  <c r="I50" i="37"/>
  <c r="H50" i="37"/>
  <c r="G50" i="37"/>
  <c r="F50" i="37"/>
  <c r="E50" i="37"/>
  <c r="D50" i="37"/>
  <c r="C50" i="37"/>
  <c r="B50" i="37"/>
  <c r="L49" i="37"/>
  <c r="K49" i="37"/>
  <c r="J49" i="37"/>
  <c r="I49" i="37"/>
  <c r="H49" i="37"/>
  <c r="G49" i="37"/>
  <c r="F49" i="37"/>
  <c r="E49" i="37"/>
  <c r="D49" i="37"/>
  <c r="C49" i="37"/>
  <c r="B49" i="37"/>
  <c r="L48" i="37"/>
  <c r="K48" i="37"/>
  <c r="J48" i="37"/>
  <c r="I48" i="37"/>
  <c r="H48" i="37"/>
  <c r="G48" i="37"/>
  <c r="F48" i="37"/>
  <c r="E48" i="37"/>
  <c r="D48" i="37"/>
  <c r="C48" i="37"/>
  <c r="B48" i="37"/>
  <c r="L47" i="37"/>
  <c r="K47" i="37"/>
  <c r="J47" i="37"/>
  <c r="I47" i="37"/>
  <c r="H47" i="37"/>
  <c r="G47" i="37"/>
  <c r="F47" i="37"/>
  <c r="E47" i="37"/>
  <c r="D47" i="37"/>
  <c r="C47" i="37"/>
  <c r="B47" i="37"/>
  <c r="L46" i="37"/>
  <c r="K46" i="37"/>
  <c r="J46" i="37"/>
  <c r="I46" i="37"/>
  <c r="H46" i="37"/>
  <c r="G46" i="37"/>
  <c r="F46" i="37"/>
  <c r="E46" i="37"/>
  <c r="D46" i="37"/>
  <c r="C46" i="37"/>
  <c r="B46" i="37"/>
  <c r="L45" i="37"/>
  <c r="K45" i="37"/>
  <c r="J45" i="37"/>
  <c r="I45" i="37"/>
  <c r="H45" i="37"/>
  <c r="G45" i="37"/>
  <c r="F45" i="37"/>
  <c r="E45" i="37"/>
  <c r="D45" i="37"/>
  <c r="C45" i="37"/>
  <c r="B45" i="37"/>
  <c r="L44" i="37"/>
  <c r="K44" i="37"/>
  <c r="J44" i="37"/>
  <c r="I44" i="37"/>
  <c r="H44" i="37"/>
  <c r="G44" i="37"/>
  <c r="F44" i="37"/>
  <c r="E44" i="37"/>
  <c r="D44" i="37"/>
  <c r="C44" i="37"/>
  <c r="B44" i="37"/>
  <c r="L43" i="37"/>
  <c r="K43" i="37"/>
  <c r="J43" i="37"/>
  <c r="I43" i="37"/>
  <c r="H43" i="37"/>
  <c r="G43" i="37"/>
  <c r="F43" i="37"/>
  <c r="E43" i="37"/>
  <c r="D43" i="37"/>
  <c r="C43" i="37"/>
  <c r="B43" i="37"/>
  <c r="L42" i="37"/>
  <c r="K42" i="37"/>
  <c r="J42" i="37"/>
  <c r="I42" i="37"/>
  <c r="H42" i="37"/>
  <c r="G42" i="37"/>
  <c r="F42" i="37"/>
  <c r="E42" i="37"/>
  <c r="D42" i="37"/>
  <c r="C42" i="37"/>
  <c r="B42" i="37"/>
  <c r="L41" i="37"/>
  <c r="K41" i="37"/>
  <c r="J41" i="37"/>
  <c r="I41" i="37"/>
  <c r="H41" i="37"/>
  <c r="G41" i="37"/>
  <c r="F41" i="37"/>
  <c r="E41" i="37"/>
  <c r="D41" i="37"/>
  <c r="C41" i="37"/>
  <c r="B41" i="37"/>
  <c r="L40" i="37"/>
  <c r="K40" i="37"/>
  <c r="J40" i="37"/>
  <c r="I40" i="37"/>
  <c r="H40" i="37"/>
  <c r="G40" i="37"/>
  <c r="F40" i="37"/>
  <c r="E40" i="37"/>
  <c r="D40" i="37"/>
  <c r="C40" i="37"/>
  <c r="B40" i="37"/>
  <c r="L39" i="37"/>
  <c r="K39" i="37"/>
  <c r="J39" i="37"/>
  <c r="I39" i="37"/>
  <c r="H39" i="37"/>
  <c r="G39" i="37"/>
  <c r="F39" i="37"/>
  <c r="E39" i="37"/>
  <c r="D39" i="37"/>
  <c r="C39" i="37"/>
  <c r="B39" i="37"/>
  <c r="L38" i="37"/>
  <c r="K38" i="37"/>
  <c r="J38" i="37"/>
  <c r="I38" i="37"/>
  <c r="H38" i="37"/>
  <c r="G38" i="37"/>
  <c r="F38" i="37"/>
  <c r="E38" i="37"/>
  <c r="D38" i="37"/>
  <c r="C38" i="37"/>
  <c r="B38" i="37"/>
  <c r="L37" i="37"/>
  <c r="K37" i="37"/>
  <c r="J37" i="37"/>
  <c r="I37" i="37"/>
  <c r="H37" i="37"/>
  <c r="G37" i="37"/>
  <c r="F37" i="37"/>
  <c r="E37" i="37"/>
  <c r="D37" i="37"/>
  <c r="C37" i="37"/>
  <c r="B37" i="37"/>
  <c r="L36" i="37"/>
  <c r="K36" i="37"/>
  <c r="J36" i="37"/>
  <c r="I36" i="37"/>
  <c r="H36" i="37"/>
  <c r="G36" i="37"/>
  <c r="F36" i="37"/>
  <c r="E36" i="37"/>
  <c r="D36" i="37"/>
  <c r="C36" i="37"/>
  <c r="B36" i="37"/>
  <c r="L35" i="37"/>
  <c r="K35" i="37"/>
  <c r="J35" i="37"/>
  <c r="I35" i="37"/>
  <c r="H35" i="37"/>
  <c r="G35" i="37"/>
  <c r="F35" i="37"/>
  <c r="E35" i="37"/>
  <c r="D35" i="37"/>
  <c r="C35" i="37"/>
  <c r="B35" i="37"/>
  <c r="L34" i="37"/>
  <c r="K34" i="37"/>
  <c r="J34" i="37"/>
  <c r="I34" i="37"/>
  <c r="H34" i="37"/>
  <c r="G34" i="37"/>
  <c r="F34" i="37"/>
  <c r="E34" i="37"/>
  <c r="D34" i="37"/>
  <c r="C34" i="37"/>
  <c r="B34" i="37"/>
  <c r="L33" i="37"/>
  <c r="K33" i="37"/>
  <c r="J33" i="37"/>
  <c r="I33" i="37"/>
  <c r="H33" i="37"/>
  <c r="G33" i="37"/>
  <c r="F33" i="37"/>
  <c r="E33" i="37"/>
  <c r="D33" i="37"/>
  <c r="C33" i="37"/>
  <c r="B33" i="37"/>
  <c r="L32" i="37"/>
  <c r="K32" i="37"/>
  <c r="J32" i="37"/>
  <c r="I32" i="37"/>
  <c r="H32" i="37"/>
  <c r="G32" i="37"/>
  <c r="F32" i="37"/>
  <c r="E32" i="37"/>
  <c r="D32" i="37"/>
  <c r="C32" i="37"/>
  <c r="B32" i="37"/>
  <c r="L31" i="37"/>
  <c r="K31" i="37"/>
  <c r="J31" i="37"/>
  <c r="I31" i="37"/>
  <c r="H31" i="37"/>
  <c r="G31" i="37"/>
  <c r="F31" i="37"/>
  <c r="E31" i="37"/>
  <c r="D31" i="37"/>
  <c r="C31" i="37"/>
  <c r="B31" i="37"/>
  <c r="L30" i="37"/>
  <c r="K30" i="37"/>
  <c r="J30" i="37"/>
  <c r="I30" i="37"/>
  <c r="H30" i="37"/>
  <c r="G30" i="37"/>
  <c r="F30" i="37"/>
  <c r="E30" i="37"/>
  <c r="D30" i="37"/>
  <c r="C30" i="37"/>
  <c r="B30" i="37"/>
  <c r="L29" i="37"/>
  <c r="K29" i="37"/>
  <c r="J29" i="37"/>
  <c r="I29" i="37"/>
  <c r="H29" i="37"/>
  <c r="G29" i="37"/>
  <c r="F29" i="37"/>
  <c r="E29" i="37"/>
  <c r="D29" i="37"/>
  <c r="C29" i="37"/>
  <c r="B29" i="37"/>
  <c r="L28" i="37"/>
  <c r="K28" i="37"/>
  <c r="J28" i="37"/>
  <c r="I28" i="37"/>
  <c r="H28" i="37"/>
  <c r="G28" i="37"/>
  <c r="F28" i="37"/>
  <c r="E28" i="37"/>
  <c r="D28" i="37"/>
  <c r="C28" i="37"/>
  <c r="B28" i="37"/>
  <c r="L27" i="37"/>
  <c r="K27" i="37"/>
  <c r="J27" i="37"/>
  <c r="I27" i="37"/>
  <c r="H27" i="37"/>
  <c r="G27" i="37"/>
  <c r="F27" i="37"/>
  <c r="E27" i="37"/>
  <c r="D27" i="37"/>
  <c r="C27" i="37"/>
  <c r="B27" i="37"/>
  <c r="L26" i="37"/>
  <c r="K26" i="37"/>
  <c r="J26" i="37"/>
  <c r="I26" i="37"/>
  <c r="H26" i="37"/>
  <c r="G26" i="37"/>
  <c r="F26" i="37"/>
  <c r="E26" i="37"/>
  <c r="D26" i="37"/>
  <c r="C26" i="37"/>
  <c r="B26" i="37"/>
  <c r="L25" i="37"/>
  <c r="K25" i="37"/>
  <c r="J25" i="37"/>
  <c r="I25" i="37"/>
  <c r="H25" i="37"/>
  <c r="G25" i="37"/>
  <c r="F25" i="37"/>
  <c r="E25" i="37"/>
  <c r="D25" i="37"/>
  <c r="C25" i="37"/>
  <c r="B25" i="37"/>
  <c r="L24" i="37"/>
  <c r="K24" i="37"/>
  <c r="J24" i="37"/>
  <c r="I24" i="37"/>
  <c r="H24" i="37"/>
  <c r="G24" i="37"/>
  <c r="F24" i="37"/>
  <c r="E24" i="37"/>
  <c r="D24" i="37"/>
  <c r="C24" i="37"/>
  <c r="B24" i="37"/>
  <c r="L23" i="37"/>
  <c r="K23" i="37"/>
  <c r="J23" i="37"/>
  <c r="I23" i="37"/>
  <c r="H23" i="37"/>
  <c r="G23" i="37"/>
  <c r="F23" i="37"/>
  <c r="E23" i="37"/>
  <c r="D23" i="37"/>
  <c r="C23" i="37"/>
  <c r="B23" i="37"/>
  <c r="L22" i="37"/>
  <c r="K22" i="37"/>
  <c r="J22" i="37"/>
  <c r="I22" i="37"/>
  <c r="H22" i="37"/>
  <c r="G22" i="37"/>
  <c r="F22" i="37"/>
  <c r="E22" i="37"/>
  <c r="D22" i="37"/>
  <c r="C22" i="37"/>
  <c r="B22" i="37"/>
  <c r="L21" i="37"/>
  <c r="K21" i="37"/>
  <c r="J21" i="37"/>
  <c r="I21" i="37"/>
  <c r="H21" i="37"/>
  <c r="G21" i="37"/>
  <c r="F21" i="37"/>
  <c r="E21" i="37"/>
  <c r="D21" i="37"/>
  <c r="C21" i="37"/>
  <c r="B21" i="37"/>
  <c r="L20" i="37"/>
  <c r="K20" i="37"/>
  <c r="J20" i="37"/>
  <c r="BG52" i="37" s="1"/>
  <c r="W71" i="37" s="1"/>
  <c r="C71" i="37" s="1"/>
  <c r="I20" i="37"/>
  <c r="BC52" i="37" s="1"/>
  <c r="W70" i="37" s="1"/>
  <c r="C70" i="37" s="1"/>
  <c r="H20" i="37"/>
  <c r="AY52" i="37" s="1"/>
  <c r="W69" i="37" s="1"/>
  <c r="C69" i="37" s="1"/>
  <c r="G20" i="37"/>
  <c r="AU52" i="37" s="1"/>
  <c r="W68" i="37" s="1"/>
  <c r="C68" i="37" s="1"/>
  <c r="F20" i="37"/>
  <c r="E20" i="37"/>
  <c r="D20" i="37"/>
  <c r="W53" i="37" s="1"/>
  <c r="C20" i="37"/>
  <c r="B20" i="37"/>
  <c r="K19" i="37"/>
  <c r="J19" i="37"/>
  <c r="I19" i="37"/>
  <c r="H19" i="37"/>
  <c r="G19" i="37"/>
  <c r="F19" i="37"/>
  <c r="E19" i="37"/>
  <c r="D19" i="37"/>
  <c r="C19" i="37"/>
  <c r="B19" i="37"/>
  <c r="D77" i="36"/>
  <c r="C77" i="36"/>
  <c r="B77" i="36"/>
  <c r="C76" i="36"/>
  <c r="B76" i="36"/>
  <c r="D75" i="36"/>
  <c r="C75" i="36"/>
  <c r="B75" i="36"/>
  <c r="D74" i="36"/>
  <c r="C74" i="36"/>
  <c r="B74" i="36"/>
  <c r="C73" i="36"/>
  <c r="B73" i="36"/>
  <c r="R72" i="36"/>
  <c r="R71" i="36"/>
  <c r="R70" i="36"/>
  <c r="R69" i="36"/>
  <c r="R68" i="36"/>
  <c r="R67" i="36"/>
  <c r="R66" i="36"/>
  <c r="R65" i="36"/>
  <c r="R64" i="36"/>
  <c r="R63" i="36"/>
  <c r="X62" i="36"/>
  <c r="D62" i="36" s="1"/>
  <c r="W62" i="36"/>
  <c r="V62" i="36"/>
  <c r="B62" i="36" s="1"/>
  <c r="C62" i="36"/>
  <c r="U60" i="36"/>
  <c r="BL52" i="36"/>
  <c r="X72" i="36" s="1"/>
  <c r="BJ52" i="36"/>
  <c r="V72" i="36" s="1"/>
  <c r="BI52" i="36"/>
  <c r="U72" i="36" s="1"/>
  <c r="BH52" i="36"/>
  <c r="X71" i="36" s="1"/>
  <c r="BF52" i="36"/>
  <c r="V71" i="36" s="1"/>
  <c r="BE52" i="36"/>
  <c r="U71" i="36" s="1"/>
  <c r="BD52" i="36"/>
  <c r="X70" i="36" s="1"/>
  <c r="BB52" i="36"/>
  <c r="V70" i="36" s="1"/>
  <c r="B70" i="36" s="1"/>
  <c r="BA52" i="36"/>
  <c r="U70" i="36" s="1"/>
  <c r="AZ52" i="36"/>
  <c r="X69" i="36" s="1"/>
  <c r="AX52" i="36"/>
  <c r="V69" i="36" s="1"/>
  <c r="AW52" i="36"/>
  <c r="U69" i="36" s="1"/>
  <c r="AV52" i="36"/>
  <c r="X68" i="36" s="1"/>
  <c r="AT52" i="36"/>
  <c r="V68" i="36" s="1"/>
  <c r="AS52" i="36"/>
  <c r="U68" i="36" s="1"/>
  <c r="AR52" i="36"/>
  <c r="X67" i="36" s="1"/>
  <c r="AP52" i="36"/>
  <c r="V67" i="36" s="1"/>
  <c r="AO52" i="36"/>
  <c r="U67" i="36" s="1"/>
  <c r="AN52" i="36"/>
  <c r="X66" i="36" s="1"/>
  <c r="AL52" i="36"/>
  <c r="V66" i="36" s="1"/>
  <c r="AK52" i="36"/>
  <c r="U66" i="36" s="1"/>
  <c r="AJ52" i="36"/>
  <c r="X65" i="36" s="1"/>
  <c r="AH52" i="36"/>
  <c r="V65" i="36" s="1"/>
  <c r="AG52" i="36"/>
  <c r="AF52" i="36"/>
  <c r="AE52" i="36"/>
  <c r="AD52" i="36"/>
  <c r="X64" i="36" s="1"/>
  <c r="AB52" i="36"/>
  <c r="V64" i="36" s="1"/>
  <c r="AA52" i="36"/>
  <c r="Z52" i="36"/>
  <c r="Y52" i="36"/>
  <c r="X52" i="36"/>
  <c r="X63" i="36" s="1"/>
  <c r="V52" i="36"/>
  <c r="V63" i="36" s="1"/>
  <c r="U52" i="36"/>
  <c r="T52" i="36"/>
  <c r="S52" i="36"/>
  <c r="L51" i="36"/>
  <c r="K51" i="36"/>
  <c r="J51" i="36"/>
  <c r="I51" i="36"/>
  <c r="H51" i="36"/>
  <c r="G51" i="36"/>
  <c r="F51" i="36"/>
  <c r="E51" i="36"/>
  <c r="D51" i="36"/>
  <c r="C51" i="36"/>
  <c r="B51" i="36"/>
  <c r="L50" i="36"/>
  <c r="K50" i="36"/>
  <c r="J50" i="36"/>
  <c r="I50" i="36"/>
  <c r="H50" i="36"/>
  <c r="G50" i="36"/>
  <c r="F50" i="36"/>
  <c r="E50" i="36"/>
  <c r="D50" i="36"/>
  <c r="C50" i="36"/>
  <c r="B50" i="36"/>
  <c r="L49" i="36"/>
  <c r="K49" i="36"/>
  <c r="J49" i="36"/>
  <c r="I49" i="36"/>
  <c r="H49" i="36"/>
  <c r="G49" i="36"/>
  <c r="F49" i="36"/>
  <c r="E49" i="36"/>
  <c r="D49" i="36"/>
  <c r="C49" i="36"/>
  <c r="B49" i="36"/>
  <c r="L48" i="36"/>
  <c r="K48" i="36"/>
  <c r="J48" i="36"/>
  <c r="I48" i="36"/>
  <c r="H48" i="36"/>
  <c r="G48" i="36"/>
  <c r="F48" i="36"/>
  <c r="E48" i="36"/>
  <c r="D48" i="36"/>
  <c r="C48" i="36"/>
  <c r="B48" i="36"/>
  <c r="L47" i="36"/>
  <c r="K47" i="36"/>
  <c r="J47" i="36"/>
  <c r="I47" i="36"/>
  <c r="H47" i="36"/>
  <c r="G47" i="36"/>
  <c r="F47" i="36"/>
  <c r="E47" i="36"/>
  <c r="D47" i="36"/>
  <c r="C47" i="36"/>
  <c r="B47" i="36"/>
  <c r="L46" i="36"/>
  <c r="K46" i="36"/>
  <c r="J46" i="36"/>
  <c r="I46" i="36"/>
  <c r="H46" i="36"/>
  <c r="G46" i="36"/>
  <c r="F46" i="36"/>
  <c r="E46" i="36"/>
  <c r="D46" i="36"/>
  <c r="C46" i="36"/>
  <c r="B46" i="36"/>
  <c r="L45" i="36"/>
  <c r="K45" i="36"/>
  <c r="J45" i="36"/>
  <c r="I45" i="36"/>
  <c r="H45" i="36"/>
  <c r="G45" i="36"/>
  <c r="F45" i="36"/>
  <c r="E45" i="36"/>
  <c r="D45" i="36"/>
  <c r="C45" i="36"/>
  <c r="B45" i="36"/>
  <c r="L44" i="36"/>
  <c r="K44" i="36"/>
  <c r="J44" i="36"/>
  <c r="I44" i="36"/>
  <c r="H44" i="36"/>
  <c r="G44" i="36"/>
  <c r="F44" i="36"/>
  <c r="E44" i="36"/>
  <c r="D44" i="36"/>
  <c r="C44" i="36"/>
  <c r="B44" i="36"/>
  <c r="L43" i="36"/>
  <c r="K43" i="36"/>
  <c r="J43" i="36"/>
  <c r="I43" i="36"/>
  <c r="H43" i="36"/>
  <c r="G43" i="36"/>
  <c r="F43" i="36"/>
  <c r="E43" i="36"/>
  <c r="D43" i="36"/>
  <c r="C43" i="36"/>
  <c r="B43" i="36"/>
  <c r="L42" i="36"/>
  <c r="K42" i="36"/>
  <c r="J42" i="36"/>
  <c r="I42" i="36"/>
  <c r="H42" i="36"/>
  <c r="G42" i="36"/>
  <c r="F42" i="36"/>
  <c r="E42" i="36"/>
  <c r="D42" i="36"/>
  <c r="C42" i="36"/>
  <c r="B42" i="36"/>
  <c r="L41" i="36"/>
  <c r="K41" i="36"/>
  <c r="J41" i="36"/>
  <c r="I41" i="36"/>
  <c r="H41" i="36"/>
  <c r="G41" i="36"/>
  <c r="F41" i="36"/>
  <c r="E41" i="36"/>
  <c r="D41" i="36"/>
  <c r="C41" i="36"/>
  <c r="B41" i="36"/>
  <c r="L40" i="36"/>
  <c r="K40" i="36"/>
  <c r="J40" i="36"/>
  <c r="I40" i="36"/>
  <c r="H40" i="36"/>
  <c r="G40" i="36"/>
  <c r="F40" i="36"/>
  <c r="E40" i="36"/>
  <c r="D40" i="36"/>
  <c r="C40" i="36"/>
  <c r="B40" i="36"/>
  <c r="L39" i="36"/>
  <c r="K39" i="36"/>
  <c r="J39" i="36"/>
  <c r="I39" i="36"/>
  <c r="H39" i="36"/>
  <c r="G39" i="36"/>
  <c r="F39" i="36"/>
  <c r="E39" i="36"/>
  <c r="D39" i="36"/>
  <c r="C39" i="36"/>
  <c r="B39" i="36"/>
  <c r="L38" i="36"/>
  <c r="K38" i="36"/>
  <c r="J38" i="36"/>
  <c r="I38" i="36"/>
  <c r="H38" i="36"/>
  <c r="G38" i="36"/>
  <c r="F38" i="36"/>
  <c r="E38" i="36"/>
  <c r="D38" i="36"/>
  <c r="C38" i="36"/>
  <c r="B38" i="36"/>
  <c r="L37" i="36"/>
  <c r="K37" i="36"/>
  <c r="J37" i="36"/>
  <c r="I37" i="36"/>
  <c r="H37" i="36"/>
  <c r="G37" i="36"/>
  <c r="F37" i="36"/>
  <c r="E37" i="36"/>
  <c r="D37" i="36"/>
  <c r="C37" i="36"/>
  <c r="B37" i="36"/>
  <c r="L36" i="36"/>
  <c r="K36" i="36"/>
  <c r="J36" i="36"/>
  <c r="I36" i="36"/>
  <c r="H36" i="36"/>
  <c r="G36" i="36"/>
  <c r="F36" i="36"/>
  <c r="E36" i="36"/>
  <c r="D36" i="36"/>
  <c r="C36" i="36"/>
  <c r="B36" i="36"/>
  <c r="L35" i="36"/>
  <c r="K35" i="36"/>
  <c r="J35" i="36"/>
  <c r="I35" i="36"/>
  <c r="H35" i="36"/>
  <c r="G35" i="36"/>
  <c r="F35" i="36"/>
  <c r="E35" i="36"/>
  <c r="D35" i="36"/>
  <c r="C35" i="36"/>
  <c r="B35" i="36"/>
  <c r="L34" i="36"/>
  <c r="K34" i="36"/>
  <c r="J34" i="36"/>
  <c r="I34" i="36"/>
  <c r="H34" i="36"/>
  <c r="G34" i="36"/>
  <c r="F34" i="36"/>
  <c r="E34" i="36"/>
  <c r="D34" i="36"/>
  <c r="C34" i="36"/>
  <c r="B34" i="36"/>
  <c r="L33" i="36"/>
  <c r="K33" i="36"/>
  <c r="J33" i="36"/>
  <c r="I33" i="36"/>
  <c r="H33" i="36"/>
  <c r="G33" i="36"/>
  <c r="F33" i="36"/>
  <c r="E33" i="36"/>
  <c r="D33" i="36"/>
  <c r="C33" i="36"/>
  <c r="B33" i="36"/>
  <c r="L32" i="36"/>
  <c r="K32" i="36"/>
  <c r="J32" i="36"/>
  <c r="I32" i="36"/>
  <c r="H32" i="36"/>
  <c r="G32" i="36"/>
  <c r="F32" i="36"/>
  <c r="E32" i="36"/>
  <c r="D32" i="36"/>
  <c r="C32" i="36"/>
  <c r="B32" i="36"/>
  <c r="L31" i="36"/>
  <c r="K31" i="36"/>
  <c r="J31" i="36"/>
  <c r="I31" i="36"/>
  <c r="H31" i="36"/>
  <c r="G31" i="36"/>
  <c r="F31" i="36"/>
  <c r="E31" i="36"/>
  <c r="D31" i="36"/>
  <c r="C31" i="36"/>
  <c r="B31" i="36"/>
  <c r="L30" i="36"/>
  <c r="K30" i="36"/>
  <c r="J30" i="36"/>
  <c r="I30" i="36"/>
  <c r="H30" i="36"/>
  <c r="G30" i="36"/>
  <c r="F30" i="36"/>
  <c r="E30" i="36"/>
  <c r="D30" i="36"/>
  <c r="C30" i="36"/>
  <c r="B30" i="36"/>
  <c r="L29" i="36"/>
  <c r="K29" i="36"/>
  <c r="J29" i="36"/>
  <c r="I29" i="36"/>
  <c r="H29" i="36"/>
  <c r="G29" i="36"/>
  <c r="F29" i="36"/>
  <c r="E29" i="36"/>
  <c r="D29" i="36"/>
  <c r="C29" i="36"/>
  <c r="B29" i="36"/>
  <c r="L28" i="36"/>
  <c r="K28" i="36"/>
  <c r="J28" i="36"/>
  <c r="I28" i="36"/>
  <c r="H28" i="36"/>
  <c r="G28" i="36"/>
  <c r="F28" i="36"/>
  <c r="E28" i="36"/>
  <c r="D28" i="36"/>
  <c r="C28" i="36"/>
  <c r="B28" i="36"/>
  <c r="L27" i="36"/>
  <c r="K27" i="36"/>
  <c r="J27" i="36"/>
  <c r="I27" i="36"/>
  <c r="H27" i="36"/>
  <c r="G27" i="36"/>
  <c r="F27" i="36"/>
  <c r="E27" i="36"/>
  <c r="D27" i="36"/>
  <c r="C27" i="36"/>
  <c r="B27" i="36"/>
  <c r="L26" i="36"/>
  <c r="K26" i="36"/>
  <c r="J26" i="36"/>
  <c r="I26" i="36"/>
  <c r="H26" i="36"/>
  <c r="G26" i="36"/>
  <c r="F26" i="36"/>
  <c r="E26" i="36"/>
  <c r="D26" i="36"/>
  <c r="C26" i="36"/>
  <c r="B26" i="36"/>
  <c r="L25" i="36"/>
  <c r="K25" i="36"/>
  <c r="J25" i="36"/>
  <c r="I25" i="36"/>
  <c r="H25" i="36"/>
  <c r="G25" i="36"/>
  <c r="F25" i="36"/>
  <c r="E25" i="36"/>
  <c r="D25" i="36"/>
  <c r="C25" i="36"/>
  <c r="B25" i="36"/>
  <c r="L24" i="36"/>
  <c r="K24" i="36"/>
  <c r="J24" i="36"/>
  <c r="I24" i="36"/>
  <c r="H24" i="36"/>
  <c r="G24" i="36"/>
  <c r="F24" i="36"/>
  <c r="E24" i="36"/>
  <c r="D24" i="36"/>
  <c r="C24" i="36"/>
  <c r="B24" i="36"/>
  <c r="L23" i="36"/>
  <c r="K23" i="36"/>
  <c r="J23" i="36"/>
  <c r="I23" i="36"/>
  <c r="H23" i="36"/>
  <c r="G23" i="36"/>
  <c r="F23" i="36"/>
  <c r="E23" i="36"/>
  <c r="D23" i="36"/>
  <c r="C23" i="36"/>
  <c r="B23" i="36"/>
  <c r="L22" i="36"/>
  <c r="K22" i="36"/>
  <c r="J22" i="36"/>
  <c r="I22" i="36"/>
  <c r="H22" i="36"/>
  <c r="G22" i="36"/>
  <c r="F22" i="36"/>
  <c r="E22" i="36"/>
  <c r="D22" i="36"/>
  <c r="C22" i="36"/>
  <c r="B22" i="36"/>
  <c r="L21" i="36"/>
  <c r="K21" i="36"/>
  <c r="J21" i="36"/>
  <c r="I21" i="36"/>
  <c r="H21" i="36"/>
  <c r="G21" i="36"/>
  <c r="F21" i="36"/>
  <c r="E21" i="36"/>
  <c r="D21" i="36"/>
  <c r="C21" i="36"/>
  <c r="B21" i="36"/>
  <c r="L20" i="36"/>
  <c r="K20" i="36"/>
  <c r="J20" i="36"/>
  <c r="BG52" i="36" s="1"/>
  <c r="W71" i="36" s="1"/>
  <c r="C71" i="36" s="1"/>
  <c r="I20" i="36"/>
  <c r="BC52" i="36" s="1"/>
  <c r="W70" i="36" s="1"/>
  <c r="C70" i="36" s="1"/>
  <c r="H20" i="36"/>
  <c r="AY52" i="36" s="1"/>
  <c r="W69" i="36" s="1"/>
  <c r="C69" i="36" s="1"/>
  <c r="G20" i="36"/>
  <c r="AU52" i="36" s="1"/>
  <c r="W68" i="36" s="1"/>
  <c r="C68" i="36" s="1"/>
  <c r="F20" i="36"/>
  <c r="AQ52" i="36" s="1"/>
  <c r="W67" i="36" s="1"/>
  <c r="C67" i="36" s="1"/>
  <c r="E20" i="36"/>
  <c r="D20" i="36"/>
  <c r="C20" i="36"/>
  <c r="B20" i="36"/>
  <c r="K19" i="36"/>
  <c r="J19" i="36"/>
  <c r="I19" i="36"/>
  <c r="H19" i="36"/>
  <c r="G19" i="36"/>
  <c r="F19" i="36"/>
  <c r="E19" i="36"/>
  <c r="D19" i="36"/>
  <c r="C19" i="36"/>
  <c r="B19" i="36"/>
  <c r="D77" i="35"/>
  <c r="C77" i="35"/>
  <c r="B77" i="35"/>
  <c r="C76" i="35"/>
  <c r="B76" i="35"/>
  <c r="D75" i="35"/>
  <c r="C75" i="35"/>
  <c r="B75" i="35"/>
  <c r="D74" i="35"/>
  <c r="C74" i="35"/>
  <c r="B74" i="35"/>
  <c r="C73" i="35"/>
  <c r="B73" i="35"/>
  <c r="R72" i="35"/>
  <c r="R71" i="35"/>
  <c r="R70" i="35"/>
  <c r="R69" i="35"/>
  <c r="R68" i="35"/>
  <c r="R67" i="35"/>
  <c r="R66" i="35"/>
  <c r="R65" i="35"/>
  <c r="R64" i="35"/>
  <c r="R63" i="35"/>
  <c r="X62" i="35"/>
  <c r="D62" i="35" s="1"/>
  <c r="W62" i="35"/>
  <c r="V62" i="35"/>
  <c r="B62" i="35" s="1"/>
  <c r="C62" i="35"/>
  <c r="U60" i="35"/>
  <c r="BL52" i="35"/>
  <c r="X72" i="35" s="1"/>
  <c r="BJ52" i="35"/>
  <c r="V72" i="35" s="1"/>
  <c r="BI52" i="35"/>
  <c r="U72" i="35" s="1"/>
  <c r="BH52" i="35"/>
  <c r="X71" i="35" s="1"/>
  <c r="BF52" i="35"/>
  <c r="V71" i="35" s="1"/>
  <c r="BE52" i="35"/>
  <c r="U71" i="35" s="1"/>
  <c r="BD52" i="35"/>
  <c r="X70" i="35" s="1"/>
  <c r="BB52" i="35"/>
  <c r="V70" i="35" s="1"/>
  <c r="B70" i="35" s="1"/>
  <c r="BA52" i="35"/>
  <c r="U70" i="35" s="1"/>
  <c r="AZ52" i="35"/>
  <c r="X69" i="35" s="1"/>
  <c r="AX52" i="35"/>
  <c r="V69" i="35" s="1"/>
  <c r="AW52" i="35"/>
  <c r="U69" i="35" s="1"/>
  <c r="AV52" i="35"/>
  <c r="X68" i="35" s="1"/>
  <c r="AT52" i="35"/>
  <c r="V68" i="35" s="1"/>
  <c r="B68" i="35" s="1"/>
  <c r="AS52" i="35"/>
  <c r="U68" i="35" s="1"/>
  <c r="AR52" i="35"/>
  <c r="X67" i="35" s="1"/>
  <c r="AP52" i="35"/>
  <c r="V67" i="35" s="1"/>
  <c r="AO52" i="35"/>
  <c r="U67" i="35" s="1"/>
  <c r="AN52" i="35"/>
  <c r="X66" i="35" s="1"/>
  <c r="AL52" i="35"/>
  <c r="V66" i="35" s="1"/>
  <c r="AK52" i="35"/>
  <c r="U66" i="35" s="1"/>
  <c r="AJ52" i="35"/>
  <c r="X65" i="35" s="1"/>
  <c r="AH52" i="35"/>
  <c r="V65" i="35" s="1"/>
  <c r="AG52" i="35"/>
  <c r="AF52" i="35"/>
  <c r="AE52" i="35"/>
  <c r="AD52" i="35"/>
  <c r="X64" i="35" s="1"/>
  <c r="AB52" i="35"/>
  <c r="V64" i="35" s="1"/>
  <c r="B64" i="35" s="1"/>
  <c r="AA52" i="35"/>
  <c r="Z52" i="35"/>
  <c r="Y52" i="35"/>
  <c r="U64" i="35" s="1"/>
  <c r="X52" i="35"/>
  <c r="X63" i="35" s="1"/>
  <c r="V52" i="35"/>
  <c r="V63" i="35" s="1"/>
  <c r="U52" i="35"/>
  <c r="T52" i="35"/>
  <c r="S52" i="35"/>
  <c r="L51" i="35"/>
  <c r="K51" i="35"/>
  <c r="J51" i="35"/>
  <c r="I51" i="35"/>
  <c r="H51" i="35"/>
  <c r="G51" i="35"/>
  <c r="F51" i="35"/>
  <c r="E51" i="35"/>
  <c r="D51" i="35"/>
  <c r="C51" i="35"/>
  <c r="B51" i="35"/>
  <c r="L50" i="35"/>
  <c r="K50" i="35"/>
  <c r="J50" i="35"/>
  <c r="I50" i="35"/>
  <c r="H50" i="35"/>
  <c r="G50" i="35"/>
  <c r="F50" i="35"/>
  <c r="E50" i="35"/>
  <c r="D50" i="35"/>
  <c r="C50" i="35"/>
  <c r="B50" i="35"/>
  <c r="L49" i="35"/>
  <c r="K49" i="35"/>
  <c r="J49" i="35"/>
  <c r="I49" i="35"/>
  <c r="H49" i="35"/>
  <c r="G49" i="35"/>
  <c r="F49" i="35"/>
  <c r="E49" i="35"/>
  <c r="D49" i="35"/>
  <c r="C49" i="35"/>
  <c r="B49" i="35"/>
  <c r="L48" i="35"/>
  <c r="K48" i="35"/>
  <c r="J48" i="35"/>
  <c r="I48" i="35"/>
  <c r="H48" i="35"/>
  <c r="G48" i="35"/>
  <c r="F48" i="35"/>
  <c r="E48" i="35"/>
  <c r="D48" i="35"/>
  <c r="C48" i="35"/>
  <c r="B48" i="35"/>
  <c r="L47" i="35"/>
  <c r="K47" i="35"/>
  <c r="J47" i="35"/>
  <c r="I47" i="35"/>
  <c r="H47" i="35"/>
  <c r="G47" i="35"/>
  <c r="F47" i="35"/>
  <c r="E47" i="35"/>
  <c r="D47" i="35"/>
  <c r="C47" i="35"/>
  <c r="B47" i="35"/>
  <c r="L46" i="35"/>
  <c r="K46" i="35"/>
  <c r="J46" i="35"/>
  <c r="I46" i="35"/>
  <c r="H46" i="35"/>
  <c r="G46" i="35"/>
  <c r="F46" i="35"/>
  <c r="E46" i="35"/>
  <c r="D46" i="35"/>
  <c r="C46" i="35"/>
  <c r="B46" i="35"/>
  <c r="L45" i="35"/>
  <c r="K45" i="35"/>
  <c r="J45" i="35"/>
  <c r="I45" i="35"/>
  <c r="H45" i="35"/>
  <c r="G45" i="35"/>
  <c r="F45" i="35"/>
  <c r="E45" i="35"/>
  <c r="D45" i="35"/>
  <c r="C45" i="35"/>
  <c r="B45" i="35"/>
  <c r="L44" i="35"/>
  <c r="K44" i="35"/>
  <c r="J44" i="35"/>
  <c r="I44" i="35"/>
  <c r="H44" i="35"/>
  <c r="G44" i="35"/>
  <c r="F44" i="35"/>
  <c r="E44" i="35"/>
  <c r="D44" i="35"/>
  <c r="C44" i="35"/>
  <c r="B44" i="35"/>
  <c r="L43" i="35"/>
  <c r="K43" i="35"/>
  <c r="J43" i="35"/>
  <c r="I43" i="35"/>
  <c r="H43" i="35"/>
  <c r="G43" i="35"/>
  <c r="F43" i="35"/>
  <c r="E43" i="35"/>
  <c r="D43" i="35"/>
  <c r="C43" i="35"/>
  <c r="B43" i="35"/>
  <c r="L42" i="35"/>
  <c r="K42" i="35"/>
  <c r="J42" i="35"/>
  <c r="I42" i="35"/>
  <c r="H42" i="35"/>
  <c r="G42" i="35"/>
  <c r="F42" i="35"/>
  <c r="E42" i="35"/>
  <c r="D42" i="35"/>
  <c r="C42" i="35"/>
  <c r="B42" i="35"/>
  <c r="L41" i="35"/>
  <c r="K41" i="35"/>
  <c r="J41" i="35"/>
  <c r="I41" i="35"/>
  <c r="H41" i="35"/>
  <c r="G41" i="35"/>
  <c r="F41" i="35"/>
  <c r="E41" i="35"/>
  <c r="D41" i="35"/>
  <c r="C41" i="35"/>
  <c r="B41" i="35"/>
  <c r="L40" i="35"/>
  <c r="K40" i="35"/>
  <c r="J40" i="35"/>
  <c r="I40" i="35"/>
  <c r="H40" i="35"/>
  <c r="G40" i="35"/>
  <c r="F40" i="35"/>
  <c r="E40" i="35"/>
  <c r="D40" i="35"/>
  <c r="C40" i="35"/>
  <c r="B40" i="35"/>
  <c r="L39" i="35"/>
  <c r="K39" i="35"/>
  <c r="J39" i="35"/>
  <c r="I39" i="35"/>
  <c r="H39" i="35"/>
  <c r="G39" i="35"/>
  <c r="F39" i="35"/>
  <c r="E39" i="35"/>
  <c r="D39" i="35"/>
  <c r="C39" i="35"/>
  <c r="B39" i="35"/>
  <c r="L38" i="35"/>
  <c r="K38" i="35"/>
  <c r="J38" i="35"/>
  <c r="I38" i="35"/>
  <c r="H38" i="35"/>
  <c r="G38" i="35"/>
  <c r="F38" i="35"/>
  <c r="E38" i="35"/>
  <c r="D38" i="35"/>
  <c r="C38" i="35"/>
  <c r="B38" i="35"/>
  <c r="L37" i="35"/>
  <c r="K37" i="35"/>
  <c r="J37" i="35"/>
  <c r="I37" i="35"/>
  <c r="H37" i="35"/>
  <c r="G37" i="35"/>
  <c r="F37" i="35"/>
  <c r="E37" i="35"/>
  <c r="D37" i="35"/>
  <c r="C37" i="35"/>
  <c r="B37" i="35"/>
  <c r="L36" i="35"/>
  <c r="K36" i="35"/>
  <c r="J36" i="35"/>
  <c r="I36" i="35"/>
  <c r="H36" i="35"/>
  <c r="G36" i="35"/>
  <c r="F36" i="35"/>
  <c r="E36" i="35"/>
  <c r="D36" i="35"/>
  <c r="C36" i="35"/>
  <c r="B36" i="35"/>
  <c r="L35" i="35"/>
  <c r="K35" i="35"/>
  <c r="J35" i="35"/>
  <c r="I35" i="35"/>
  <c r="H35" i="35"/>
  <c r="G35" i="35"/>
  <c r="F35" i="35"/>
  <c r="E35" i="35"/>
  <c r="D35" i="35"/>
  <c r="C35" i="35"/>
  <c r="B35" i="35"/>
  <c r="L34" i="35"/>
  <c r="K34" i="35"/>
  <c r="J34" i="35"/>
  <c r="I34" i="35"/>
  <c r="H34" i="35"/>
  <c r="G34" i="35"/>
  <c r="F34" i="35"/>
  <c r="E34" i="35"/>
  <c r="D34" i="35"/>
  <c r="C34" i="35"/>
  <c r="B34" i="35"/>
  <c r="L33" i="35"/>
  <c r="K33" i="35"/>
  <c r="J33" i="35"/>
  <c r="I33" i="35"/>
  <c r="H33" i="35"/>
  <c r="G33" i="35"/>
  <c r="F33" i="35"/>
  <c r="E33" i="35"/>
  <c r="D33" i="35"/>
  <c r="C33" i="35"/>
  <c r="B33" i="35"/>
  <c r="L32" i="35"/>
  <c r="K32" i="35"/>
  <c r="J32" i="35"/>
  <c r="I32" i="35"/>
  <c r="H32" i="35"/>
  <c r="G32" i="35"/>
  <c r="F32" i="35"/>
  <c r="E32" i="35"/>
  <c r="D32" i="35"/>
  <c r="C32" i="35"/>
  <c r="B32" i="35"/>
  <c r="L31" i="35"/>
  <c r="K31" i="35"/>
  <c r="J31" i="35"/>
  <c r="I31" i="35"/>
  <c r="H31" i="35"/>
  <c r="G31" i="35"/>
  <c r="F31" i="35"/>
  <c r="E31" i="35"/>
  <c r="D31" i="35"/>
  <c r="C31" i="35"/>
  <c r="B31" i="35"/>
  <c r="L30" i="35"/>
  <c r="K30" i="35"/>
  <c r="J30" i="35"/>
  <c r="I30" i="35"/>
  <c r="H30" i="35"/>
  <c r="G30" i="35"/>
  <c r="F30" i="35"/>
  <c r="E30" i="35"/>
  <c r="D30" i="35"/>
  <c r="C30" i="35"/>
  <c r="B30" i="35"/>
  <c r="L29" i="35"/>
  <c r="K29" i="35"/>
  <c r="J29" i="35"/>
  <c r="I29" i="35"/>
  <c r="H29" i="35"/>
  <c r="G29" i="35"/>
  <c r="F29" i="35"/>
  <c r="E29" i="35"/>
  <c r="D29" i="35"/>
  <c r="C29" i="35"/>
  <c r="B29" i="35"/>
  <c r="L28" i="35"/>
  <c r="K28" i="35"/>
  <c r="J28" i="35"/>
  <c r="I28" i="35"/>
  <c r="H28" i="35"/>
  <c r="G28" i="35"/>
  <c r="F28" i="35"/>
  <c r="E28" i="35"/>
  <c r="D28" i="35"/>
  <c r="C28" i="35"/>
  <c r="B28" i="35"/>
  <c r="L27" i="35"/>
  <c r="K27" i="35"/>
  <c r="J27" i="35"/>
  <c r="I27" i="35"/>
  <c r="H27" i="35"/>
  <c r="G27" i="35"/>
  <c r="F27" i="35"/>
  <c r="E27" i="35"/>
  <c r="D27" i="35"/>
  <c r="C27" i="35"/>
  <c r="B27" i="35"/>
  <c r="L26" i="35"/>
  <c r="K26" i="35"/>
  <c r="J26" i="35"/>
  <c r="I26" i="35"/>
  <c r="H26" i="35"/>
  <c r="G26" i="35"/>
  <c r="F26" i="35"/>
  <c r="E26" i="35"/>
  <c r="D26" i="35"/>
  <c r="C26" i="35"/>
  <c r="B26" i="35"/>
  <c r="L25" i="35"/>
  <c r="K25" i="35"/>
  <c r="J25" i="35"/>
  <c r="I25" i="35"/>
  <c r="H25" i="35"/>
  <c r="G25" i="35"/>
  <c r="F25" i="35"/>
  <c r="E25" i="35"/>
  <c r="D25" i="35"/>
  <c r="C25" i="35"/>
  <c r="B25" i="35"/>
  <c r="L24" i="35"/>
  <c r="K24" i="35"/>
  <c r="J24" i="35"/>
  <c r="I24" i="35"/>
  <c r="H24" i="35"/>
  <c r="G24" i="35"/>
  <c r="F24" i="35"/>
  <c r="E24" i="35"/>
  <c r="D24" i="35"/>
  <c r="C24" i="35"/>
  <c r="B24" i="35"/>
  <c r="L23" i="35"/>
  <c r="K23" i="35"/>
  <c r="J23" i="35"/>
  <c r="I23" i="35"/>
  <c r="H23" i="35"/>
  <c r="G23" i="35"/>
  <c r="F23" i="35"/>
  <c r="E23" i="35"/>
  <c r="D23" i="35"/>
  <c r="C23" i="35"/>
  <c r="B23" i="35"/>
  <c r="L22" i="35"/>
  <c r="K22" i="35"/>
  <c r="J22" i="35"/>
  <c r="I22" i="35"/>
  <c r="H22" i="35"/>
  <c r="G22" i="35"/>
  <c r="F22" i="35"/>
  <c r="E22" i="35"/>
  <c r="D22" i="35"/>
  <c r="C22" i="35"/>
  <c r="B22" i="35"/>
  <c r="L21" i="35"/>
  <c r="K21" i="35"/>
  <c r="J21" i="35"/>
  <c r="I21" i="35"/>
  <c r="H21" i="35"/>
  <c r="G21" i="35"/>
  <c r="F21" i="35"/>
  <c r="E21" i="35"/>
  <c r="D21" i="35"/>
  <c r="C21" i="35"/>
  <c r="B21" i="35"/>
  <c r="L20" i="35"/>
  <c r="K20" i="35"/>
  <c r="J20" i="35"/>
  <c r="BG52" i="35" s="1"/>
  <c r="W71" i="35" s="1"/>
  <c r="C71" i="35" s="1"/>
  <c r="I20" i="35"/>
  <c r="BC52" i="35" s="1"/>
  <c r="W70" i="35" s="1"/>
  <c r="C70" i="35" s="1"/>
  <c r="H20" i="35"/>
  <c r="AY52" i="35" s="1"/>
  <c r="W69" i="35" s="1"/>
  <c r="C69" i="35" s="1"/>
  <c r="G20" i="35"/>
  <c r="AU52" i="35" s="1"/>
  <c r="W68" i="35" s="1"/>
  <c r="C68" i="35" s="1"/>
  <c r="F20" i="35"/>
  <c r="AQ52" i="35" s="1"/>
  <c r="W67" i="35" s="1"/>
  <c r="C67" i="35" s="1"/>
  <c r="E20" i="35"/>
  <c r="D20" i="35"/>
  <c r="W53" i="35" s="1"/>
  <c r="C20" i="35"/>
  <c r="B20" i="35"/>
  <c r="AC53" i="35" s="1"/>
  <c r="K19" i="35"/>
  <c r="J19" i="35"/>
  <c r="I19" i="35"/>
  <c r="H19" i="35"/>
  <c r="G19" i="35"/>
  <c r="F19" i="35"/>
  <c r="E19" i="35"/>
  <c r="D19" i="35"/>
  <c r="C19" i="35"/>
  <c r="B19" i="35"/>
  <c r="O71" i="40" l="1"/>
  <c r="O69" i="40"/>
  <c r="O67" i="40"/>
  <c r="O65" i="40"/>
  <c r="O75" i="40"/>
  <c r="W75" i="40"/>
  <c r="X75" i="40"/>
  <c r="V75" i="40"/>
  <c r="W75" i="39"/>
  <c r="X75" i="39"/>
  <c r="V75" i="39"/>
  <c r="O66" i="39"/>
  <c r="O65" i="39"/>
  <c r="O64" i="39"/>
  <c r="O63" i="39"/>
  <c r="O72" i="39"/>
  <c r="O70" i="39"/>
  <c r="O68" i="39"/>
  <c r="W75" i="38"/>
  <c r="X75" i="38"/>
  <c r="V75" i="38"/>
  <c r="O66" i="38"/>
  <c r="O65" i="38"/>
  <c r="O64" i="38"/>
  <c r="O63" i="38"/>
  <c r="O72" i="38"/>
  <c r="O70" i="38"/>
  <c r="O68" i="38"/>
  <c r="BK52" i="37"/>
  <c r="W72" i="37" s="1"/>
  <c r="C72" i="37" s="1"/>
  <c r="B72" i="37"/>
  <c r="AQ52" i="37"/>
  <c r="W67" i="37" s="1"/>
  <c r="C67" i="37" s="1"/>
  <c r="AM52" i="37"/>
  <c r="W66" i="37" s="1"/>
  <c r="C66" i="37" s="1"/>
  <c r="B66" i="37"/>
  <c r="AI53" i="37"/>
  <c r="U65" i="37"/>
  <c r="B65" i="37" s="1"/>
  <c r="AC53" i="37"/>
  <c r="U64" i="37"/>
  <c r="B64" i="37" s="1"/>
  <c r="U63" i="37"/>
  <c r="D65" i="37"/>
  <c r="D67" i="37"/>
  <c r="D69" i="37"/>
  <c r="D71" i="37"/>
  <c r="D64" i="37"/>
  <c r="D66" i="37"/>
  <c r="B67" i="37"/>
  <c r="D68" i="37"/>
  <c r="B69" i="37"/>
  <c r="D70" i="37"/>
  <c r="B71" i="37"/>
  <c r="D72" i="37"/>
  <c r="W52" i="37"/>
  <c r="W63" i="37" s="1"/>
  <c r="AC52" i="37"/>
  <c r="W64" i="37" s="1"/>
  <c r="C64" i="37" s="1"/>
  <c r="AI52" i="37"/>
  <c r="W65" i="37" s="1"/>
  <c r="BK52" i="36"/>
  <c r="W72" i="36" s="1"/>
  <c r="C72" i="36" s="1"/>
  <c r="B72" i="36"/>
  <c r="B68" i="36"/>
  <c r="B66" i="36"/>
  <c r="AM52" i="36"/>
  <c r="W66" i="36" s="1"/>
  <c r="C66" i="36" s="1"/>
  <c r="AI53" i="36"/>
  <c r="U65" i="36"/>
  <c r="D65" i="36" s="1"/>
  <c r="AC53" i="36"/>
  <c r="U64" i="36"/>
  <c r="B64" i="36" s="1"/>
  <c r="W53" i="36"/>
  <c r="U63" i="36"/>
  <c r="D67" i="36"/>
  <c r="D69" i="36"/>
  <c r="D71" i="36"/>
  <c r="D66" i="36"/>
  <c r="B67" i="36"/>
  <c r="D68" i="36"/>
  <c r="B69" i="36"/>
  <c r="D70" i="36"/>
  <c r="B71" i="36"/>
  <c r="D72" i="36"/>
  <c r="W52" i="36"/>
  <c r="W63" i="36" s="1"/>
  <c r="AC52" i="36"/>
  <c r="W64" i="36" s="1"/>
  <c r="AI52" i="36"/>
  <c r="W65" i="36" s="1"/>
  <c r="B72" i="35"/>
  <c r="BK52" i="35"/>
  <c r="W72" i="35" s="1"/>
  <c r="C72" i="35" s="1"/>
  <c r="B66" i="35"/>
  <c r="AM52" i="35"/>
  <c r="W66" i="35" s="1"/>
  <c r="C66" i="35" s="1"/>
  <c r="AI53" i="35"/>
  <c r="U65" i="35"/>
  <c r="B65" i="35" s="1"/>
  <c r="U63" i="35"/>
  <c r="D65" i="35"/>
  <c r="D67" i="35"/>
  <c r="D69" i="35"/>
  <c r="D71" i="35"/>
  <c r="D64" i="35"/>
  <c r="D66" i="35"/>
  <c r="B67" i="35"/>
  <c r="D68" i="35"/>
  <c r="B69" i="35"/>
  <c r="D70" i="35"/>
  <c r="B71" i="35"/>
  <c r="D72" i="35"/>
  <c r="W52" i="35"/>
  <c r="W63" i="35" s="1"/>
  <c r="AC52" i="35"/>
  <c r="W64" i="35" s="1"/>
  <c r="C64" i="35" s="1"/>
  <c r="AI52" i="35"/>
  <c r="W65" i="35" s="1"/>
  <c r="D77" i="34"/>
  <c r="C77" i="34"/>
  <c r="B77" i="34"/>
  <c r="C76" i="34"/>
  <c r="B76" i="34"/>
  <c r="D75" i="34"/>
  <c r="C75" i="34"/>
  <c r="B75" i="34"/>
  <c r="D74" i="34"/>
  <c r="C74" i="34"/>
  <c r="B74" i="34"/>
  <c r="C73" i="34"/>
  <c r="B73" i="34"/>
  <c r="R72" i="34"/>
  <c r="R71" i="34"/>
  <c r="R70" i="34"/>
  <c r="R69" i="34"/>
  <c r="R68" i="34"/>
  <c r="R67" i="34"/>
  <c r="R66" i="34"/>
  <c r="R65" i="34"/>
  <c r="R64" i="34"/>
  <c r="R63" i="34"/>
  <c r="X62" i="34"/>
  <c r="D62" i="34" s="1"/>
  <c r="W62" i="34"/>
  <c r="V62" i="34"/>
  <c r="B62" i="34" s="1"/>
  <c r="C62" i="34"/>
  <c r="U60" i="34"/>
  <c r="BL52" i="34"/>
  <c r="X72" i="34" s="1"/>
  <c r="BJ52" i="34"/>
  <c r="V72" i="34" s="1"/>
  <c r="BI52" i="34"/>
  <c r="U72" i="34" s="1"/>
  <c r="BH52" i="34"/>
  <c r="X71" i="34" s="1"/>
  <c r="BF52" i="34"/>
  <c r="V71" i="34" s="1"/>
  <c r="BE52" i="34"/>
  <c r="U71" i="34" s="1"/>
  <c r="BD52" i="34"/>
  <c r="X70" i="34" s="1"/>
  <c r="BB52" i="34"/>
  <c r="V70" i="34" s="1"/>
  <c r="B70" i="34" s="1"/>
  <c r="BA52" i="34"/>
  <c r="U70" i="34" s="1"/>
  <c r="AZ52" i="34"/>
  <c r="X69" i="34" s="1"/>
  <c r="AX52" i="34"/>
  <c r="V69" i="34" s="1"/>
  <c r="AW52" i="34"/>
  <c r="U69" i="34" s="1"/>
  <c r="AV52" i="34"/>
  <c r="X68" i="34" s="1"/>
  <c r="AT52" i="34"/>
  <c r="V68" i="34" s="1"/>
  <c r="AS52" i="34"/>
  <c r="U68" i="34" s="1"/>
  <c r="AR52" i="34"/>
  <c r="X67" i="34" s="1"/>
  <c r="AP52" i="34"/>
  <c r="V67" i="34" s="1"/>
  <c r="AO52" i="34"/>
  <c r="U67" i="34" s="1"/>
  <c r="AN52" i="34"/>
  <c r="X66" i="34" s="1"/>
  <c r="AL52" i="34"/>
  <c r="V66" i="34" s="1"/>
  <c r="AK52" i="34"/>
  <c r="U66" i="34" s="1"/>
  <c r="AJ52" i="34"/>
  <c r="X65" i="34" s="1"/>
  <c r="AH52" i="34"/>
  <c r="V65" i="34" s="1"/>
  <c r="AG52" i="34"/>
  <c r="AF52" i="34"/>
  <c r="AE52" i="34"/>
  <c r="AD52" i="34"/>
  <c r="X64" i="34" s="1"/>
  <c r="AB52" i="34"/>
  <c r="V64" i="34" s="1"/>
  <c r="B64" i="34" s="1"/>
  <c r="AA52" i="34"/>
  <c r="Z52" i="34"/>
  <c r="Y52" i="34"/>
  <c r="U64" i="34" s="1"/>
  <c r="X52" i="34"/>
  <c r="X63" i="34" s="1"/>
  <c r="V52" i="34"/>
  <c r="V63" i="34" s="1"/>
  <c r="U52" i="34"/>
  <c r="T52" i="34"/>
  <c r="S52" i="34"/>
  <c r="L51" i="34"/>
  <c r="K51" i="34"/>
  <c r="J51" i="34"/>
  <c r="I51" i="34"/>
  <c r="H51" i="34"/>
  <c r="G51" i="34"/>
  <c r="F51" i="34"/>
  <c r="E51" i="34"/>
  <c r="D51" i="34"/>
  <c r="C51" i="34"/>
  <c r="B51" i="34"/>
  <c r="L50" i="34"/>
  <c r="K50" i="34"/>
  <c r="J50" i="34"/>
  <c r="I50" i="34"/>
  <c r="H50" i="34"/>
  <c r="G50" i="34"/>
  <c r="F50" i="34"/>
  <c r="E50" i="34"/>
  <c r="D50" i="34"/>
  <c r="C50" i="34"/>
  <c r="B50" i="34"/>
  <c r="L49" i="34"/>
  <c r="K49" i="34"/>
  <c r="J49" i="34"/>
  <c r="I49" i="34"/>
  <c r="H49" i="34"/>
  <c r="G49" i="34"/>
  <c r="F49" i="34"/>
  <c r="E49" i="34"/>
  <c r="D49" i="34"/>
  <c r="C49" i="34"/>
  <c r="B49" i="34"/>
  <c r="L48" i="34"/>
  <c r="K48" i="34"/>
  <c r="J48" i="34"/>
  <c r="I48" i="34"/>
  <c r="H48" i="34"/>
  <c r="G48" i="34"/>
  <c r="F48" i="34"/>
  <c r="E48" i="34"/>
  <c r="D48" i="34"/>
  <c r="C48" i="34"/>
  <c r="B48" i="34"/>
  <c r="L47" i="34"/>
  <c r="K47" i="34"/>
  <c r="J47" i="34"/>
  <c r="I47" i="34"/>
  <c r="H47" i="34"/>
  <c r="G47" i="34"/>
  <c r="F47" i="34"/>
  <c r="E47" i="34"/>
  <c r="D47" i="34"/>
  <c r="C47" i="34"/>
  <c r="B47" i="34"/>
  <c r="L46" i="34"/>
  <c r="K46" i="34"/>
  <c r="J46" i="34"/>
  <c r="I46" i="34"/>
  <c r="H46" i="34"/>
  <c r="G46" i="34"/>
  <c r="F46" i="34"/>
  <c r="E46" i="34"/>
  <c r="D46" i="34"/>
  <c r="C46" i="34"/>
  <c r="B46" i="34"/>
  <c r="L45" i="34"/>
  <c r="K45" i="34"/>
  <c r="J45" i="34"/>
  <c r="I45" i="34"/>
  <c r="H45" i="34"/>
  <c r="G45" i="34"/>
  <c r="F45" i="34"/>
  <c r="E45" i="34"/>
  <c r="D45" i="34"/>
  <c r="C45" i="34"/>
  <c r="B45" i="34"/>
  <c r="L44" i="34"/>
  <c r="K44" i="34"/>
  <c r="J44" i="34"/>
  <c r="I44" i="34"/>
  <c r="H44" i="34"/>
  <c r="G44" i="34"/>
  <c r="F44" i="34"/>
  <c r="E44" i="34"/>
  <c r="D44" i="34"/>
  <c r="C44" i="34"/>
  <c r="B44" i="34"/>
  <c r="L43" i="34"/>
  <c r="K43" i="34"/>
  <c r="J43" i="34"/>
  <c r="I43" i="34"/>
  <c r="H43" i="34"/>
  <c r="G43" i="34"/>
  <c r="F43" i="34"/>
  <c r="E43" i="34"/>
  <c r="D43" i="34"/>
  <c r="C43" i="34"/>
  <c r="B43" i="34"/>
  <c r="L42" i="34"/>
  <c r="K42" i="34"/>
  <c r="J42" i="34"/>
  <c r="I42" i="34"/>
  <c r="H42" i="34"/>
  <c r="G42" i="34"/>
  <c r="F42" i="34"/>
  <c r="E42" i="34"/>
  <c r="D42" i="34"/>
  <c r="C42" i="34"/>
  <c r="B42" i="34"/>
  <c r="L41" i="34"/>
  <c r="K41" i="34"/>
  <c r="J41" i="34"/>
  <c r="I41" i="34"/>
  <c r="H41" i="34"/>
  <c r="G41" i="34"/>
  <c r="F41" i="34"/>
  <c r="E41" i="34"/>
  <c r="D41" i="34"/>
  <c r="C41" i="34"/>
  <c r="B41" i="34"/>
  <c r="L40" i="34"/>
  <c r="K40" i="34"/>
  <c r="J40" i="34"/>
  <c r="I40" i="34"/>
  <c r="H40" i="34"/>
  <c r="G40" i="34"/>
  <c r="F40" i="34"/>
  <c r="E40" i="34"/>
  <c r="D40" i="34"/>
  <c r="C40" i="34"/>
  <c r="B40" i="34"/>
  <c r="L39" i="34"/>
  <c r="K39" i="34"/>
  <c r="J39" i="34"/>
  <c r="I39" i="34"/>
  <c r="H39" i="34"/>
  <c r="G39" i="34"/>
  <c r="F39" i="34"/>
  <c r="E39" i="34"/>
  <c r="D39" i="34"/>
  <c r="C39" i="34"/>
  <c r="B39" i="34"/>
  <c r="L38" i="34"/>
  <c r="K38" i="34"/>
  <c r="J38" i="34"/>
  <c r="I38" i="34"/>
  <c r="H38" i="34"/>
  <c r="G38" i="34"/>
  <c r="F38" i="34"/>
  <c r="E38" i="34"/>
  <c r="D38" i="34"/>
  <c r="C38" i="34"/>
  <c r="B38" i="34"/>
  <c r="L37" i="34"/>
  <c r="K37" i="34"/>
  <c r="J37" i="34"/>
  <c r="I37" i="34"/>
  <c r="H37" i="34"/>
  <c r="G37" i="34"/>
  <c r="F37" i="34"/>
  <c r="E37" i="34"/>
  <c r="D37" i="34"/>
  <c r="C37" i="34"/>
  <c r="B37" i="34"/>
  <c r="L36" i="34"/>
  <c r="K36" i="34"/>
  <c r="J36" i="34"/>
  <c r="I36" i="34"/>
  <c r="H36" i="34"/>
  <c r="G36" i="34"/>
  <c r="F36" i="34"/>
  <c r="E36" i="34"/>
  <c r="D36" i="34"/>
  <c r="C36" i="34"/>
  <c r="B36" i="34"/>
  <c r="L35" i="34"/>
  <c r="K35" i="34"/>
  <c r="J35" i="34"/>
  <c r="I35" i="34"/>
  <c r="H35" i="34"/>
  <c r="G35" i="34"/>
  <c r="F35" i="34"/>
  <c r="E35" i="34"/>
  <c r="D35" i="34"/>
  <c r="C35" i="34"/>
  <c r="B35" i="34"/>
  <c r="L34" i="34"/>
  <c r="K34" i="34"/>
  <c r="J34" i="34"/>
  <c r="I34" i="34"/>
  <c r="H34" i="34"/>
  <c r="G34" i="34"/>
  <c r="F34" i="34"/>
  <c r="E34" i="34"/>
  <c r="D34" i="34"/>
  <c r="C34" i="34"/>
  <c r="B34" i="34"/>
  <c r="L33" i="34"/>
  <c r="K33" i="34"/>
  <c r="J33" i="34"/>
  <c r="I33" i="34"/>
  <c r="H33" i="34"/>
  <c r="G33" i="34"/>
  <c r="F33" i="34"/>
  <c r="E33" i="34"/>
  <c r="D33" i="34"/>
  <c r="C33" i="34"/>
  <c r="B33" i="34"/>
  <c r="L32" i="34"/>
  <c r="K32" i="34"/>
  <c r="J32" i="34"/>
  <c r="I32" i="34"/>
  <c r="H32" i="34"/>
  <c r="G32" i="34"/>
  <c r="F32" i="34"/>
  <c r="E32" i="34"/>
  <c r="D32" i="34"/>
  <c r="C32" i="34"/>
  <c r="B32" i="34"/>
  <c r="L31" i="34"/>
  <c r="K31" i="34"/>
  <c r="J31" i="34"/>
  <c r="I31" i="34"/>
  <c r="H31" i="34"/>
  <c r="G31" i="34"/>
  <c r="F31" i="34"/>
  <c r="E31" i="34"/>
  <c r="D31" i="34"/>
  <c r="C31" i="34"/>
  <c r="B31" i="34"/>
  <c r="L30" i="34"/>
  <c r="K30" i="34"/>
  <c r="J30" i="34"/>
  <c r="I30" i="34"/>
  <c r="H30" i="34"/>
  <c r="G30" i="34"/>
  <c r="F30" i="34"/>
  <c r="E30" i="34"/>
  <c r="D30" i="34"/>
  <c r="C30" i="34"/>
  <c r="B30" i="34"/>
  <c r="L29" i="34"/>
  <c r="K29" i="34"/>
  <c r="J29" i="34"/>
  <c r="I29" i="34"/>
  <c r="H29" i="34"/>
  <c r="G29" i="34"/>
  <c r="F29" i="34"/>
  <c r="E29" i="34"/>
  <c r="D29" i="34"/>
  <c r="C29" i="34"/>
  <c r="B29" i="34"/>
  <c r="L28" i="34"/>
  <c r="K28" i="34"/>
  <c r="J28" i="34"/>
  <c r="I28" i="34"/>
  <c r="H28" i="34"/>
  <c r="G28" i="34"/>
  <c r="F28" i="34"/>
  <c r="E28" i="34"/>
  <c r="D28" i="34"/>
  <c r="C28" i="34"/>
  <c r="B28" i="34"/>
  <c r="L27" i="34"/>
  <c r="K27" i="34"/>
  <c r="J27" i="34"/>
  <c r="I27" i="34"/>
  <c r="H27" i="34"/>
  <c r="G27" i="34"/>
  <c r="F27" i="34"/>
  <c r="E27" i="34"/>
  <c r="D27" i="34"/>
  <c r="C27" i="34"/>
  <c r="B27" i="34"/>
  <c r="L26" i="34"/>
  <c r="K26" i="34"/>
  <c r="J26" i="34"/>
  <c r="I26" i="34"/>
  <c r="H26" i="34"/>
  <c r="G26" i="34"/>
  <c r="F26" i="34"/>
  <c r="E26" i="34"/>
  <c r="D26" i="34"/>
  <c r="C26" i="34"/>
  <c r="B26" i="34"/>
  <c r="L25" i="34"/>
  <c r="K25" i="34"/>
  <c r="J25" i="34"/>
  <c r="I25" i="34"/>
  <c r="H25" i="34"/>
  <c r="G25" i="34"/>
  <c r="F25" i="34"/>
  <c r="E25" i="34"/>
  <c r="D25" i="34"/>
  <c r="C25" i="34"/>
  <c r="B25" i="34"/>
  <c r="L24" i="34"/>
  <c r="K24" i="34"/>
  <c r="J24" i="34"/>
  <c r="I24" i="34"/>
  <c r="H24" i="34"/>
  <c r="G24" i="34"/>
  <c r="F24" i="34"/>
  <c r="E24" i="34"/>
  <c r="D24" i="34"/>
  <c r="C24" i="34"/>
  <c r="B24" i="34"/>
  <c r="L23" i="34"/>
  <c r="K23" i="34"/>
  <c r="J23" i="34"/>
  <c r="I23" i="34"/>
  <c r="H23" i="34"/>
  <c r="G23" i="34"/>
  <c r="F23" i="34"/>
  <c r="E23" i="34"/>
  <c r="D23" i="34"/>
  <c r="C23" i="34"/>
  <c r="B23" i="34"/>
  <c r="L22" i="34"/>
  <c r="K22" i="34"/>
  <c r="J22" i="34"/>
  <c r="I22" i="34"/>
  <c r="H22" i="34"/>
  <c r="G22" i="34"/>
  <c r="F22" i="34"/>
  <c r="E22" i="34"/>
  <c r="D22" i="34"/>
  <c r="C22" i="34"/>
  <c r="B22" i="34"/>
  <c r="L21" i="34"/>
  <c r="K21" i="34"/>
  <c r="J21" i="34"/>
  <c r="I21" i="34"/>
  <c r="H21" i="34"/>
  <c r="G21" i="34"/>
  <c r="F21" i="34"/>
  <c r="E21" i="34"/>
  <c r="D21" i="34"/>
  <c r="C21" i="34"/>
  <c r="B21" i="34"/>
  <c r="L20" i="34"/>
  <c r="K20" i="34"/>
  <c r="BK52" i="34" s="1"/>
  <c r="W72" i="34" s="1"/>
  <c r="C72" i="34" s="1"/>
  <c r="J20" i="34"/>
  <c r="BG52" i="34" s="1"/>
  <c r="W71" i="34" s="1"/>
  <c r="C71" i="34" s="1"/>
  <c r="I20" i="34"/>
  <c r="BC52" i="34" s="1"/>
  <c r="W70" i="34" s="1"/>
  <c r="C70" i="34" s="1"/>
  <c r="H20" i="34"/>
  <c r="AY52" i="34" s="1"/>
  <c r="W69" i="34" s="1"/>
  <c r="C69" i="34" s="1"/>
  <c r="G20" i="34"/>
  <c r="F20" i="34"/>
  <c r="AQ52" i="34" s="1"/>
  <c r="W67" i="34" s="1"/>
  <c r="C67" i="34" s="1"/>
  <c r="E20" i="34"/>
  <c r="D20" i="34"/>
  <c r="W53" i="34" s="1"/>
  <c r="C20" i="34"/>
  <c r="B20" i="34"/>
  <c r="AC53" i="34" s="1"/>
  <c r="K19" i="34"/>
  <c r="J19" i="34"/>
  <c r="I19" i="34"/>
  <c r="H19" i="34"/>
  <c r="G19" i="34"/>
  <c r="F19" i="34"/>
  <c r="E19" i="34"/>
  <c r="D19" i="34"/>
  <c r="C19" i="34"/>
  <c r="B19" i="34"/>
  <c r="D77" i="33"/>
  <c r="C77" i="33"/>
  <c r="B77" i="33"/>
  <c r="C76" i="33"/>
  <c r="B76" i="33"/>
  <c r="D75" i="33"/>
  <c r="C75" i="33"/>
  <c r="B75" i="33"/>
  <c r="D74" i="33"/>
  <c r="C74" i="33"/>
  <c r="B74" i="33"/>
  <c r="C73" i="33"/>
  <c r="B73" i="33"/>
  <c r="R72" i="33"/>
  <c r="X71" i="33"/>
  <c r="V71" i="33"/>
  <c r="R71" i="33"/>
  <c r="R70" i="33"/>
  <c r="X69" i="33"/>
  <c r="V69" i="33"/>
  <c r="R69" i="33"/>
  <c r="R68" i="33"/>
  <c r="R67" i="33"/>
  <c r="R66" i="33"/>
  <c r="X65" i="33"/>
  <c r="V65" i="33"/>
  <c r="R65" i="33"/>
  <c r="R64" i="33"/>
  <c r="X63" i="33"/>
  <c r="V63" i="33"/>
  <c r="R63" i="33"/>
  <c r="X62" i="33"/>
  <c r="W62" i="33"/>
  <c r="C62" i="33" s="1"/>
  <c r="V62" i="33"/>
  <c r="D62" i="33"/>
  <c r="B62" i="33"/>
  <c r="U60" i="33"/>
  <c r="BL52" i="33"/>
  <c r="X72" i="33" s="1"/>
  <c r="BJ52" i="33"/>
  <c r="V72" i="33" s="1"/>
  <c r="BI52" i="33"/>
  <c r="U72" i="33" s="1"/>
  <c r="BH52" i="33"/>
  <c r="BF52" i="33"/>
  <c r="BE52" i="33"/>
  <c r="U71" i="33" s="1"/>
  <c r="BD52" i="33"/>
  <c r="X70" i="33" s="1"/>
  <c r="BB52" i="33"/>
  <c r="V70" i="33" s="1"/>
  <c r="BA52" i="33"/>
  <c r="U70" i="33" s="1"/>
  <c r="AZ52" i="33"/>
  <c r="AX52" i="33"/>
  <c r="AW52" i="33"/>
  <c r="U69" i="33" s="1"/>
  <c r="AV52" i="33"/>
  <c r="X68" i="33" s="1"/>
  <c r="AT52" i="33"/>
  <c r="V68" i="33" s="1"/>
  <c r="AS52" i="33"/>
  <c r="U68" i="33" s="1"/>
  <c r="AR52" i="33"/>
  <c r="X67" i="33" s="1"/>
  <c r="AP52" i="33"/>
  <c r="V67" i="33" s="1"/>
  <c r="AO52" i="33"/>
  <c r="U67" i="33" s="1"/>
  <c r="AN52" i="33"/>
  <c r="X66" i="33" s="1"/>
  <c r="AL52" i="33"/>
  <c r="V66" i="33" s="1"/>
  <c r="AK52" i="33"/>
  <c r="U66" i="33" s="1"/>
  <c r="AJ52" i="33"/>
  <c r="AH52" i="33"/>
  <c r="AG52" i="33"/>
  <c r="AF52" i="33"/>
  <c r="AE52" i="33"/>
  <c r="U65" i="33" s="1"/>
  <c r="AD52" i="33"/>
  <c r="X64" i="33" s="1"/>
  <c r="AB52" i="33"/>
  <c r="V64" i="33" s="1"/>
  <c r="AA52" i="33"/>
  <c r="Z52" i="33"/>
  <c r="Y52" i="33"/>
  <c r="U64" i="33" s="1"/>
  <c r="X52" i="33"/>
  <c r="V52" i="33"/>
  <c r="U52" i="33"/>
  <c r="T52" i="33"/>
  <c r="S52" i="33"/>
  <c r="U63" i="33" s="1"/>
  <c r="L51" i="33"/>
  <c r="K51" i="33"/>
  <c r="J51" i="33"/>
  <c r="I51" i="33"/>
  <c r="H51" i="33"/>
  <c r="G51" i="33"/>
  <c r="F51" i="33"/>
  <c r="E51" i="33"/>
  <c r="D51" i="33"/>
  <c r="C51" i="33"/>
  <c r="B51" i="33"/>
  <c r="L50" i="33"/>
  <c r="K50" i="33"/>
  <c r="J50" i="33"/>
  <c r="I50" i="33"/>
  <c r="H50" i="33"/>
  <c r="G50" i="33"/>
  <c r="F50" i="33"/>
  <c r="E50" i="33"/>
  <c r="D50" i="33"/>
  <c r="C50" i="33"/>
  <c r="B50" i="33"/>
  <c r="L49" i="33"/>
  <c r="K49" i="33"/>
  <c r="J49" i="33"/>
  <c r="I49" i="33"/>
  <c r="H49" i="33"/>
  <c r="G49" i="33"/>
  <c r="F49" i="33"/>
  <c r="E49" i="33"/>
  <c r="D49" i="33"/>
  <c r="C49" i="33"/>
  <c r="B49" i="33"/>
  <c r="L48" i="33"/>
  <c r="K48" i="33"/>
  <c r="J48" i="33"/>
  <c r="I48" i="33"/>
  <c r="H48" i="33"/>
  <c r="G48" i="33"/>
  <c r="F48" i="33"/>
  <c r="E48" i="33"/>
  <c r="D48" i="33"/>
  <c r="C48" i="33"/>
  <c r="B48" i="33"/>
  <c r="L47" i="33"/>
  <c r="K47" i="33"/>
  <c r="J47" i="33"/>
  <c r="I47" i="33"/>
  <c r="H47" i="33"/>
  <c r="G47" i="33"/>
  <c r="F47" i="33"/>
  <c r="E47" i="33"/>
  <c r="D47" i="33"/>
  <c r="C47" i="33"/>
  <c r="B47" i="33"/>
  <c r="L46" i="33"/>
  <c r="K46" i="33"/>
  <c r="J46" i="33"/>
  <c r="I46" i="33"/>
  <c r="H46" i="33"/>
  <c r="G46" i="33"/>
  <c r="F46" i="33"/>
  <c r="E46" i="33"/>
  <c r="D46" i="33"/>
  <c r="C46" i="33"/>
  <c r="B46" i="33"/>
  <c r="L45" i="33"/>
  <c r="K45" i="33"/>
  <c r="J45" i="33"/>
  <c r="I45" i="33"/>
  <c r="H45" i="33"/>
  <c r="G45" i="33"/>
  <c r="F45" i="33"/>
  <c r="E45" i="33"/>
  <c r="D45" i="33"/>
  <c r="C45" i="33"/>
  <c r="B45" i="33"/>
  <c r="L44" i="33"/>
  <c r="K44" i="33"/>
  <c r="J44" i="33"/>
  <c r="I44" i="33"/>
  <c r="H44" i="33"/>
  <c r="G44" i="33"/>
  <c r="F44" i="33"/>
  <c r="E44" i="33"/>
  <c r="D44" i="33"/>
  <c r="C44" i="33"/>
  <c r="B44" i="33"/>
  <c r="L43" i="33"/>
  <c r="K43" i="33"/>
  <c r="J43" i="33"/>
  <c r="I43" i="33"/>
  <c r="H43" i="33"/>
  <c r="G43" i="33"/>
  <c r="F43" i="33"/>
  <c r="E43" i="33"/>
  <c r="D43" i="33"/>
  <c r="C43" i="33"/>
  <c r="B43" i="33"/>
  <c r="L42" i="33"/>
  <c r="K42" i="33"/>
  <c r="J42" i="33"/>
  <c r="I42" i="33"/>
  <c r="H42" i="33"/>
  <c r="G42" i="33"/>
  <c r="F42" i="33"/>
  <c r="E42" i="33"/>
  <c r="D42" i="33"/>
  <c r="C42" i="33"/>
  <c r="B42" i="33"/>
  <c r="L41" i="33"/>
  <c r="K41" i="33"/>
  <c r="J41" i="33"/>
  <c r="I41" i="33"/>
  <c r="H41" i="33"/>
  <c r="G41" i="33"/>
  <c r="F41" i="33"/>
  <c r="E41" i="33"/>
  <c r="D41" i="33"/>
  <c r="C41" i="33"/>
  <c r="B41" i="33"/>
  <c r="L40" i="33"/>
  <c r="K40" i="33"/>
  <c r="J40" i="33"/>
  <c r="I40" i="33"/>
  <c r="H40" i="33"/>
  <c r="G40" i="33"/>
  <c r="F40" i="33"/>
  <c r="E40" i="33"/>
  <c r="D40" i="33"/>
  <c r="C40" i="33"/>
  <c r="B40" i="33"/>
  <c r="L39" i="33"/>
  <c r="K39" i="33"/>
  <c r="J39" i="33"/>
  <c r="I39" i="33"/>
  <c r="H39" i="33"/>
  <c r="G39" i="33"/>
  <c r="F39" i="33"/>
  <c r="E39" i="33"/>
  <c r="D39" i="33"/>
  <c r="C39" i="33"/>
  <c r="B39" i="33"/>
  <c r="L38" i="33"/>
  <c r="K38" i="33"/>
  <c r="J38" i="33"/>
  <c r="I38" i="33"/>
  <c r="H38" i="33"/>
  <c r="G38" i="33"/>
  <c r="F38" i="33"/>
  <c r="E38" i="33"/>
  <c r="D38" i="33"/>
  <c r="C38" i="33"/>
  <c r="B38" i="33"/>
  <c r="L37" i="33"/>
  <c r="K37" i="33"/>
  <c r="J37" i="33"/>
  <c r="I37" i="33"/>
  <c r="H37" i="33"/>
  <c r="G37" i="33"/>
  <c r="F37" i="33"/>
  <c r="E37" i="33"/>
  <c r="D37" i="33"/>
  <c r="C37" i="33"/>
  <c r="B37" i="33"/>
  <c r="L36" i="33"/>
  <c r="K36" i="33"/>
  <c r="J36" i="33"/>
  <c r="I36" i="33"/>
  <c r="H36" i="33"/>
  <c r="G36" i="33"/>
  <c r="F36" i="33"/>
  <c r="E36" i="33"/>
  <c r="D36" i="33"/>
  <c r="C36" i="33"/>
  <c r="B36" i="33"/>
  <c r="L35" i="33"/>
  <c r="K35" i="33"/>
  <c r="J35" i="33"/>
  <c r="I35" i="33"/>
  <c r="H35" i="33"/>
  <c r="G35" i="33"/>
  <c r="F35" i="33"/>
  <c r="E35" i="33"/>
  <c r="D35" i="33"/>
  <c r="C35" i="33"/>
  <c r="B35" i="33"/>
  <c r="L34" i="33"/>
  <c r="K34" i="33"/>
  <c r="J34" i="33"/>
  <c r="I34" i="33"/>
  <c r="H34" i="33"/>
  <c r="G34" i="33"/>
  <c r="F34" i="33"/>
  <c r="E34" i="33"/>
  <c r="D34" i="33"/>
  <c r="C34" i="33"/>
  <c r="B34" i="33"/>
  <c r="L33" i="33"/>
  <c r="K33" i="33"/>
  <c r="J33" i="33"/>
  <c r="I33" i="33"/>
  <c r="H33" i="33"/>
  <c r="G33" i="33"/>
  <c r="F33" i="33"/>
  <c r="E33" i="33"/>
  <c r="D33" i="33"/>
  <c r="C33" i="33"/>
  <c r="B33" i="33"/>
  <c r="L32" i="33"/>
  <c r="K32" i="33"/>
  <c r="J32" i="33"/>
  <c r="I32" i="33"/>
  <c r="H32" i="33"/>
  <c r="G32" i="33"/>
  <c r="F32" i="33"/>
  <c r="E32" i="33"/>
  <c r="D32" i="33"/>
  <c r="C32" i="33"/>
  <c r="B32" i="33"/>
  <c r="L31" i="33"/>
  <c r="K31" i="33"/>
  <c r="J31" i="33"/>
  <c r="I31" i="33"/>
  <c r="H31" i="33"/>
  <c r="G31" i="33"/>
  <c r="F31" i="33"/>
  <c r="E31" i="33"/>
  <c r="D31" i="33"/>
  <c r="C31" i="33"/>
  <c r="B31" i="33"/>
  <c r="L30" i="33"/>
  <c r="K30" i="33"/>
  <c r="J30" i="33"/>
  <c r="I30" i="33"/>
  <c r="H30" i="33"/>
  <c r="G30" i="33"/>
  <c r="F30" i="33"/>
  <c r="E30" i="33"/>
  <c r="D30" i="33"/>
  <c r="C30" i="33"/>
  <c r="B30" i="33"/>
  <c r="L29" i="33"/>
  <c r="K29" i="33"/>
  <c r="J29" i="33"/>
  <c r="I29" i="33"/>
  <c r="H29" i="33"/>
  <c r="G29" i="33"/>
  <c r="F29" i="33"/>
  <c r="E29" i="33"/>
  <c r="D29" i="33"/>
  <c r="C29" i="33"/>
  <c r="B29" i="33"/>
  <c r="L28" i="33"/>
  <c r="K28" i="33"/>
  <c r="J28" i="33"/>
  <c r="I28" i="33"/>
  <c r="H28" i="33"/>
  <c r="G28" i="33"/>
  <c r="F28" i="33"/>
  <c r="E28" i="33"/>
  <c r="D28" i="33"/>
  <c r="C28" i="33"/>
  <c r="B28" i="33"/>
  <c r="L27" i="33"/>
  <c r="K27" i="33"/>
  <c r="J27" i="33"/>
  <c r="I27" i="33"/>
  <c r="H27" i="33"/>
  <c r="G27" i="33"/>
  <c r="F27" i="33"/>
  <c r="E27" i="33"/>
  <c r="D27" i="33"/>
  <c r="C27" i="33"/>
  <c r="B27" i="33"/>
  <c r="L26" i="33"/>
  <c r="K26" i="33"/>
  <c r="J26" i="33"/>
  <c r="I26" i="33"/>
  <c r="H26" i="33"/>
  <c r="G26" i="33"/>
  <c r="F26" i="33"/>
  <c r="E26" i="33"/>
  <c r="D26" i="33"/>
  <c r="C26" i="33"/>
  <c r="B26" i="33"/>
  <c r="L25" i="33"/>
  <c r="K25" i="33"/>
  <c r="J25" i="33"/>
  <c r="I25" i="33"/>
  <c r="H25" i="33"/>
  <c r="G25" i="33"/>
  <c r="F25" i="33"/>
  <c r="E25" i="33"/>
  <c r="D25" i="33"/>
  <c r="C25" i="33"/>
  <c r="B25" i="33"/>
  <c r="L24" i="33"/>
  <c r="K24" i="33"/>
  <c r="J24" i="33"/>
  <c r="I24" i="33"/>
  <c r="H24" i="33"/>
  <c r="G24" i="33"/>
  <c r="F24" i="33"/>
  <c r="E24" i="33"/>
  <c r="D24" i="33"/>
  <c r="C24" i="33"/>
  <c r="B24" i="33"/>
  <c r="L23" i="33"/>
  <c r="K23" i="33"/>
  <c r="J23" i="33"/>
  <c r="I23" i="33"/>
  <c r="H23" i="33"/>
  <c r="G23" i="33"/>
  <c r="F23" i="33"/>
  <c r="E23" i="33"/>
  <c r="D23" i="33"/>
  <c r="C23" i="33"/>
  <c r="B23" i="33"/>
  <c r="L22" i="33"/>
  <c r="K22" i="33"/>
  <c r="J22" i="33"/>
  <c r="I22" i="33"/>
  <c r="H22" i="33"/>
  <c r="G22" i="33"/>
  <c r="F22" i="33"/>
  <c r="E22" i="33"/>
  <c r="D22" i="33"/>
  <c r="C22" i="33"/>
  <c r="B22" i="33"/>
  <c r="L21" i="33"/>
  <c r="K21" i="33"/>
  <c r="J21" i="33"/>
  <c r="I21" i="33"/>
  <c r="BC52" i="33" s="1"/>
  <c r="W70" i="33" s="1"/>
  <c r="C70" i="33" s="1"/>
  <c r="H21" i="33"/>
  <c r="G21" i="33"/>
  <c r="F21" i="33"/>
  <c r="E21" i="33"/>
  <c r="D21" i="33"/>
  <c r="C21" i="33"/>
  <c r="AI53" i="33" s="1"/>
  <c r="B21" i="33"/>
  <c r="L20" i="33"/>
  <c r="K20" i="33"/>
  <c r="J20" i="33"/>
  <c r="BG52" i="33" s="1"/>
  <c r="W71" i="33" s="1"/>
  <c r="C71" i="33" s="1"/>
  <c r="I20" i="33"/>
  <c r="H20" i="33"/>
  <c r="AY52" i="33" s="1"/>
  <c r="W69" i="33" s="1"/>
  <c r="C69" i="33" s="1"/>
  <c r="G20" i="33"/>
  <c r="F20" i="33"/>
  <c r="E20" i="33"/>
  <c r="D20" i="33"/>
  <c r="W53" i="33" s="1"/>
  <c r="C20" i="33"/>
  <c r="B20" i="33"/>
  <c r="AC53" i="33" s="1"/>
  <c r="K19" i="33"/>
  <c r="J19" i="33"/>
  <c r="I19" i="33"/>
  <c r="H19" i="33"/>
  <c r="G19" i="33"/>
  <c r="F19" i="33"/>
  <c r="E19" i="33"/>
  <c r="D19" i="33"/>
  <c r="C19" i="33"/>
  <c r="B19" i="33"/>
  <c r="D77" i="32"/>
  <c r="C77" i="32"/>
  <c r="B77" i="32"/>
  <c r="C76" i="32"/>
  <c r="B76" i="32"/>
  <c r="D75" i="32"/>
  <c r="C75" i="32"/>
  <c r="B75" i="32"/>
  <c r="D74" i="32"/>
  <c r="C74" i="32"/>
  <c r="B74" i="32"/>
  <c r="C73" i="32"/>
  <c r="B73" i="32"/>
  <c r="R72" i="32"/>
  <c r="R71" i="32"/>
  <c r="R70" i="32"/>
  <c r="R69" i="32"/>
  <c r="R68" i="32"/>
  <c r="R67" i="32"/>
  <c r="R66" i="32"/>
  <c r="R65" i="32"/>
  <c r="R64" i="32"/>
  <c r="R63" i="32"/>
  <c r="X62" i="32"/>
  <c r="D62" i="32" s="1"/>
  <c r="W62" i="32"/>
  <c r="V62" i="32"/>
  <c r="B62" i="32" s="1"/>
  <c r="C62" i="32"/>
  <c r="U60" i="32"/>
  <c r="BL52" i="32"/>
  <c r="X72" i="32" s="1"/>
  <c r="BJ52" i="32"/>
  <c r="V72" i="32" s="1"/>
  <c r="BI52" i="32"/>
  <c r="U72" i="32" s="1"/>
  <c r="BH52" i="32"/>
  <c r="X71" i="32" s="1"/>
  <c r="BF52" i="32"/>
  <c r="V71" i="32" s="1"/>
  <c r="BE52" i="32"/>
  <c r="U71" i="32" s="1"/>
  <c r="BD52" i="32"/>
  <c r="X70" i="32" s="1"/>
  <c r="BB52" i="32"/>
  <c r="V70" i="32" s="1"/>
  <c r="BA52" i="32"/>
  <c r="U70" i="32" s="1"/>
  <c r="AZ52" i="32"/>
  <c r="X69" i="32" s="1"/>
  <c r="AX52" i="32"/>
  <c r="V69" i="32" s="1"/>
  <c r="AW52" i="32"/>
  <c r="U69" i="32" s="1"/>
  <c r="AV52" i="32"/>
  <c r="X68" i="32" s="1"/>
  <c r="AT52" i="32"/>
  <c r="V68" i="32" s="1"/>
  <c r="AS52" i="32"/>
  <c r="U68" i="32" s="1"/>
  <c r="AR52" i="32"/>
  <c r="X67" i="32" s="1"/>
  <c r="AP52" i="32"/>
  <c r="V67" i="32" s="1"/>
  <c r="AO52" i="32"/>
  <c r="U67" i="32" s="1"/>
  <c r="AN52" i="32"/>
  <c r="X66" i="32" s="1"/>
  <c r="AL52" i="32"/>
  <c r="V66" i="32" s="1"/>
  <c r="AK52" i="32"/>
  <c r="U66" i="32" s="1"/>
  <c r="AJ52" i="32"/>
  <c r="X65" i="32" s="1"/>
  <c r="AH52" i="32"/>
  <c r="V65" i="32" s="1"/>
  <c r="AG52" i="32"/>
  <c r="AF52" i="32"/>
  <c r="AE52" i="32"/>
  <c r="AD52" i="32"/>
  <c r="X64" i="32" s="1"/>
  <c r="AB52" i="32"/>
  <c r="V64" i="32" s="1"/>
  <c r="AA52" i="32"/>
  <c r="Z52" i="32"/>
  <c r="Y52" i="32"/>
  <c r="U64" i="32" s="1"/>
  <c r="X52" i="32"/>
  <c r="X63" i="32" s="1"/>
  <c r="V52" i="32"/>
  <c r="V63" i="32" s="1"/>
  <c r="U52" i="32"/>
  <c r="T52" i="32"/>
  <c r="S52" i="32"/>
  <c r="U63" i="32" s="1"/>
  <c r="L51" i="32"/>
  <c r="K51" i="32"/>
  <c r="J51" i="32"/>
  <c r="I51" i="32"/>
  <c r="H51" i="32"/>
  <c r="G51" i="32"/>
  <c r="F51" i="32"/>
  <c r="E51" i="32"/>
  <c r="D51" i="32"/>
  <c r="C51" i="32"/>
  <c r="B51" i="32"/>
  <c r="L50" i="32"/>
  <c r="K50" i="32"/>
  <c r="J50" i="32"/>
  <c r="I50" i="32"/>
  <c r="H50" i="32"/>
  <c r="G50" i="32"/>
  <c r="F50" i="32"/>
  <c r="E50" i="32"/>
  <c r="D50" i="32"/>
  <c r="C50" i="32"/>
  <c r="B50" i="32"/>
  <c r="L49" i="32"/>
  <c r="K49" i="32"/>
  <c r="J49" i="32"/>
  <c r="I49" i="32"/>
  <c r="H49" i="32"/>
  <c r="G49" i="32"/>
  <c r="F49" i="32"/>
  <c r="E49" i="32"/>
  <c r="D49" i="32"/>
  <c r="C49" i="32"/>
  <c r="B49" i="32"/>
  <c r="L48" i="32"/>
  <c r="K48" i="32"/>
  <c r="J48" i="32"/>
  <c r="I48" i="32"/>
  <c r="H48" i="32"/>
  <c r="G48" i="32"/>
  <c r="F48" i="32"/>
  <c r="E48" i="32"/>
  <c r="D48" i="32"/>
  <c r="C48" i="32"/>
  <c r="B48" i="32"/>
  <c r="L47" i="32"/>
  <c r="K47" i="32"/>
  <c r="J47" i="32"/>
  <c r="I47" i="32"/>
  <c r="H47" i="32"/>
  <c r="G47" i="32"/>
  <c r="F47" i="32"/>
  <c r="E47" i="32"/>
  <c r="D47" i="32"/>
  <c r="C47" i="32"/>
  <c r="B47" i="32"/>
  <c r="L46" i="32"/>
  <c r="K46" i="32"/>
  <c r="J46" i="32"/>
  <c r="I46" i="32"/>
  <c r="H46" i="32"/>
  <c r="G46" i="32"/>
  <c r="F46" i="32"/>
  <c r="E46" i="32"/>
  <c r="D46" i="32"/>
  <c r="C46" i="32"/>
  <c r="B46" i="32"/>
  <c r="L45" i="32"/>
  <c r="K45" i="32"/>
  <c r="J45" i="32"/>
  <c r="I45" i="32"/>
  <c r="H45" i="32"/>
  <c r="G45" i="32"/>
  <c r="F45" i="32"/>
  <c r="E45" i="32"/>
  <c r="D45" i="32"/>
  <c r="C45" i="32"/>
  <c r="B45" i="32"/>
  <c r="L44" i="32"/>
  <c r="K44" i="32"/>
  <c r="J44" i="32"/>
  <c r="I44" i="32"/>
  <c r="H44" i="32"/>
  <c r="G44" i="32"/>
  <c r="F44" i="32"/>
  <c r="E44" i="32"/>
  <c r="D44" i="32"/>
  <c r="C44" i="32"/>
  <c r="B44" i="32"/>
  <c r="L43" i="32"/>
  <c r="K43" i="32"/>
  <c r="J43" i="32"/>
  <c r="I43" i="32"/>
  <c r="H43" i="32"/>
  <c r="G43" i="32"/>
  <c r="F43" i="32"/>
  <c r="E43" i="32"/>
  <c r="D43" i="32"/>
  <c r="C43" i="32"/>
  <c r="B43" i="32"/>
  <c r="L42" i="32"/>
  <c r="K42" i="32"/>
  <c r="J42" i="32"/>
  <c r="I42" i="32"/>
  <c r="H42" i="32"/>
  <c r="G42" i="32"/>
  <c r="F42" i="32"/>
  <c r="E42" i="32"/>
  <c r="D42" i="32"/>
  <c r="C42" i="32"/>
  <c r="B42" i="32"/>
  <c r="L41" i="32"/>
  <c r="K41" i="32"/>
  <c r="J41" i="32"/>
  <c r="I41" i="32"/>
  <c r="H41" i="32"/>
  <c r="G41" i="32"/>
  <c r="F41" i="32"/>
  <c r="E41" i="32"/>
  <c r="D41" i="32"/>
  <c r="C41" i="32"/>
  <c r="B41" i="32"/>
  <c r="L40" i="32"/>
  <c r="K40" i="32"/>
  <c r="J40" i="32"/>
  <c r="I40" i="32"/>
  <c r="H40" i="32"/>
  <c r="G40" i="32"/>
  <c r="F40" i="32"/>
  <c r="E40" i="32"/>
  <c r="D40" i="32"/>
  <c r="C40" i="32"/>
  <c r="B40" i="32"/>
  <c r="L39" i="32"/>
  <c r="K39" i="32"/>
  <c r="J39" i="32"/>
  <c r="I39" i="32"/>
  <c r="H39" i="32"/>
  <c r="G39" i="32"/>
  <c r="F39" i="32"/>
  <c r="E39" i="32"/>
  <c r="D39" i="32"/>
  <c r="C39" i="32"/>
  <c r="B39" i="32"/>
  <c r="L38" i="32"/>
  <c r="K38" i="32"/>
  <c r="J38" i="32"/>
  <c r="I38" i="32"/>
  <c r="H38" i="32"/>
  <c r="G38" i="32"/>
  <c r="F38" i="32"/>
  <c r="E38" i="32"/>
  <c r="D38" i="32"/>
  <c r="C38" i="32"/>
  <c r="B38" i="32"/>
  <c r="L37" i="32"/>
  <c r="K37" i="32"/>
  <c r="J37" i="32"/>
  <c r="I37" i="32"/>
  <c r="H37" i="32"/>
  <c r="G37" i="32"/>
  <c r="F37" i="32"/>
  <c r="E37" i="32"/>
  <c r="D37" i="32"/>
  <c r="C37" i="32"/>
  <c r="B37" i="32"/>
  <c r="L36" i="32"/>
  <c r="K36" i="32"/>
  <c r="J36" i="32"/>
  <c r="I36" i="32"/>
  <c r="H36" i="32"/>
  <c r="G36" i="32"/>
  <c r="F36" i="32"/>
  <c r="E36" i="32"/>
  <c r="D36" i="32"/>
  <c r="C36" i="32"/>
  <c r="B36" i="32"/>
  <c r="L35" i="32"/>
  <c r="K35" i="32"/>
  <c r="J35" i="32"/>
  <c r="I35" i="32"/>
  <c r="H35" i="32"/>
  <c r="G35" i="32"/>
  <c r="F35" i="32"/>
  <c r="E35" i="32"/>
  <c r="D35" i="32"/>
  <c r="C35" i="32"/>
  <c r="B35" i="32"/>
  <c r="L34" i="32"/>
  <c r="K34" i="32"/>
  <c r="J34" i="32"/>
  <c r="I34" i="32"/>
  <c r="H34" i="32"/>
  <c r="G34" i="32"/>
  <c r="F34" i="32"/>
  <c r="E34" i="32"/>
  <c r="D34" i="32"/>
  <c r="C34" i="32"/>
  <c r="B34" i="32"/>
  <c r="L33" i="32"/>
  <c r="K33" i="32"/>
  <c r="J33" i="32"/>
  <c r="I33" i="32"/>
  <c r="H33" i="32"/>
  <c r="G33" i="32"/>
  <c r="F33" i="32"/>
  <c r="E33" i="32"/>
  <c r="D33" i="32"/>
  <c r="C33" i="32"/>
  <c r="B33" i="32"/>
  <c r="L32" i="32"/>
  <c r="K32" i="32"/>
  <c r="J32" i="32"/>
  <c r="I32" i="32"/>
  <c r="H32" i="32"/>
  <c r="G32" i="32"/>
  <c r="F32" i="32"/>
  <c r="E32" i="32"/>
  <c r="D32" i="32"/>
  <c r="C32" i="32"/>
  <c r="B32" i="32"/>
  <c r="L31" i="32"/>
  <c r="K31" i="32"/>
  <c r="J31" i="32"/>
  <c r="I31" i="32"/>
  <c r="H31" i="32"/>
  <c r="G31" i="32"/>
  <c r="F31" i="32"/>
  <c r="E31" i="32"/>
  <c r="D31" i="32"/>
  <c r="C31" i="32"/>
  <c r="B31" i="32"/>
  <c r="L30" i="32"/>
  <c r="K30" i="32"/>
  <c r="J30" i="32"/>
  <c r="I30" i="32"/>
  <c r="H30" i="32"/>
  <c r="G30" i="32"/>
  <c r="F30" i="32"/>
  <c r="E30" i="32"/>
  <c r="D30" i="32"/>
  <c r="C30" i="32"/>
  <c r="B30" i="32"/>
  <c r="L29" i="32"/>
  <c r="K29" i="32"/>
  <c r="J29" i="32"/>
  <c r="I29" i="32"/>
  <c r="H29" i="32"/>
  <c r="G29" i="32"/>
  <c r="F29" i="32"/>
  <c r="E29" i="32"/>
  <c r="D29" i="32"/>
  <c r="C29" i="32"/>
  <c r="B29" i="32"/>
  <c r="L28" i="32"/>
  <c r="K28" i="32"/>
  <c r="J28" i="32"/>
  <c r="I28" i="32"/>
  <c r="H28" i="32"/>
  <c r="G28" i="32"/>
  <c r="F28" i="32"/>
  <c r="E28" i="32"/>
  <c r="D28" i="32"/>
  <c r="C28" i="32"/>
  <c r="B28" i="32"/>
  <c r="L27" i="32"/>
  <c r="K27" i="32"/>
  <c r="J27" i="32"/>
  <c r="I27" i="32"/>
  <c r="H27" i="32"/>
  <c r="G27" i="32"/>
  <c r="F27" i="32"/>
  <c r="E27" i="32"/>
  <c r="D27" i="32"/>
  <c r="C27" i="32"/>
  <c r="B27" i="32"/>
  <c r="L26" i="32"/>
  <c r="K26" i="32"/>
  <c r="J26" i="32"/>
  <c r="I26" i="32"/>
  <c r="H26" i="32"/>
  <c r="G26" i="32"/>
  <c r="F26" i="32"/>
  <c r="E26" i="32"/>
  <c r="D26" i="32"/>
  <c r="C26" i="32"/>
  <c r="B26" i="32"/>
  <c r="L25" i="32"/>
  <c r="K25" i="32"/>
  <c r="J25" i="32"/>
  <c r="I25" i="32"/>
  <c r="H25" i="32"/>
  <c r="G25" i="32"/>
  <c r="F25" i="32"/>
  <c r="E25" i="32"/>
  <c r="D25" i="32"/>
  <c r="C25" i="32"/>
  <c r="B25" i="32"/>
  <c r="L24" i="32"/>
  <c r="K24" i="32"/>
  <c r="J24" i="32"/>
  <c r="I24" i="32"/>
  <c r="H24" i="32"/>
  <c r="G24" i="32"/>
  <c r="F24" i="32"/>
  <c r="E24" i="32"/>
  <c r="D24" i="32"/>
  <c r="C24" i="32"/>
  <c r="B24" i="32"/>
  <c r="L23" i="32"/>
  <c r="K23" i="32"/>
  <c r="J23" i="32"/>
  <c r="I23" i="32"/>
  <c r="H23" i="32"/>
  <c r="G23" i="32"/>
  <c r="F23" i="32"/>
  <c r="E23" i="32"/>
  <c r="D23" i="32"/>
  <c r="C23" i="32"/>
  <c r="B23" i="32"/>
  <c r="L22" i="32"/>
  <c r="K22" i="32"/>
  <c r="J22" i="32"/>
  <c r="I22" i="32"/>
  <c r="H22" i="32"/>
  <c r="G22" i="32"/>
  <c r="F22" i="32"/>
  <c r="E22" i="32"/>
  <c r="D22" i="32"/>
  <c r="C22" i="32"/>
  <c r="B22" i="32"/>
  <c r="L21" i="32"/>
  <c r="K21" i="32"/>
  <c r="J21" i="32"/>
  <c r="I21" i="32"/>
  <c r="H21" i="32"/>
  <c r="G21" i="32"/>
  <c r="F21" i="32"/>
  <c r="E21" i="32"/>
  <c r="D21" i="32"/>
  <c r="C21" i="32"/>
  <c r="B21" i="32"/>
  <c r="L20" i="32"/>
  <c r="K20" i="32"/>
  <c r="BK52" i="32" s="1"/>
  <c r="W72" i="32" s="1"/>
  <c r="C72" i="32" s="1"/>
  <c r="J20" i="32"/>
  <c r="BG52" i="32" s="1"/>
  <c r="W71" i="32" s="1"/>
  <c r="C71" i="32" s="1"/>
  <c r="I20" i="32"/>
  <c r="BC52" i="32" s="1"/>
  <c r="W70" i="32" s="1"/>
  <c r="C70" i="32" s="1"/>
  <c r="H20" i="32"/>
  <c r="AY52" i="32" s="1"/>
  <c r="W69" i="32" s="1"/>
  <c r="C69" i="32" s="1"/>
  <c r="G20" i="32"/>
  <c r="F20" i="32"/>
  <c r="AQ52" i="32" s="1"/>
  <c r="W67" i="32" s="1"/>
  <c r="C67" i="32" s="1"/>
  <c r="E20" i="32"/>
  <c r="D20" i="32"/>
  <c r="W53" i="32" s="1"/>
  <c r="C20" i="32"/>
  <c r="B20" i="32"/>
  <c r="AC53" i="32" s="1"/>
  <c r="K19" i="32"/>
  <c r="J19" i="32"/>
  <c r="I19" i="32"/>
  <c r="H19" i="32"/>
  <c r="G19" i="32"/>
  <c r="F19" i="32"/>
  <c r="E19" i="32"/>
  <c r="D19" i="32"/>
  <c r="C19" i="32"/>
  <c r="B19" i="32"/>
  <c r="D77" i="31"/>
  <c r="C77" i="31"/>
  <c r="B77" i="31"/>
  <c r="C76" i="31"/>
  <c r="B76" i="31"/>
  <c r="D75" i="31"/>
  <c r="C75" i="31"/>
  <c r="B75" i="31"/>
  <c r="D74" i="31"/>
  <c r="C74" i="31"/>
  <c r="B74" i="31"/>
  <c r="C73" i="31"/>
  <c r="B73" i="31"/>
  <c r="R72" i="31"/>
  <c r="R71" i="31"/>
  <c r="R70" i="31"/>
  <c r="R69" i="31"/>
  <c r="R68" i="31"/>
  <c r="R67" i="31"/>
  <c r="R66" i="31"/>
  <c r="R65" i="31"/>
  <c r="R64" i="31"/>
  <c r="R63" i="31"/>
  <c r="X62" i="31"/>
  <c r="D62" i="31" s="1"/>
  <c r="W62" i="31"/>
  <c r="V62" i="31"/>
  <c r="B62" i="31" s="1"/>
  <c r="C62" i="31"/>
  <c r="U60" i="31"/>
  <c r="BL52" i="31"/>
  <c r="X72" i="31" s="1"/>
  <c r="BJ52" i="31"/>
  <c r="V72" i="31" s="1"/>
  <c r="BI52" i="31"/>
  <c r="U72" i="31" s="1"/>
  <c r="BH52" i="31"/>
  <c r="X71" i="31" s="1"/>
  <c r="BF52" i="31"/>
  <c r="V71" i="31" s="1"/>
  <c r="B71" i="31" s="1"/>
  <c r="BE52" i="31"/>
  <c r="U71" i="31" s="1"/>
  <c r="BD52" i="31"/>
  <c r="X70" i="31" s="1"/>
  <c r="BB52" i="31"/>
  <c r="V70" i="31" s="1"/>
  <c r="BA52" i="31"/>
  <c r="U70" i="31" s="1"/>
  <c r="AZ52" i="31"/>
  <c r="X69" i="31" s="1"/>
  <c r="AX52" i="31"/>
  <c r="V69" i="31" s="1"/>
  <c r="AW52" i="31"/>
  <c r="U69" i="31" s="1"/>
  <c r="AV52" i="31"/>
  <c r="X68" i="31" s="1"/>
  <c r="AT52" i="31"/>
  <c r="V68" i="31" s="1"/>
  <c r="AS52" i="31"/>
  <c r="U68" i="31" s="1"/>
  <c r="AR52" i="31"/>
  <c r="X67" i="31" s="1"/>
  <c r="AP52" i="31"/>
  <c r="V67" i="31" s="1"/>
  <c r="AO52" i="31"/>
  <c r="U67" i="31" s="1"/>
  <c r="AN52" i="31"/>
  <c r="X66" i="31" s="1"/>
  <c r="AL52" i="31"/>
  <c r="V66" i="31" s="1"/>
  <c r="AK52" i="31"/>
  <c r="U66" i="31" s="1"/>
  <c r="AJ52" i="31"/>
  <c r="X65" i="31" s="1"/>
  <c r="AH52" i="31"/>
  <c r="V65" i="31" s="1"/>
  <c r="AG52" i="31"/>
  <c r="AF52" i="31"/>
  <c r="AE52" i="31"/>
  <c r="AD52" i="31"/>
  <c r="X64" i="31" s="1"/>
  <c r="AB52" i="31"/>
  <c r="V64" i="31" s="1"/>
  <c r="AA52" i="31"/>
  <c r="Z52" i="31"/>
  <c r="Y52" i="31"/>
  <c r="U64" i="31" s="1"/>
  <c r="X52" i="31"/>
  <c r="X63" i="31" s="1"/>
  <c r="V52" i="31"/>
  <c r="V63" i="31" s="1"/>
  <c r="B63" i="31" s="1"/>
  <c r="U52" i="31"/>
  <c r="T52" i="31"/>
  <c r="S52" i="31"/>
  <c r="U63" i="31" s="1"/>
  <c r="L51" i="31"/>
  <c r="K51" i="31"/>
  <c r="J51" i="31"/>
  <c r="I51" i="31"/>
  <c r="H51" i="31"/>
  <c r="G51" i="31"/>
  <c r="F51" i="31"/>
  <c r="E51" i="31"/>
  <c r="D51" i="31"/>
  <c r="C51" i="31"/>
  <c r="B51" i="31"/>
  <c r="L50" i="31"/>
  <c r="K50" i="31"/>
  <c r="J50" i="31"/>
  <c r="I50" i="31"/>
  <c r="H50" i="31"/>
  <c r="G50" i="31"/>
  <c r="F50" i="31"/>
  <c r="E50" i="31"/>
  <c r="D50" i="31"/>
  <c r="C50" i="31"/>
  <c r="B50" i="31"/>
  <c r="L49" i="31"/>
  <c r="K49" i="31"/>
  <c r="J49" i="31"/>
  <c r="I49" i="31"/>
  <c r="H49" i="31"/>
  <c r="G49" i="31"/>
  <c r="F49" i="31"/>
  <c r="E49" i="31"/>
  <c r="D49" i="31"/>
  <c r="C49" i="31"/>
  <c r="B49" i="31"/>
  <c r="L48" i="31"/>
  <c r="K48" i="31"/>
  <c r="J48" i="31"/>
  <c r="I48" i="31"/>
  <c r="H48" i="31"/>
  <c r="G48" i="31"/>
  <c r="F48" i="31"/>
  <c r="E48" i="31"/>
  <c r="D48" i="31"/>
  <c r="C48" i="31"/>
  <c r="B48" i="31"/>
  <c r="L47" i="31"/>
  <c r="K47" i="31"/>
  <c r="J47" i="31"/>
  <c r="I47" i="31"/>
  <c r="H47" i="31"/>
  <c r="G47" i="31"/>
  <c r="F47" i="31"/>
  <c r="E47" i="31"/>
  <c r="D47" i="31"/>
  <c r="C47" i="31"/>
  <c r="B47" i="31"/>
  <c r="L46" i="31"/>
  <c r="K46" i="31"/>
  <c r="J46" i="31"/>
  <c r="I46" i="31"/>
  <c r="H46" i="31"/>
  <c r="G46" i="31"/>
  <c r="F46" i="31"/>
  <c r="E46" i="31"/>
  <c r="D46" i="31"/>
  <c r="C46" i="31"/>
  <c r="B46" i="31"/>
  <c r="L45" i="31"/>
  <c r="K45" i="31"/>
  <c r="J45" i="31"/>
  <c r="I45" i="31"/>
  <c r="H45" i="31"/>
  <c r="G45" i="31"/>
  <c r="F45" i="31"/>
  <c r="E45" i="31"/>
  <c r="D45" i="31"/>
  <c r="C45" i="31"/>
  <c r="B45" i="31"/>
  <c r="L44" i="31"/>
  <c r="K44" i="31"/>
  <c r="J44" i="31"/>
  <c r="I44" i="31"/>
  <c r="H44" i="31"/>
  <c r="G44" i="31"/>
  <c r="F44" i="31"/>
  <c r="E44" i="31"/>
  <c r="D44" i="31"/>
  <c r="C44" i="31"/>
  <c r="B44" i="31"/>
  <c r="L43" i="31"/>
  <c r="K43" i="31"/>
  <c r="J43" i="31"/>
  <c r="I43" i="31"/>
  <c r="H43" i="31"/>
  <c r="G43" i="31"/>
  <c r="F43" i="31"/>
  <c r="E43" i="31"/>
  <c r="D43" i="31"/>
  <c r="C43" i="31"/>
  <c r="B43" i="31"/>
  <c r="L42" i="31"/>
  <c r="K42" i="31"/>
  <c r="J42" i="31"/>
  <c r="I42" i="31"/>
  <c r="H42" i="31"/>
  <c r="G42" i="31"/>
  <c r="F42" i="31"/>
  <c r="E42" i="31"/>
  <c r="D42" i="31"/>
  <c r="C42" i="31"/>
  <c r="B42" i="31"/>
  <c r="L41" i="31"/>
  <c r="K41" i="31"/>
  <c r="J41" i="31"/>
  <c r="I41" i="31"/>
  <c r="H41" i="31"/>
  <c r="G41" i="31"/>
  <c r="F41" i="31"/>
  <c r="E41" i="31"/>
  <c r="D41" i="31"/>
  <c r="C41" i="31"/>
  <c r="B41" i="31"/>
  <c r="L40" i="31"/>
  <c r="K40" i="31"/>
  <c r="J40" i="31"/>
  <c r="I40" i="31"/>
  <c r="H40" i="31"/>
  <c r="G40" i="31"/>
  <c r="F40" i="31"/>
  <c r="E40" i="31"/>
  <c r="D40" i="31"/>
  <c r="C40" i="31"/>
  <c r="B40" i="31"/>
  <c r="L39" i="31"/>
  <c r="K39" i="31"/>
  <c r="J39" i="31"/>
  <c r="I39" i="31"/>
  <c r="H39" i="31"/>
  <c r="G39" i="31"/>
  <c r="F39" i="31"/>
  <c r="E39" i="31"/>
  <c r="D39" i="31"/>
  <c r="C39" i="31"/>
  <c r="B39" i="31"/>
  <c r="L38" i="31"/>
  <c r="K38" i="31"/>
  <c r="J38" i="31"/>
  <c r="I38" i="31"/>
  <c r="H38" i="31"/>
  <c r="G38" i="31"/>
  <c r="F38" i="31"/>
  <c r="E38" i="31"/>
  <c r="D38" i="31"/>
  <c r="C38" i="31"/>
  <c r="B38" i="31"/>
  <c r="L37" i="31"/>
  <c r="K37" i="31"/>
  <c r="J37" i="31"/>
  <c r="I37" i="31"/>
  <c r="H37" i="31"/>
  <c r="G37" i="31"/>
  <c r="F37" i="31"/>
  <c r="E37" i="31"/>
  <c r="D37" i="31"/>
  <c r="C37" i="31"/>
  <c r="B37" i="31"/>
  <c r="L36" i="31"/>
  <c r="K36" i="31"/>
  <c r="J36" i="31"/>
  <c r="I36" i="31"/>
  <c r="H36" i="31"/>
  <c r="G36" i="31"/>
  <c r="F36" i="31"/>
  <c r="E36" i="31"/>
  <c r="D36" i="31"/>
  <c r="C36" i="31"/>
  <c r="B36" i="31"/>
  <c r="L35" i="31"/>
  <c r="K35" i="31"/>
  <c r="J35" i="31"/>
  <c r="I35" i="31"/>
  <c r="H35" i="31"/>
  <c r="G35" i="31"/>
  <c r="F35" i="31"/>
  <c r="E35" i="31"/>
  <c r="D35" i="31"/>
  <c r="C35" i="31"/>
  <c r="B35" i="31"/>
  <c r="L34" i="31"/>
  <c r="K34" i="31"/>
  <c r="J34" i="31"/>
  <c r="I34" i="31"/>
  <c r="H34" i="31"/>
  <c r="G34" i="31"/>
  <c r="F34" i="31"/>
  <c r="E34" i="31"/>
  <c r="D34" i="31"/>
  <c r="C34" i="31"/>
  <c r="B34" i="31"/>
  <c r="L33" i="31"/>
  <c r="K33" i="31"/>
  <c r="J33" i="31"/>
  <c r="I33" i="31"/>
  <c r="H33" i="31"/>
  <c r="G33" i="31"/>
  <c r="F33" i="31"/>
  <c r="E33" i="31"/>
  <c r="D33" i="31"/>
  <c r="C33" i="31"/>
  <c r="B33" i="31"/>
  <c r="L32" i="31"/>
  <c r="K32" i="31"/>
  <c r="J32" i="31"/>
  <c r="I32" i="31"/>
  <c r="H32" i="31"/>
  <c r="G32" i="31"/>
  <c r="F32" i="31"/>
  <c r="E32" i="31"/>
  <c r="D32" i="31"/>
  <c r="C32" i="31"/>
  <c r="B32" i="31"/>
  <c r="L31" i="31"/>
  <c r="K31" i="31"/>
  <c r="J31" i="31"/>
  <c r="I31" i="31"/>
  <c r="H31" i="31"/>
  <c r="G31" i="31"/>
  <c r="F31" i="31"/>
  <c r="E31" i="31"/>
  <c r="D31" i="31"/>
  <c r="C31" i="31"/>
  <c r="B31" i="31"/>
  <c r="L30" i="31"/>
  <c r="K30" i="31"/>
  <c r="J30" i="31"/>
  <c r="I30" i="31"/>
  <c r="H30" i="31"/>
  <c r="G30" i="31"/>
  <c r="F30" i="31"/>
  <c r="E30" i="31"/>
  <c r="D30" i="31"/>
  <c r="C30" i="31"/>
  <c r="B30" i="31"/>
  <c r="L29" i="31"/>
  <c r="K29" i="31"/>
  <c r="J29" i="31"/>
  <c r="I29" i="31"/>
  <c r="H29" i="31"/>
  <c r="G29" i="31"/>
  <c r="F29" i="31"/>
  <c r="E29" i="31"/>
  <c r="D29" i="31"/>
  <c r="C29" i="31"/>
  <c r="B29" i="31"/>
  <c r="L28" i="31"/>
  <c r="K28" i="31"/>
  <c r="J28" i="31"/>
  <c r="I28" i="31"/>
  <c r="H28" i="31"/>
  <c r="G28" i="31"/>
  <c r="F28" i="31"/>
  <c r="E28" i="31"/>
  <c r="D28" i="31"/>
  <c r="C28" i="31"/>
  <c r="B28" i="31"/>
  <c r="L27" i="31"/>
  <c r="K27" i="31"/>
  <c r="J27" i="31"/>
  <c r="I27" i="31"/>
  <c r="H27" i="31"/>
  <c r="G27" i="31"/>
  <c r="F27" i="31"/>
  <c r="E27" i="31"/>
  <c r="D27" i="31"/>
  <c r="C27" i="31"/>
  <c r="B27" i="31"/>
  <c r="L26" i="31"/>
  <c r="K26" i="31"/>
  <c r="J26" i="31"/>
  <c r="I26" i="31"/>
  <c r="H26" i="31"/>
  <c r="G26" i="31"/>
  <c r="F26" i="31"/>
  <c r="E26" i="31"/>
  <c r="D26" i="31"/>
  <c r="C26" i="31"/>
  <c r="B26" i="31"/>
  <c r="L25" i="31"/>
  <c r="K25" i="31"/>
  <c r="J25" i="31"/>
  <c r="I25" i="31"/>
  <c r="H25" i="31"/>
  <c r="G25" i="31"/>
  <c r="F25" i="31"/>
  <c r="E25" i="31"/>
  <c r="D25" i="31"/>
  <c r="C25" i="31"/>
  <c r="B25" i="31"/>
  <c r="L24" i="31"/>
  <c r="K24" i="31"/>
  <c r="J24" i="31"/>
  <c r="I24" i="31"/>
  <c r="H24" i="31"/>
  <c r="G24" i="31"/>
  <c r="F24" i="31"/>
  <c r="E24" i="31"/>
  <c r="D24" i="31"/>
  <c r="C24" i="31"/>
  <c r="B24" i="31"/>
  <c r="L23" i="31"/>
  <c r="K23" i="31"/>
  <c r="J23" i="31"/>
  <c r="I23" i="31"/>
  <c r="H23" i="31"/>
  <c r="G23" i="31"/>
  <c r="F23" i="31"/>
  <c r="E23" i="31"/>
  <c r="D23" i="31"/>
  <c r="C23" i="31"/>
  <c r="B23" i="31"/>
  <c r="L22" i="31"/>
  <c r="K22" i="31"/>
  <c r="J22" i="31"/>
  <c r="I22" i="31"/>
  <c r="H22" i="31"/>
  <c r="G22" i="31"/>
  <c r="F22" i="31"/>
  <c r="E22" i="31"/>
  <c r="D22" i="31"/>
  <c r="C22" i="31"/>
  <c r="B22" i="31"/>
  <c r="L21" i="31"/>
  <c r="K21" i="31"/>
  <c r="J21" i="31"/>
  <c r="I21" i="31"/>
  <c r="H21" i="31"/>
  <c r="G21" i="31"/>
  <c r="F21" i="31"/>
  <c r="E21" i="31"/>
  <c r="D21" i="31"/>
  <c r="C21" i="31"/>
  <c r="B21" i="31"/>
  <c r="L20" i="31"/>
  <c r="K20" i="31"/>
  <c r="BK52" i="31" s="1"/>
  <c r="W72" i="31" s="1"/>
  <c r="C72" i="31" s="1"/>
  <c r="J20" i="31"/>
  <c r="BG52" i="31" s="1"/>
  <c r="W71" i="31" s="1"/>
  <c r="C71" i="31" s="1"/>
  <c r="I20" i="31"/>
  <c r="BC52" i="31" s="1"/>
  <c r="W70" i="31" s="1"/>
  <c r="C70" i="31" s="1"/>
  <c r="H20" i="31"/>
  <c r="AY52" i="31" s="1"/>
  <c r="W69" i="31" s="1"/>
  <c r="C69" i="31" s="1"/>
  <c r="G20" i="31"/>
  <c r="F20" i="31"/>
  <c r="E20" i="31"/>
  <c r="D20" i="31"/>
  <c r="W53" i="31" s="1"/>
  <c r="C20" i="31"/>
  <c r="B20" i="31"/>
  <c r="AC53" i="31" s="1"/>
  <c r="K19" i="31"/>
  <c r="J19" i="31"/>
  <c r="I19" i="31"/>
  <c r="H19" i="31"/>
  <c r="G19" i="31"/>
  <c r="F19" i="31"/>
  <c r="E19" i="31"/>
  <c r="D19" i="31"/>
  <c r="C19" i="31"/>
  <c r="B19" i="31"/>
  <c r="D77" i="30"/>
  <c r="C77" i="30"/>
  <c r="B77" i="30"/>
  <c r="C76" i="30"/>
  <c r="B76" i="30"/>
  <c r="D75" i="30"/>
  <c r="C75" i="30"/>
  <c r="B75" i="30"/>
  <c r="D74" i="30"/>
  <c r="C74" i="30"/>
  <c r="B74" i="30"/>
  <c r="C73" i="30"/>
  <c r="B73" i="30"/>
  <c r="R72" i="30"/>
  <c r="R71" i="30"/>
  <c r="R70" i="30"/>
  <c r="R69" i="30"/>
  <c r="R68" i="30"/>
  <c r="R67" i="30"/>
  <c r="R66" i="30"/>
  <c r="R65" i="30"/>
  <c r="R64" i="30"/>
  <c r="R63" i="30"/>
  <c r="X62" i="30"/>
  <c r="D62" i="30" s="1"/>
  <c r="W62" i="30"/>
  <c r="V62" i="30"/>
  <c r="B62" i="30" s="1"/>
  <c r="C62" i="30"/>
  <c r="U60" i="30"/>
  <c r="BL52" i="30"/>
  <c r="X72" i="30" s="1"/>
  <c r="BJ52" i="30"/>
  <c r="V72" i="30" s="1"/>
  <c r="B72" i="30" s="1"/>
  <c r="BI52" i="30"/>
  <c r="U72" i="30" s="1"/>
  <c r="BH52" i="30"/>
  <c r="X71" i="30" s="1"/>
  <c r="BF52" i="30"/>
  <c r="V71" i="30" s="1"/>
  <c r="BE52" i="30"/>
  <c r="U71" i="30" s="1"/>
  <c r="BD52" i="30"/>
  <c r="X70" i="30" s="1"/>
  <c r="BB52" i="30"/>
  <c r="V70" i="30" s="1"/>
  <c r="B70" i="30" s="1"/>
  <c r="BA52" i="30"/>
  <c r="U70" i="30" s="1"/>
  <c r="AZ52" i="30"/>
  <c r="X69" i="30" s="1"/>
  <c r="AX52" i="30"/>
  <c r="V69" i="30" s="1"/>
  <c r="AW52" i="30"/>
  <c r="U69" i="30" s="1"/>
  <c r="AV52" i="30"/>
  <c r="X68" i="30" s="1"/>
  <c r="AT52" i="30"/>
  <c r="V68" i="30" s="1"/>
  <c r="AS52" i="30"/>
  <c r="U68" i="30" s="1"/>
  <c r="AR52" i="30"/>
  <c r="X67" i="30" s="1"/>
  <c r="AP52" i="30"/>
  <c r="V67" i="30" s="1"/>
  <c r="AO52" i="30"/>
  <c r="U67" i="30" s="1"/>
  <c r="AN52" i="30"/>
  <c r="X66" i="30" s="1"/>
  <c r="AL52" i="30"/>
  <c r="V66" i="30" s="1"/>
  <c r="AK52" i="30"/>
  <c r="U66" i="30" s="1"/>
  <c r="AJ52" i="30"/>
  <c r="X65" i="30" s="1"/>
  <c r="AH52" i="30"/>
  <c r="V65" i="30" s="1"/>
  <c r="AG52" i="30"/>
  <c r="AF52" i="30"/>
  <c r="AE52" i="30"/>
  <c r="AD52" i="30"/>
  <c r="X64" i="30" s="1"/>
  <c r="AB52" i="30"/>
  <c r="V64" i="30" s="1"/>
  <c r="B64" i="30" s="1"/>
  <c r="AA52" i="30"/>
  <c r="Z52" i="30"/>
  <c r="Y52" i="30"/>
  <c r="U64" i="30" s="1"/>
  <c r="X52" i="30"/>
  <c r="X63" i="30" s="1"/>
  <c r="V52" i="30"/>
  <c r="V63" i="30" s="1"/>
  <c r="U52" i="30"/>
  <c r="T52" i="30"/>
  <c r="S52" i="30"/>
  <c r="U63" i="30" s="1"/>
  <c r="L51" i="30"/>
  <c r="K51" i="30"/>
  <c r="J51" i="30"/>
  <c r="I51" i="30"/>
  <c r="H51" i="30"/>
  <c r="G51" i="30"/>
  <c r="F51" i="30"/>
  <c r="E51" i="30"/>
  <c r="D51" i="30"/>
  <c r="C51" i="30"/>
  <c r="B51" i="30"/>
  <c r="L50" i="30"/>
  <c r="K50" i="30"/>
  <c r="J50" i="30"/>
  <c r="I50" i="30"/>
  <c r="H50" i="30"/>
  <c r="G50" i="30"/>
  <c r="F50" i="30"/>
  <c r="E50" i="30"/>
  <c r="D50" i="30"/>
  <c r="C50" i="30"/>
  <c r="B50" i="30"/>
  <c r="L49" i="30"/>
  <c r="K49" i="30"/>
  <c r="J49" i="30"/>
  <c r="I49" i="30"/>
  <c r="H49" i="30"/>
  <c r="G49" i="30"/>
  <c r="F49" i="30"/>
  <c r="E49" i="30"/>
  <c r="D49" i="30"/>
  <c r="C49" i="30"/>
  <c r="B49" i="30"/>
  <c r="L48" i="30"/>
  <c r="K48" i="30"/>
  <c r="J48" i="30"/>
  <c r="I48" i="30"/>
  <c r="H48" i="30"/>
  <c r="G48" i="30"/>
  <c r="F48" i="30"/>
  <c r="E48" i="30"/>
  <c r="D48" i="30"/>
  <c r="C48" i="30"/>
  <c r="B48" i="30"/>
  <c r="L47" i="30"/>
  <c r="K47" i="30"/>
  <c r="J47" i="30"/>
  <c r="I47" i="30"/>
  <c r="H47" i="30"/>
  <c r="G47" i="30"/>
  <c r="F47" i="30"/>
  <c r="E47" i="30"/>
  <c r="D47" i="30"/>
  <c r="C47" i="30"/>
  <c r="B47" i="30"/>
  <c r="L46" i="30"/>
  <c r="K46" i="30"/>
  <c r="J46" i="30"/>
  <c r="I46" i="30"/>
  <c r="H46" i="30"/>
  <c r="G46" i="30"/>
  <c r="F46" i="30"/>
  <c r="E46" i="30"/>
  <c r="D46" i="30"/>
  <c r="C46" i="30"/>
  <c r="B46" i="30"/>
  <c r="L45" i="30"/>
  <c r="K45" i="30"/>
  <c r="J45" i="30"/>
  <c r="I45" i="30"/>
  <c r="H45" i="30"/>
  <c r="G45" i="30"/>
  <c r="F45" i="30"/>
  <c r="E45" i="30"/>
  <c r="D45" i="30"/>
  <c r="C45" i="30"/>
  <c r="B45" i="30"/>
  <c r="L44" i="30"/>
  <c r="K44" i="30"/>
  <c r="J44" i="30"/>
  <c r="I44" i="30"/>
  <c r="H44" i="30"/>
  <c r="G44" i="30"/>
  <c r="F44" i="30"/>
  <c r="E44" i="30"/>
  <c r="D44" i="30"/>
  <c r="C44" i="30"/>
  <c r="B44" i="30"/>
  <c r="L43" i="30"/>
  <c r="K43" i="30"/>
  <c r="J43" i="30"/>
  <c r="I43" i="30"/>
  <c r="H43" i="30"/>
  <c r="G43" i="30"/>
  <c r="F43" i="30"/>
  <c r="E43" i="30"/>
  <c r="D43" i="30"/>
  <c r="C43" i="30"/>
  <c r="B43" i="30"/>
  <c r="L42" i="30"/>
  <c r="K42" i="30"/>
  <c r="J42" i="30"/>
  <c r="I42" i="30"/>
  <c r="H42" i="30"/>
  <c r="G42" i="30"/>
  <c r="F42" i="30"/>
  <c r="E42" i="30"/>
  <c r="D42" i="30"/>
  <c r="C42" i="30"/>
  <c r="B42" i="30"/>
  <c r="L41" i="30"/>
  <c r="K41" i="30"/>
  <c r="J41" i="30"/>
  <c r="I41" i="30"/>
  <c r="H41" i="30"/>
  <c r="G41" i="30"/>
  <c r="F41" i="30"/>
  <c r="E41" i="30"/>
  <c r="D41" i="30"/>
  <c r="C41" i="30"/>
  <c r="B41" i="30"/>
  <c r="L40" i="30"/>
  <c r="K40" i="30"/>
  <c r="J40" i="30"/>
  <c r="I40" i="30"/>
  <c r="H40" i="30"/>
  <c r="G40" i="30"/>
  <c r="F40" i="30"/>
  <c r="E40" i="30"/>
  <c r="D40" i="30"/>
  <c r="C40" i="30"/>
  <c r="B40" i="30"/>
  <c r="L39" i="30"/>
  <c r="K39" i="30"/>
  <c r="J39" i="30"/>
  <c r="I39" i="30"/>
  <c r="H39" i="30"/>
  <c r="G39" i="30"/>
  <c r="F39" i="30"/>
  <c r="E39" i="30"/>
  <c r="D39" i="30"/>
  <c r="C39" i="30"/>
  <c r="B39" i="30"/>
  <c r="L38" i="30"/>
  <c r="K38" i="30"/>
  <c r="J38" i="30"/>
  <c r="I38" i="30"/>
  <c r="H38" i="30"/>
  <c r="G38" i="30"/>
  <c r="F38" i="30"/>
  <c r="E38" i="30"/>
  <c r="D38" i="30"/>
  <c r="C38" i="30"/>
  <c r="B38" i="30"/>
  <c r="L37" i="30"/>
  <c r="K37" i="30"/>
  <c r="J37" i="30"/>
  <c r="I37" i="30"/>
  <c r="H37" i="30"/>
  <c r="G37" i="30"/>
  <c r="F37" i="30"/>
  <c r="E37" i="30"/>
  <c r="D37" i="30"/>
  <c r="C37" i="30"/>
  <c r="B37" i="30"/>
  <c r="L36" i="30"/>
  <c r="K36" i="30"/>
  <c r="J36" i="30"/>
  <c r="I36" i="30"/>
  <c r="H36" i="30"/>
  <c r="G36" i="30"/>
  <c r="F36" i="30"/>
  <c r="E36" i="30"/>
  <c r="D36" i="30"/>
  <c r="C36" i="30"/>
  <c r="B36" i="30"/>
  <c r="L35" i="30"/>
  <c r="K35" i="30"/>
  <c r="J35" i="30"/>
  <c r="I35" i="30"/>
  <c r="H35" i="30"/>
  <c r="G35" i="30"/>
  <c r="F35" i="30"/>
  <c r="E35" i="30"/>
  <c r="D35" i="30"/>
  <c r="C35" i="30"/>
  <c r="B35" i="30"/>
  <c r="L34" i="30"/>
  <c r="K34" i="30"/>
  <c r="J34" i="30"/>
  <c r="I34" i="30"/>
  <c r="H34" i="30"/>
  <c r="G34" i="30"/>
  <c r="F34" i="30"/>
  <c r="E34" i="30"/>
  <c r="D34" i="30"/>
  <c r="C34" i="30"/>
  <c r="B34" i="30"/>
  <c r="L33" i="30"/>
  <c r="K33" i="30"/>
  <c r="J33" i="30"/>
  <c r="I33" i="30"/>
  <c r="H33" i="30"/>
  <c r="G33" i="30"/>
  <c r="F33" i="30"/>
  <c r="E33" i="30"/>
  <c r="D33" i="30"/>
  <c r="C33" i="30"/>
  <c r="B33" i="30"/>
  <c r="L32" i="30"/>
  <c r="K32" i="30"/>
  <c r="J32" i="30"/>
  <c r="I32" i="30"/>
  <c r="H32" i="30"/>
  <c r="G32" i="30"/>
  <c r="F32" i="30"/>
  <c r="E32" i="30"/>
  <c r="D32" i="30"/>
  <c r="C32" i="30"/>
  <c r="B32" i="30"/>
  <c r="L31" i="30"/>
  <c r="K31" i="30"/>
  <c r="J31" i="30"/>
  <c r="I31" i="30"/>
  <c r="H31" i="30"/>
  <c r="G31" i="30"/>
  <c r="F31" i="30"/>
  <c r="E31" i="30"/>
  <c r="D31" i="30"/>
  <c r="C31" i="30"/>
  <c r="B31" i="30"/>
  <c r="L30" i="30"/>
  <c r="K30" i="30"/>
  <c r="J30" i="30"/>
  <c r="I30" i="30"/>
  <c r="H30" i="30"/>
  <c r="G30" i="30"/>
  <c r="F30" i="30"/>
  <c r="E30" i="30"/>
  <c r="D30" i="30"/>
  <c r="C30" i="30"/>
  <c r="B30" i="30"/>
  <c r="L29" i="30"/>
  <c r="K29" i="30"/>
  <c r="J29" i="30"/>
  <c r="I29" i="30"/>
  <c r="H29" i="30"/>
  <c r="G29" i="30"/>
  <c r="F29" i="30"/>
  <c r="E29" i="30"/>
  <c r="D29" i="30"/>
  <c r="C29" i="30"/>
  <c r="B29" i="30"/>
  <c r="L28" i="30"/>
  <c r="K28" i="30"/>
  <c r="J28" i="30"/>
  <c r="I28" i="30"/>
  <c r="H28" i="30"/>
  <c r="G28" i="30"/>
  <c r="F28" i="30"/>
  <c r="E28" i="30"/>
  <c r="D28" i="30"/>
  <c r="C28" i="30"/>
  <c r="B28" i="30"/>
  <c r="L27" i="30"/>
  <c r="K27" i="30"/>
  <c r="J27" i="30"/>
  <c r="I27" i="30"/>
  <c r="H27" i="30"/>
  <c r="G27" i="30"/>
  <c r="F27" i="30"/>
  <c r="E27" i="30"/>
  <c r="D27" i="30"/>
  <c r="C27" i="30"/>
  <c r="B27" i="30"/>
  <c r="L26" i="30"/>
  <c r="K26" i="30"/>
  <c r="J26" i="30"/>
  <c r="I26" i="30"/>
  <c r="H26" i="30"/>
  <c r="G26" i="30"/>
  <c r="F26" i="30"/>
  <c r="E26" i="30"/>
  <c r="D26" i="30"/>
  <c r="C26" i="30"/>
  <c r="B26" i="30"/>
  <c r="L25" i="30"/>
  <c r="K25" i="30"/>
  <c r="J25" i="30"/>
  <c r="I25" i="30"/>
  <c r="H25" i="30"/>
  <c r="G25" i="30"/>
  <c r="F25" i="30"/>
  <c r="E25" i="30"/>
  <c r="D25" i="30"/>
  <c r="C25" i="30"/>
  <c r="B25" i="30"/>
  <c r="L24" i="30"/>
  <c r="K24" i="30"/>
  <c r="J24" i="30"/>
  <c r="I24" i="30"/>
  <c r="H24" i="30"/>
  <c r="G24" i="30"/>
  <c r="F24" i="30"/>
  <c r="E24" i="30"/>
  <c r="D24" i="30"/>
  <c r="C24" i="30"/>
  <c r="B24" i="30"/>
  <c r="L23" i="30"/>
  <c r="K23" i="30"/>
  <c r="J23" i="30"/>
  <c r="I23" i="30"/>
  <c r="H23" i="30"/>
  <c r="G23" i="30"/>
  <c r="F23" i="30"/>
  <c r="E23" i="30"/>
  <c r="D23" i="30"/>
  <c r="C23" i="30"/>
  <c r="B23" i="30"/>
  <c r="L22" i="30"/>
  <c r="K22" i="30"/>
  <c r="J22" i="30"/>
  <c r="I22" i="30"/>
  <c r="H22" i="30"/>
  <c r="G22" i="30"/>
  <c r="F22" i="30"/>
  <c r="E22" i="30"/>
  <c r="D22" i="30"/>
  <c r="C22" i="30"/>
  <c r="B22" i="30"/>
  <c r="L21" i="30"/>
  <c r="K21" i="30"/>
  <c r="J21" i="30"/>
  <c r="I21" i="30"/>
  <c r="H21" i="30"/>
  <c r="G21" i="30"/>
  <c r="F21" i="30"/>
  <c r="E21" i="30"/>
  <c r="D21" i="30"/>
  <c r="C21" i="30"/>
  <c r="B21" i="30"/>
  <c r="L20" i="30"/>
  <c r="K20" i="30"/>
  <c r="BK52" i="30" s="1"/>
  <c r="W72" i="30" s="1"/>
  <c r="C72" i="30" s="1"/>
  <c r="J20" i="30"/>
  <c r="BG52" i="30" s="1"/>
  <c r="W71" i="30" s="1"/>
  <c r="C71" i="30" s="1"/>
  <c r="I20" i="30"/>
  <c r="BC52" i="30" s="1"/>
  <c r="W70" i="30" s="1"/>
  <c r="C70" i="30" s="1"/>
  <c r="H20" i="30"/>
  <c r="AY52" i="30" s="1"/>
  <c r="W69" i="30" s="1"/>
  <c r="C69" i="30" s="1"/>
  <c r="G20" i="30"/>
  <c r="F20" i="30"/>
  <c r="AQ52" i="30" s="1"/>
  <c r="W67" i="30" s="1"/>
  <c r="C67" i="30" s="1"/>
  <c r="E20" i="30"/>
  <c r="D20" i="30"/>
  <c r="W53" i="30" s="1"/>
  <c r="C20" i="30"/>
  <c r="B20" i="30"/>
  <c r="AC53" i="30" s="1"/>
  <c r="K19" i="30"/>
  <c r="J19" i="30"/>
  <c r="I19" i="30"/>
  <c r="H19" i="30"/>
  <c r="G19" i="30"/>
  <c r="F19" i="30"/>
  <c r="E19" i="30"/>
  <c r="D19" i="30"/>
  <c r="C19" i="30"/>
  <c r="B19" i="30"/>
  <c r="D77" i="29"/>
  <c r="C77" i="29"/>
  <c r="B77" i="29"/>
  <c r="C76" i="29"/>
  <c r="B76" i="29"/>
  <c r="D75" i="29"/>
  <c r="C75" i="29"/>
  <c r="B75" i="29"/>
  <c r="D74" i="29"/>
  <c r="C74" i="29"/>
  <c r="B74" i="29"/>
  <c r="C73" i="29"/>
  <c r="B73" i="29"/>
  <c r="R72" i="29"/>
  <c r="R71" i="29"/>
  <c r="R70" i="29"/>
  <c r="R69" i="29"/>
  <c r="R68" i="29"/>
  <c r="R67" i="29"/>
  <c r="R66" i="29"/>
  <c r="R65" i="29"/>
  <c r="R64" i="29"/>
  <c r="R63" i="29"/>
  <c r="X62" i="29"/>
  <c r="W62" i="29"/>
  <c r="C62" i="29" s="1"/>
  <c r="V62" i="29"/>
  <c r="D62" i="29"/>
  <c r="B62" i="29"/>
  <c r="U60" i="29"/>
  <c r="BL52" i="29"/>
  <c r="X72" i="29" s="1"/>
  <c r="BJ52" i="29"/>
  <c r="V72" i="29" s="1"/>
  <c r="BI52" i="29"/>
  <c r="U72" i="29" s="1"/>
  <c r="BH52" i="29"/>
  <c r="X71" i="29" s="1"/>
  <c r="BF52" i="29"/>
  <c r="V71" i="29" s="1"/>
  <c r="BE52" i="29"/>
  <c r="U71" i="29" s="1"/>
  <c r="BD52" i="29"/>
  <c r="X70" i="29" s="1"/>
  <c r="BB52" i="29"/>
  <c r="V70" i="29" s="1"/>
  <c r="B70" i="29" s="1"/>
  <c r="BA52" i="29"/>
  <c r="U70" i="29" s="1"/>
  <c r="AZ52" i="29"/>
  <c r="X69" i="29" s="1"/>
  <c r="AX52" i="29"/>
  <c r="V69" i="29" s="1"/>
  <c r="AW52" i="29"/>
  <c r="U69" i="29" s="1"/>
  <c r="AV52" i="29"/>
  <c r="X68" i="29" s="1"/>
  <c r="AT52" i="29"/>
  <c r="V68" i="29" s="1"/>
  <c r="B68" i="29" s="1"/>
  <c r="AS52" i="29"/>
  <c r="U68" i="29" s="1"/>
  <c r="AR52" i="29"/>
  <c r="X67" i="29" s="1"/>
  <c r="AP52" i="29"/>
  <c r="V67" i="29" s="1"/>
  <c r="AO52" i="29"/>
  <c r="U67" i="29" s="1"/>
  <c r="AN52" i="29"/>
  <c r="X66" i="29" s="1"/>
  <c r="AL52" i="29"/>
  <c r="V66" i="29" s="1"/>
  <c r="AK52" i="29"/>
  <c r="U66" i="29" s="1"/>
  <c r="AJ52" i="29"/>
  <c r="X65" i="29" s="1"/>
  <c r="AH52" i="29"/>
  <c r="V65" i="29" s="1"/>
  <c r="AG52" i="29"/>
  <c r="AF52" i="29"/>
  <c r="AE52" i="29"/>
  <c r="AD52" i="29"/>
  <c r="X64" i="29" s="1"/>
  <c r="AB52" i="29"/>
  <c r="V64" i="29" s="1"/>
  <c r="AA52" i="29"/>
  <c r="Z52" i="29"/>
  <c r="Y52" i="29"/>
  <c r="U64" i="29" s="1"/>
  <c r="X52" i="29"/>
  <c r="X63" i="29" s="1"/>
  <c r="V52" i="29"/>
  <c r="V63" i="29" s="1"/>
  <c r="U52" i="29"/>
  <c r="T52" i="29"/>
  <c r="S52" i="29"/>
  <c r="U63" i="29" s="1"/>
  <c r="L51" i="29"/>
  <c r="K51" i="29"/>
  <c r="J51" i="29"/>
  <c r="I51" i="29"/>
  <c r="H51" i="29"/>
  <c r="G51" i="29"/>
  <c r="F51" i="29"/>
  <c r="E51" i="29"/>
  <c r="D51" i="29"/>
  <c r="C51" i="29"/>
  <c r="B51" i="29"/>
  <c r="L50" i="29"/>
  <c r="K50" i="29"/>
  <c r="J50" i="29"/>
  <c r="I50" i="29"/>
  <c r="H50" i="29"/>
  <c r="G50" i="29"/>
  <c r="F50" i="29"/>
  <c r="E50" i="29"/>
  <c r="D50" i="29"/>
  <c r="C50" i="29"/>
  <c r="B50" i="29"/>
  <c r="L49" i="29"/>
  <c r="K49" i="29"/>
  <c r="J49" i="29"/>
  <c r="I49" i="29"/>
  <c r="H49" i="29"/>
  <c r="G49" i="29"/>
  <c r="F49" i="29"/>
  <c r="E49" i="29"/>
  <c r="D49" i="29"/>
  <c r="C49" i="29"/>
  <c r="B49" i="29"/>
  <c r="L48" i="29"/>
  <c r="K48" i="29"/>
  <c r="J48" i="29"/>
  <c r="I48" i="29"/>
  <c r="H48" i="29"/>
  <c r="G48" i="29"/>
  <c r="F48" i="29"/>
  <c r="E48" i="29"/>
  <c r="D48" i="29"/>
  <c r="C48" i="29"/>
  <c r="B48" i="29"/>
  <c r="L47" i="29"/>
  <c r="K47" i="29"/>
  <c r="J47" i="29"/>
  <c r="I47" i="29"/>
  <c r="H47" i="29"/>
  <c r="G47" i="29"/>
  <c r="F47" i="29"/>
  <c r="E47" i="29"/>
  <c r="D47" i="29"/>
  <c r="C47" i="29"/>
  <c r="B47" i="29"/>
  <c r="L46" i="29"/>
  <c r="K46" i="29"/>
  <c r="J46" i="29"/>
  <c r="I46" i="29"/>
  <c r="H46" i="29"/>
  <c r="G46" i="29"/>
  <c r="F46" i="29"/>
  <c r="E46" i="29"/>
  <c r="D46" i="29"/>
  <c r="C46" i="29"/>
  <c r="B46" i="29"/>
  <c r="L45" i="29"/>
  <c r="K45" i="29"/>
  <c r="J45" i="29"/>
  <c r="I45" i="29"/>
  <c r="H45" i="29"/>
  <c r="G45" i="29"/>
  <c r="F45" i="29"/>
  <c r="E45" i="29"/>
  <c r="D45" i="29"/>
  <c r="C45" i="29"/>
  <c r="B45" i="29"/>
  <c r="L44" i="29"/>
  <c r="K44" i="29"/>
  <c r="J44" i="29"/>
  <c r="I44" i="29"/>
  <c r="H44" i="29"/>
  <c r="G44" i="29"/>
  <c r="F44" i="29"/>
  <c r="E44" i="29"/>
  <c r="D44" i="29"/>
  <c r="C44" i="29"/>
  <c r="B44" i="29"/>
  <c r="L43" i="29"/>
  <c r="K43" i="29"/>
  <c r="J43" i="29"/>
  <c r="I43" i="29"/>
  <c r="H43" i="29"/>
  <c r="G43" i="29"/>
  <c r="F43" i="29"/>
  <c r="E43" i="29"/>
  <c r="D43" i="29"/>
  <c r="C43" i="29"/>
  <c r="B43" i="29"/>
  <c r="L42" i="29"/>
  <c r="K42" i="29"/>
  <c r="J42" i="29"/>
  <c r="I42" i="29"/>
  <c r="H42" i="29"/>
  <c r="G42" i="29"/>
  <c r="F42" i="29"/>
  <c r="E42" i="29"/>
  <c r="D42" i="29"/>
  <c r="C42" i="29"/>
  <c r="B42" i="29"/>
  <c r="L41" i="29"/>
  <c r="K41" i="29"/>
  <c r="J41" i="29"/>
  <c r="I41" i="29"/>
  <c r="H41" i="29"/>
  <c r="G41" i="29"/>
  <c r="F41" i="29"/>
  <c r="E41" i="29"/>
  <c r="D41" i="29"/>
  <c r="C41" i="29"/>
  <c r="B41" i="29"/>
  <c r="L40" i="29"/>
  <c r="K40" i="29"/>
  <c r="J40" i="29"/>
  <c r="I40" i="29"/>
  <c r="H40" i="29"/>
  <c r="G40" i="29"/>
  <c r="F40" i="29"/>
  <c r="E40" i="29"/>
  <c r="D40" i="29"/>
  <c r="C40" i="29"/>
  <c r="B40" i="29"/>
  <c r="L39" i="29"/>
  <c r="K39" i="29"/>
  <c r="J39" i="29"/>
  <c r="I39" i="29"/>
  <c r="H39" i="29"/>
  <c r="G39" i="29"/>
  <c r="F39" i="29"/>
  <c r="E39" i="29"/>
  <c r="D39" i="29"/>
  <c r="C39" i="29"/>
  <c r="B39" i="29"/>
  <c r="L38" i="29"/>
  <c r="K38" i="29"/>
  <c r="J38" i="29"/>
  <c r="I38" i="29"/>
  <c r="H38" i="29"/>
  <c r="G38" i="29"/>
  <c r="F38" i="29"/>
  <c r="E38" i="29"/>
  <c r="D38" i="29"/>
  <c r="C38" i="29"/>
  <c r="B38" i="29"/>
  <c r="L37" i="29"/>
  <c r="K37" i="29"/>
  <c r="J37" i="29"/>
  <c r="I37" i="29"/>
  <c r="H37" i="29"/>
  <c r="G37" i="29"/>
  <c r="F37" i="29"/>
  <c r="E37" i="29"/>
  <c r="D37" i="29"/>
  <c r="C37" i="29"/>
  <c r="B37" i="29"/>
  <c r="L36" i="29"/>
  <c r="K36" i="29"/>
  <c r="J36" i="29"/>
  <c r="I36" i="29"/>
  <c r="H36" i="29"/>
  <c r="G36" i="29"/>
  <c r="F36" i="29"/>
  <c r="E36" i="29"/>
  <c r="D36" i="29"/>
  <c r="C36" i="29"/>
  <c r="B36" i="29"/>
  <c r="L35" i="29"/>
  <c r="K35" i="29"/>
  <c r="J35" i="29"/>
  <c r="I35" i="29"/>
  <c r="H35" i="29"/>
  <c r="G35" i="29"/>
  <c r="F35" i="29"/>
  <c r="E35" i="29"/>
  <c r="D35" i="29"/>
  <c r="C35" i="29"/>
  <c r="B35" i="29"/>
  <c r="L34" i="29"/>
  <c r="K34" i="29"/>
  <c r="J34" i="29"/>
  <c r="I34" i="29"/>
  <c r="H34" i="29"/>
  <c r="G34" i="29"/>
  <c r="F34" i="29"/>
  <c r="E34" i="29"/>
  <c r="D34" i="29"/>
  <c r="C34" i="29"/>
  <c r="B34" i="29"/>
  <c r="L33" i="29"/>
  <c r="K33" i="29"/>
  <c r="J33" i="29"/>
  <c r="I33" i="29"/>
  <c r="H33" i="29"/>
  <c r="G33" i="29"/>
  <c r="F33" i="29"/>
  <c r="E33" i="29"/>
  <c r="D33" i="29"/>
  <c r="C33" i="29"/>
  <c r="B33" i="29"/>
  <c r="L32" i="29"/>
  <c r="K32" i="29"/>
  <c r="J32" i="29"/>
  <c r="I32" i="29"/>
  <c r="H32" i="29"/>
  <c r="G32" i="29"/>
  <c r="F32" i="29"/>
  <c r="E32" i="29"/>
  <c r="D32" i="29"/>
  <c r="C32" i="29"/>
  <c r="B32" i="29"/>
  <c r="L31" i="29"/>
  <c r="K31" i="29"/>
  <c r="J31" i="29"/>
  <c r="I31" i="29"/>
  <c r="H31" i="29"/>
  <c r="G31" i="29"/>
  <c r="F31" i="29"/>
  <c r="E31" i="29"/>
  <c r="D31" i="29"/>
  <c r="C31" i="29"/>
  <c r="B31" i="29"/>
  <c r="L30" i="29"/>
  <c r="K30" i="29"/>
  <c r="J30" i="29"/>
  <c r="I30" i="29"/>
  <c r="H30" i="29"/>
  <c r="G30" i="29"/>
  <c r="F30" i="29"/>
  <c r="E30" i="29"/>
  <c r="D30" i="29"/>
  <c r="C30" i="29"/>
  <c r="B30" i="29"/>
  <c r="L29" i="29"/>
  <c r="K29" i="29"/>
  <c r="J29" i="29"/>
  <c r="I29" i="29"/>
  <c r="H29" i="29"/>
  <c r="G29" i="29"/>
  <c r="F29" i="29"/>
  <c r="E29" i="29"/>
  <c r="D29" i="29"/>
  <c r="C29" i="29"/>
  <c r="B29" i="29"/>
  <c r="L28" i="29"/>
  <c r="K28" i="29"/>
  <c r="J28" i="29"/>
  <c r="I28" i="29"/>
  <c r="H28" i="29"/>
  <c r="G28" i="29"/>
  <c r="F28" i="29"/>
  <c r="E28" i="29"/>
  <c r="D28" i="29"/>
  <c r="C28" i="29"/>
  <c r="B28" i="29"/>
  <c r="L27" i="29"/>
  <c r="K27" i="29"/>
  <c r="J27" i="29"/>
  <c r="I27" i="29"/>
  <c r="H27" i="29"/>
  <c r="G27" i="29"/>
  <c r="F27" i="29"/>
  <c r="E27" i="29"/>
  <c r="D27" i="29"/>
  <c r="C27" i="29"/>
  <c r="B27" i="29"/>
  <c r="L26" i="29"/>
  <c r="K26" i="29"/>
  <c r="J26" i="29"/>
  <c r="I26" i="29"/>
  <c r="H26" i="29"/>
  <c r="G26" i="29"/>
  <c r="F26" i="29"/>
  <c r="E26" i="29"/>
  <c r="D26" i="29"/>
  <c r="C26" i="29"/>
  <c r="B26" i="29"/>
  <c r="L25" i="29"/>
  <c r="K25" i="29"/>
  <c r="J25" i="29"/>
  <c r="I25" i="29"/>
  <c r="H25" i="29"/>
  <c r="G25" i="29"/>
  <c r="F25" i="29"/>
  <c r="E25" i="29"/>
  <c r="D25" i="29"/>
  <c r="C25" i="29"/>
  <c r="B25" i="29"/>
  <c r="L24" i="29"/>
  <c r="K24" i="29"/>
  <c r="J24" i="29"/>
  <c r="I24" i="29"/>
  <c r="H24" i="29"/>
  <c r="G24" i="29"/>
  <c r="F24" i="29"/>
  <c r="E24" i="29"/>
  <c r="D24" i="29"/>
  <c r="C24" i="29"/>
  <c r="B24" i="29"/>
  <c r="L23" i="29"/>
  <c r="K23" i="29"/>
  <c r="J23" i="29"/>
  <c r="I23" i="29"/>
  <c r="H23" i="29"/>
  <c r="G23" i="29"/>
  <c r="F23" i="29"/>
  <c r="E23" i="29"/>
  <c r="D23" i="29"/>
  <c r="C23" i="29"/>
  <c r="B23" i="29"/>
  <c r="L22" i="29"/>
  <c r="K22" i="29"/>
  <c r="J22" i="29"/>
  <c r="I22" i="29"/>
  <c r="H22" i="29"/>
  <c r="G22" i="29"/>
  <c r="F22" i="29"/>
  <c r="E22" i="29"/>
  <c r="D22" i="29"/>
  <c r="C22" i="29"/>
  <c r="B22" i="29"/>
  <c r="L21" i="29"/>
  <c r="K21" i="29"/>
  <c r="J21" i="29"/>
  <c r="I21" i="29"/>
  <c r="H21" i="29"/>
  <c r="G21" i="29"/>
  <c r="F21" i="29"/>
  <c r="E21" i="29"/>
  <c r="D21" i="29"/>
  <c r="C21" i="29"/>
  <c r="B21" i="29"/>
  <c r="L20" i="29"/>
  <c r="K20" i="29"/>
  <c r="BK52" i="29" s="1"/>
  <c r="W72" i="29" s="1"/>
  <c r="C72" i="29" s="1"/>
  <c r="J20" i="29"/>
  <c r="BG52" i="29" s="1"/>
  <c r="W71" i="29" s="1"/>
  <c r="C71" i="29" s="1"/>
  <c r="I20" i="29"/>
  <c r="BC52" i="29" s="1"/>
  <c r="W70" i="29" s="1"/>
  <c r="C70" i="29" s="1"/>
  <c r="H20" i="29"/>
  <c r="G20" i="29"/>
  <c r="AU52" i="29" s="1"/>
  <c r="W68" i="29" s="1"/>
  <c r="C68" i="29" s="1"/>
  <c r="F20" i="29"/>
  <c r="E20" i="29"/>
  <c r="AM52" i="29" s="1"/>
  <c r="W66" i="29" s="1"/>
  <c r="C66" i="29" s="1"/>
  <c r="D20" i="29"/>
  <c r="W53" i="29" s="1"/>
  <c r="C20" i="29"/>
  <c r="AI53" i="29" s="1"/>
  <c r="B20" i="29"/>
  <c r="AC53" i="29" s="1"/>
  <c r="K19" i="29"/>
  <c r="J19" i="29"/>
  <c r="I19" i="29"/>
  <c r="H19" i="29"/>
  <c r="G19" i="29"/>
  <c r="F19" i="29"/>
  <c r="E19" i="29"/>
  <c r="D19" i="29"/>
  <c r="C19" i="29"/>
  <c r="B19" i="29"/>
  <c r="O75" i="39" l="1"/>
  <c r="O75" i="38"/>
  <c r="C65" i="37"/>
  <c r="U75" i="37"/>
  <c r="O64" i="37" s="1"/>
  <c r="D63" i="37"/>
  <c r="C63" i="37"/>
  <c r="B63" i="37"/>
  <c r="O68" i="37"/>
  <c r="C65" i="36"/>
  <c r="B65" i="36"/>
  <c r="C64" i="36"/>
  <c r="D64" i="36"/>
  <c r="U75" i="36"/>
  <c r="O63" i="36" s="1"/>
  <c r="D63" i="36"/>
  <c r="C63" i="36"/>
  <c r="W75" i="36" s="1"/>
  <c r="B63" i="36"/>
  <c r="O72" i="36"/>
  <c r="C65" i="35"/>
  <c r="U75" i="35"/>
  <c r="O63" i="35" s="1"/>
  <c r="D63" i="35"/>
  <c r="C63" i="35"/>
  <c r="B63" i="35"/>
  <c r="O68" i="35"/>
  <c r="B72" i="34"/>
  <c r="AU52" i="34"/>
  <c r="W68" i="34" s="1"/>
  <c r="C68" i="34" s="1"/>
  <c r="B68" i="34"/>
  <c r="B66" i="34"/>
  <c r="AM52" i="34"/>
  <c r="W66" i="34" s="1"/>
  <c r="C66" i="34" s="1"/>
  <c r="AI53" i="34"/>
  <c r="U65" i="34"/>
  <c r="B65" i="34" s="1"/>
  <c r="U63" i="34"/>
  <c r="D65" i="34"/>
  <c r="D67" i="34"/>
  <c r="D69" i="34"/>
  <c r="D71" i="34"/>
  <c r="D64" i="34"/>
  <c r="D66" i="34"/>
  <c r="B67" i="34"/>
  <c r="D68" i="34"/>
  <c r="B69" i="34"/>
  <c r="D70" i="34"/>
  <c r="B71" i="34"/>
  <c r="D72" i="34"/>
  <c r="W52" i="34"/>
  <c r="W63" i="34" s="1"/>
  <c r="AC52" i="34"/>
  <c r="W64" i="34" s="1"/>
  <c r="C64" i="34" s="1"/>
  <c r="AI52" i="34"/>
  <c r="W65" i="34" s="1"/>
  <c r="BK52" i="33"/>
  <c r="W72" i="33" s="1"/>
  <c r="C72" i="33" s="1"/>
  <c r="AU52" i="33"/>
  <c r="W68" i="33" s="1"/>
  <c r="C68" i="33" s="1"/>
  <c r="AQ52" i="33"/>
  <c r="W67" i="33" s="1"/>
  <c r="C67" i="33" s="1"/>
  <c r="AM52" i="33"/>
  <c r="W66" i="33" s="1"/>
  <c r="C66" i="33" s="1"/>
  <c r="B64" i="33"/>
  <c r="D64" i="33"/>
  <c r="B66" i="33"/>
  <c r="D66" i="33"/>
  <c r="D68" i="33"/>
  <c r="D70" i="33"/>
  <c r="D72" i="33"/>
  <c r="U75" i="33"/>
  <c r="O63" i="33" s="1"/>
  <c r="D63" i="33"/>
  <c r="B63" i="33"/>
  <c r="W52" i="33"/>
  <c r="W63" i="33" s="1"/>
  <c r="C63" i="33" s="1"/>
  <c r="O64" i="33"/>
  <c r="AC52" i="33"/>
  <c r="W64" i="33" s="1"/>
  <c r="C64" i="33" s="1"/>
  <c r="O65" i="33"/>
  <c r="D65" i="33"/>
  <c r="B65" i="33"/>
  <c r="AI52" i="33"/>
  <c r="W65" i="33" s="1"/>
  <c r="C65" i="33" s="1"/>
  <c r="O66" i="33"/>
  <c r="D67" i="33"/>
  <c r="B67" i="33"/>
  <c r="B68" i="33"/>
  <c r="D69" i="33"/>
  <c r="B69" i="33"/>
  <c r="B70" i="33"/>
  <c r="D71" i="33"/>
  <c r="B71" i="33"/>
  <c r="B72" i="33"/>
  <c r="AU52" i="32"/>
  <c r="W68" i="32" s="1"/>
  <c r="C68" i="32" s="1"/>
  <c r="AM52" i="32"/>
  <c r="W66" i="32" s="1"/>
  <c r="C66" i="32" s="1"/>
  <c r="AI53" i="32"/>
  <c r="U65" i="32"/>
  <c r="U75" i="32" s="1"/>
  <c r="D63" i="32"/>
  <c r="B64" i="32"/>
  <c r="B66" i="32"/>
  <c r="D67" i="32"/>
  <c r="B68" i="32"/>
  <c r="D69" i="32"/>
  <c r="B70" i="32"/>
  <c r="D71" i="32"/>
  <c r="B72" i="32"/>
  <c r="B63" i="32"/>
  <c r="D64" i="32"/>
  <c r="D66" i="32"/>
  <c r="B67" i="32"/>
  <c r="D68" i="32"/>
  <c r="B69" i="32"/>
  <c r="D70" i="32"/>
  <c r="B71" i="32"/>
  <c r="D72" i="32"/>
  <c r="W52" i="32"/>
  <c r="W63" i="32" s="1"/>
  <c r="C63" i="32" s="1"/>
  <c r="AC52" i="32"/>
  <c r="W64" i="32" s="1"/>
  <c r="C64" i="32" s="1"/>
  <c r="AI52" i="32"/>
  <c r="W65" i="32" s="1"/>
  <c r="B69" i="31"/>
  <c r="AU52" i="31"/>
  <c r="W68" i="31" s="1"/>
  <c r="C68" i="31" s="1"/>
  <c r="AQ52" i="31"/>
  <c r="W67" i="31" s="1"/>
  <c r="C67" i="31" s="1"/>
  <c r="B67" i="31"/>
  <c r="AM52" i="31"/>
  <c r="W66" i="31" s="1"/>
  <c r="C66" i="31" s="1"/>
  <c r="U65" i="31"/>
  <c r="U75" i="31" s="1"/>
  <c r="O63" i="31" s="1"/>
  <c r="AI53" i="31"/>
  <c r="B65" i="31"/>
  <c r="D63" i="31"/>
  <c r="B64" i="31"/>
  <c r="D65" i="31"/>
  <c r="B66" i="31"/>
  <c r="D67" i="31"/>
  <c r="B68" i="31"/>
  <c r="D69" i="31"/>
  <c r="B70" i="31"/>
  <c r="D71" i="31"/>
  <c r="B72" i="31"/>
  <c r="D64" i="31"/>
  <c r="D66" i="31"/>
  <c r="D68" i="31"/>
  <c r="D70" i="31"/>
  <c r="D72" i="31"/>
  <c r="W52" i="31"/>
  <c r="W63" i="31" s="1"/>
  <c r="C63" i="31" s="1"/>
  <c r="AC52" i="31"/>
  <c r="W64" i="31" s="1"/>
  <c r="C64" i="31" s="1"/>
  <c r="AI52" i="31"/>
  <c r="W65" i="31" s="1"/>
  <c r="B68" i="30"/>
  <c r="AU52" i="30"/>
  <c r="W68" i="30" s="1"/>
  <c r="C68" i="30" s="1"/>
  <c r="AM52" i="30"/>
  <c r="W66" i="30" s="1"/>
  <c r="C66" i="30" s="1"/>
  <c r="B66" i="30"/>
  <c r="AI53" i="30"/>
  <c r="U65" i="30"/>
  <c r="U75" i="30" s="1"/>
  <c r="O63" i="30" s="1"/>
  <c r="D63" i="30"/>
  <c r="D67" i="30"/>
  <c r="D69" i="30"/>
  <c r="D71" i="30"/>
  <c r="B63" i="30"/>
  <c r="D64" i="30"/>
  <c r="D66" i="30"/>
  <c r="B67" i="30"/>
  <c r="D68" i="30"/>
  <c r="B69" i="30"/>
  <c r="D70" i="30"/>
  <c r="B71" i="30"/>
  <c r="D72" i="30"/>
  <c r="W52" i="30"/>
  <c r="W63" i="30" s="1"/>
  <c r="C63" i="30" s="1"/>
  <c r="AC52" i="30"/>
  <c r="W64" i="30" s="1"/>
  <c r="C64" i="30" s="1"/>
  <c r="AI52" i="30"/>
  <c r="W65" i="30" s="1"/>
  <c r="B64" i="29"/>
  <c r="B72" i="29"/>
  <c r="AY52" i="29"/>
  <c r="W69" i="29" s="1"/>
  <c r="C69" i="29" s="1"/>
  <c r="AQ52" i="29"/>
  <c r="W67" i="29" s="1"/>
  <c r="C67" i="29" s="1"/>
  <c r="B66" i="29"/>
  <c r="U65" i="29"/>
  <c r="B65" i="29" s="1"/>
  <c r="B63" i="29"/>
  <c r="D64" i="29"/>
  <c r="D66" i="29"/>
  <c r="B67" i="29"/>
  <c r="D68" i="29"/>
  <c r="B69" i="29"/>
  <c r="D70" i="29"/>
  <c r="B71" i="29"/>
  <c r="D72" i="29"/>
  <c r="D63" i="29"/>
  <c r="D67" i="29"/>
  <c r="D69" i="29"/>
  <c r="D71" i="29"/>
  <c r="W52" i="29"/>
  <c r="W63" i="29" s="1"/>
  <c r="C63" i="29" s="1"/>
  <c r="AC52" i="29"/>
  <c r="W64" i="29" s="1"/>
  <c r="C64" i="29" s="1"/>
  <c r="AI52" i="29"/>
  <c r="W65" i="29" s="1"/>
  <c r="D77" i="28"/>
  <c r="C77" i="28"/>
  <c r="B77" i="28"/>
  <c r="C76" i="28"/>
  <c r="B76" i="28"/>
  <c r="D75" i="28"/>
  <c r="C75" i="28"/>
  <c r="B75" i="28"/>
  <c r="D74" i="28"/>
  <c r="C74" i="28"/>
  <c r="B74" i="28"/>
  <c r="C73" i="28"/>
  <c r="B73" i="28"/>
  <c r="R72" i="28"/>
  <c r="R71" i="28"/>
  <c r="R70" i="28"/>
  <c r="V69" i="28"/>
  <c r="R69" i="28"/>
  <c r="R68" i="28"/>
  <c r="V67" i="28"/>
  <c r="R67" i="28"/>
  <c r="R66" i="28"/>
  <c r="V65" i="28"/>
  <c r="R65" i="28"/>
  <c r="R64" i="28"/>
  <c r="V63" i="28"/>
  <c r="R63" i="28"/>
  <c r="X62" i="28"/>
  <c r="W62" i="28"/>
  <c r="C62" i="28" s="1"/>
  <c r="V62" i="28"/>
  <c r="D62" i="28"/>
  <c r="B62" i="28"/>
  <c r="U60" i="28"/>
  <c r="BL52" i="28"/>
  <c r="X72" i="28" s="1"/>
  <c r="BJ52" i="28"/>
  <c r="V72" i="28" s="1"/>
  <c r="BI52" i="28"/>
  <c r="U72" i="28" s="1"/>
  <c r="BH52" i="28"/>
  <c r="X71" i="28" s="1"/>
  <c r="BF52" i="28"/>
  <c r="V71" i="28" s="1"/>
  <c r="B71" i="28" s="1"/>
  <c r="BE52" i="28"/>
  <c r="U71" i="28" s="1"/>
  <c r="BD52" i="28"/>
  <c r="X70" i="28" s="1"/>
  <c r="BB52" i="28"/>
  <c r="V70" i="28" s="1"/>
  <c r="BA52" i="28"/>
  <c r="U70" i="28" s="1"/>
  <c r="AZ52" i="28"/>
  <c r="X69" i="28" s="1"/>
  <c r="AX52" i="28"/>
  <c r="AW52" i="28"/>
  <c r="U69" i="28" s="1"/>
  <c r="AV52" i="28"/>
  <c r="X68" i="28" s="1"/>
  <c r="AT52" i="28"/>
  <c r="V68" i="28" s="1"/>
  <c r="AS52" i="28"/>
  <c r="U68" i="28" s="1"/>
  <c r="AR52" i="28"/>
  <c r="X67" i="28" s="1"/>
  <c r="AP52" i="28"/>
  <c r="AO52" i="28"/>
  <c r="U67" i="28" s="1"/>
  <c r="AN52" i="28"/>
  <c r="X66" i="28" s="1"/>
  <c r="AL52" i="28"/>
  <c r="V66" i="28" s="1"/>
  <c r="AK52" i="28"/>
  <c r="U66" i="28" s="1"/>
  <c r="AJ52" i="28"/>
  <c r="X65" i="28" s="1"/>
  <c r="AH52" i="28"/>
  <c r="AG52" i="28"/>
  <c r="AF52" i="28"/>
  <c r="AE52" i="28"/>
  <c r="U65" i="28" s="1"/>
  <c r="AD52" i="28"/>
  <c r="X64" i="28" s="1"/>
  <c r="AB52" i="28"/>
  <c r="V64" i="28" s="1"/>
  <c r="AA52" i="28"/>
  <c r="Z52" i="28"/>
  <c r="Y52" i="28"/>
  <c r="X52" i="28"/>
  <c r="X63" i="28" s="1"/>
  <c r="V52" i="28"/>
  <c r="U52" i="28"/>
  <c r="T52" i="28"/>
  <c r="S52" i="28"/>
  <c r="U63" i="28" s="1"/>
  <c r="L51" i="28"/>
  <c r="K51" i="28"/>
  <c r="J51" i="28"/>
  <c r="I51" i="28"/>
  <c r="H51" i="28"/>
  <c r="G51" i="28"/>
  <c r="F51" i="28"/>
  <c r="E51" i="28"/>
  <c r="D51" i="28"/>
  <c r="C51" i="28"/>
  <c r="B51" i="28"/>
  <c r="L50" i="28"/>
  <c r="K50" i="28"/>
  <c r="J50" i="28"/>
  <c r="I50" i="28"/>
  <c r="H50" i="28"/>
  <c r="G50" i="28"/>
  <c r="F50" i="28"/>
  <c r="E50" i="28"/>
  <c r="D50" i="28"/>
  <c r="C50" i="28"/>
  <c r="B50" i="28"/>
  <c r="L49" i="28"/>
  <c r="K49" i="28"/>
  <c r="J49" i="28"/>
  <c r="I49" i="28"/>
  <c r="H49" i="28"/>
  <c r="G49" i="28"/>
  <c r="F49" i="28"/>
  <c r="E49" i="28"/>
  <c r="D49" i="28"/>
  <c r="C49" i="28"/>
  <c r="B49" i="28"/>
  <c r="L48" i="28"/>
  <c r="K48" i="28"/>
  <c r="J48" i="28"/>
  <c r="I48" i="28"/>
  <c r="H48" i="28"/>
  <c r="G48" i="28"/>
  <c r="F48" i="28"/>
  <c r="E48" i="28"/>
  <c r="D48" i="28"/>
  <c r="C48" i="28"/>
  <c r="B48" i="28"/>
  <c r="L47" i="28"/>
  <c r="K47" i="28"/>
  <c r="J47" i="28"/>
  <c r="I47" i="28"/>
  <c r="H47" i="28"/>
  <c r="G47" i="28"/>
  <c r="F47" i="28"/>
  <c r="E47" i="28"/>
  <c r="D47" i="28"/>
  <c r="C47" i="28"/>
  <c r="B47" i="28"/>
  <c r="L46" i="28"/>
  <c r="K46" i="28"/>
  <c r="J46" i="28"/>
  <c r="I46" i="28"/>
  <c r="H46" i="28"/>
  <c r="G46" i="28"/>
  <c r="F46" i="28"/>
  <c r="E46" i="28"/>
  <c r="D46" i="28"/>
  <c r="C46" i="28"/>
  <c r="B46" i="28"/>
  <c r="L45" i="28"/>
  <c r="K45" i="28"/>
  <c r="J45" i="28"/>
  <c r="I45" i="28"/>
  <c r="H45" i="28"/>
  <c r="G45" i="28"/>
  <c r="F45" i="28"/>
  <c r="E45" i="28"/>
  <c r="D45" i="28"/>
  <c r="C45" i="28"/>
  <c r="B45" i="28"/>
  <c r="L44" i="28"/>
  <c r="K44" i="28"/>
  <c r="J44" i="28"/>
  <c r="I44" i="28"/>
  <c r="H44" i="28"/>
  <c r="G44" i="28"/>
  <c r="F44" i="28"/>
  <c r="E44" i="28"/>
  <c r="D44" i="28"/>
  <c r="C44" i="28"/>
  <c r="B44" i="28"/>
  <c r="L43" i="28"/>
  <c r="K43" i="28"/>
  <c r="J43" i="28"/>
  <c r="I43" i="28"/>
  <c r="H43" i="28"/>
  <c r="G43" i="28"/>
  <c r="F43" i="28"/>
  <c r="E43" i="28"/>
  <c r="D43" i="28"/>
  <c r="C43" i="28"/>
  <c r="B43" i="28"/>
  <c r="L42" i="28"/>
  <c r="K42" i="28"/>
  <c r="J42" i="28"/>
  <c r="I42" i="28"/>
  <c r="H42" i="28"/>
  <c r="G42" i="28"/>
  <c r="F42" i="28"/>
  <c r="E42" i="28"/>
  <c r="D42" i="28"/>
  <c r="C42" i="28"/>
  <c r="B42" i="28"/>
  <c r="L41" i="28"/>
  <c r="K41" i="28"/>
  <c r="J41" i="28"/>
  <c r="I41" i="28"/>
  <c r="H41" i="28"/>
  <c r="G41" i="28"/>
  <c r="F41" i="28"/>
  <c r="E41" i="28"/>
  <c r="D41" i="28"/>
  <c r="C41" i="28"/>
  <c r="B41" i="28"/>
  <c r="L40" i="28"/>
  <c r="K40" i="28"/>
  <c r="J40" i="28"/>
  <c r="I40" i="28"/>
  <c r="H40" i="28"/>
  <c r="G40" i="28"/>
  <c r="F40" i="28"/>
  <c r="E40" i="28"/>
  <c r="D40" i="28"/>
  <c r="C40" i="28"/>
  <c r="B40" i="28"/>
  <c r="L39" i="28"/>
  <c r="K39" i="28"/>
  <c r="J39" i="28"/>
  <c r="I39" i="28"/>
  <c r="H39" i="28"/>
  <c r="G39" i="28"/>
  <c r="F39" i="28"/>
  <c r="E39" i="28"/>
  <c r="D39" i="28"/>
  <c r="C39" i="28"/>
  <c r="B39" i="28"/>
  <c r="L38" i="28"/>
  <c r="K38" i="28"/>
  <c r="J38" i="28"/>
  <c r="I38" i="28"/>
  <c r="H38" i="28"/>
  <c r="G38" i="28"/>
  <c r="F38" i="28"/>
  <c r="E38" i="28"/>
  <c r="D38" i="28"/>
  <c r="C38" i="28"/>
  <c r="B38" i="28"/>
  <c r="L37" i="28"/>
  <c r="K37" i="28"/>
  <c r="J37" i="28"/>
  <c r="I37" i="28"/>
  <c r="H37" i="28"/>
  <c r="G37" i="28"/>
  <c r="F37" i="28"/>
  <c r="E37" i="28"/>
  <c r="D37" i="28"/>
  <c r="C37" i="28"/>
  <c r="B37" i="28"/>
  <c r="L36" i="28"/>
  <c r="K36" i="28"/>
  <c r="J36" i="28"/>
  <c r="I36" i="28"/>
  <c r="H36" i="28"/>
  <c r="G36" i="28"/>
  <c r="F36" i="28"/>
  <c r="E36" i="28"/>
  <c r="D36" i="28"/>
  <c r="C36" i="28"/>
  <c r="B36" i="28"/>
  <c r="L35" i="28"/>
  <c r="K35" i="28"/>
  <c r="J35" i="28"/>
  <c r="I35" i="28"/>
  <c r="H35" i="28"/>
  <c r="G35" i="28"/>
  <c r="F35" i="28"/>
  <c r="E35" i="28"/>
  <c r="D35" i="28"/>
  <c r="C35" i="28"/>
  <c r="B35" i="28"/>
  <c r="L34" i="28"/>
  <c r="K34" i="28"/>
  <c r="J34" i="28"/>
  <c r="I34" i="28"/>
  <c r="H34" i="28"/>
  <c r="G34" i="28"/>
  <c r="F34" i="28"/>
  <c r="E34" i="28"/>
  <c r="D34" i="28"/>
  <c r="C34" i="28"/>
  <c r="B34" i="28"/>
  <c r="L33" i="28"/>
  <c r="K33" i="28"/>
  <c r="J33" i="28"/>
  <c r="I33" i="28"/>
  <c r="H33" i="28"/>
  <c r="G33" i="28"/>
  <c r="F33" i="28"/>
  <c r="E33" i="28"/>
  <c r="D33" i="28"/>
  <c r="C33" i="28"/>
  <c r="B33" i="28"/>
  <c r="L32" i="28"/>
  <c r="K32" i="28"/>
  <c r="J32" i="28"/>
  <c r="I32" i="28"/>
  <c r="H32" i="28"/>
  <c r="G32" i="28"/>
  <c r="F32" i="28"/>
  <c r="E32" i="28"/>
  <c r="D32" i="28"/>
  <c r="C32" i="28"/>
  <c r="B32" i="28"/>
  <c r="L31" i="28"/>
  <c r="K31" i="28"/>
  <c r="J31" i="28"/>
  <c r="I31" i="28"/>
  <c r="H31" i="28"/>
  <c r="G31" i="28"/>
  <c r="F31" i="28"/>
  <c r="E31" i="28"/>
  <c r="D31" i="28"/>
  <c r="C31" i="28"/>
  <c r="B31" i="28"/>
  <c r="L30" i="28"/>
  <c r="K30" i="28"/>
  <c r="J30" i="28"/>
  <c r="I30" i="28"/>
  <c r="H30" i="28"/>
  <c r="G30" i="28"/>
  <c r="F30" i="28"/>
  <c r="E30" i="28"/>
  <c r="D30" i="28"/>
  <c r="C30" i="28"/>
  <c r="B30" i="28"/>
  <c r="L29" i="28"/>
  <c r="K29" i="28"/>
  <c r="J29" i="28"/>
  <c r="I29" i="28"/>
  <c r="H29" i="28"/>
  <c r="G29" i="28"/>
  <c r="F29" i="28"/>
  <c r="E29" i="28"/>
  <c r="D29" i="28"/>
  <c r="C29" i="28"/>
  <c r="B29" i="28"/>
  <c r="L28" i="28"/>
  <c r="K28" i="28"/>
  <c r="J28" i="28"/>
  <c r="I28" i="28"/>
  <c r="H28" i="28"/>
  <c r="G28" i="28"/>
  <c r="F28" i="28"/>
  <c r="E28" i="28"/>
  <c r="D28" i="28"/>
  <c r="C28" i="28"/>
  <c r="B28" i="28"/>
  <c r="L27" i="28"/>
  <c r="K27" i="28"/>
  <c r="J27" i="28"/>
  <c r="I27" i="28"/>
  <c r="H27" i="28"/>
  <c r="G27" i="28"/>
  <c r="F27" i="28"/>
  <c r="E27" i="28"/>
  <c r="D27" i="28"/>
  <c r="C27" i="28"/>
  <c r="B27" i="28"/>
  <c r="L26" i="28"/>
  <c r="K26" i="28"/>
  <c r="J26" i="28"/>
  <c r="I26" i="28"/>
  <c r="H26" i="28"/>
  <c r="G26" i="28"/>
  <c r="F26" i="28"/>
  <c r="E26" i="28"/>
  <c r="D26" i="28"/>
  <c r="C26" i="28"/>
  <c r="B26" i="28"/>
  <c r="L25" i="28"/>
  <c r="K25" i="28"/>
  <c r="J25" i="28"/>
  <c r="I25" i="28"/>
  <c r="H25" i="28"/>
  <c r="G25" i="28"/>
  <c r="F25" i="28"/>
  <c r="E25" i="28"/>
  <c r="D25" i="28"/>
  <c r="C25" i="28"/>
  <c r="B25" i="28"/>
  <c r="L24" i="28"/>
  <c r="K24" i="28"/>
  <c r="J24" i="28"/>
  <c r="I24" i="28"/>
  <c r="H24" i="28"/>
  <c r="G24" i="28"/>
  <c r="F24" i="28"/>
  <c r="E24" i="28"/>
  <c r="D24" i="28"/>
  <c r="C24" i="28"/>
  <c r="B24" i="28"/>
  <c r="L23" i="28"/>
  <c r="K23" i="28"/>
  <c r="J23" i="28"/>
  <c r="I23" i="28"/>
  <c r="H23" i="28"/>
  <c r="G23" i="28"/>
  <c r="F23" i="28"/>
  <c r="E23" i="28"/>
  <c r="D23" i="28"/>
  <c r="C23" i="28"/>
  <c r="B23" i="28"/>
  <c r="L22" i="28"/>
  <c r="K22" i="28"/>
  <c r="J22" i="28"/>
  <c r="I22" i="28"/>
  <c r="H22" i="28"/>
  <c r="G22" i="28"/>
  <c r="F22" i="28"/>
  <c r="E22" i="28"/>
  <c r="D22" i="28"/>
  <c r="C22" i="28"/>
  <c r="B22" i="28"/>
  <c r="L21" i="28"/>
  <c r="K21" i="28"/>
  <c r="BK52" i="28" s="1"/>
  <c r="W72" i="28" s="1"/>
  <c r="J21" i="28"/>
  <c r="I21" i="28"/>
  <c r="BC52" i="28" s="1"/>
  <c r="W70" i="28" s="1"/>
  <c r="H21" i="28"/>
  <c r="G21" i="28"/>
  <c r="F21" i="28"/>
  <c r="E21" i="28"/>
  <c r="D21" i="28"/>
  <c r="C21" i="28"/>
  <c r="AI53" i="28" s="1"/>
  <c r="B21" i="28"/>
  <c r="L20" i="28"/>
  <c r="K20" i="28"/>
  <c r="J20" i="28"/>
  <c r="BG52" i="28" s="1"/>
  <c r="W71" i="28" s="1"/>
  <c r="C71" i="28" s="1"/>
  <c r="I20" i="28"/>
  <c r="H20" i="28"/>
  <c r="AY52" i="28" s="1"/>
  <c r="W69" i="28" s="1"/>
  <c r="C69" i="28" s="1"/>
  <c r="G20" i="28"/>
  <c r="F20" i="28"/>
  <c r="E20" i="28"/>
  <c r="D20" i="28"/>
  <c r="W53" i="28" s="1"/>
  <c r="C20" i="28"/>
  <c r="B20" i="28"/>
  <c r="K19" i="28"/>
  <c r="J19" i="28"/>
  <c r="I19" i="28"/>
  <c r="H19" i="28"/>
  <c r="G19" i="28"/>
  <c r="F19" i="28"/>
  <c r="E19" i="28"/>
  <c r="D19" i="28"/>
  <c r="C19" i="28"/>
  <c r="B19" i="28"/>
  <c r="O69" i="37" l="1"/>
  <c r="V75" i="37"/>
  <c r="O65" i="37"/>
  <c r="O66" i="37"/>
  <c r="W75" i="37"/>
  <c r="O63" i="37"/>
  <c r="O67" i="37"/>
  <c r="O71" i="37"/>
  <c r="O70" i="37"/>
  <c r="X75" i="37"/>
  <c r="O72" i="37"/>
  <c r="O65" i="36"/>
  <c r="O66" i="36"/>
  <c r="O69" i="36"/>
  <c r="O70" i="36"/>
  <c r="X75" i="36"/>
  <c r="O67" i="36"/>
  <c r="O71" i="36"/>
  <c r="O64" i="36"/>
  <c r="O68" i="36"/>
  <c r="V75" i="36"/>
  <c r="O65" i="35"/>
  <c r="O66" i="35"/>
  <c r="O69" i="35"/>
  <c r="O64" i="35"/>
  <c r="X75" i="35"/>
  <c r="O67" i="35"/>
  <c r="O71" i="35"/>
  <c r="O70" i="35"/>
  <c r="O72" i="35"/>
  <c r="V75" i="35"/>
  <c r="W75" i="35"/>
  <c r="C65" i="34"/>
  <c r="U75" i="34"/>
  <c r="O69" i="34" s="1"/>
  <c r="D63" i="34"/>
  <c r="O63" i="34"/>
  <c r="C63" i="34"/>
  <c r="B63" i="34"/>
  <c r="O71" i="33"/>
  <c r="O69" i="33"/>
  <c r="O67" i="33"/>
  <c r="W75" i="33"/>
  <c r="X75" i="33"/>
  <c r="V75" i="33"/>
  <c r="O72" i="33"/>
  <c r="O70" i="33"/>
  <c r="O68" i="33"/>
  <c r="B65" i="32"/>
  <c r="D65" i="32"/>
  <c r="O63" i="32"/>
  <c r="O70" i="32"/>
  <c r="C65" i="32"/>
  <c r="W75" i="32" s="1"/>
  <c r="O66" i="32"/>
  <c r="O69" i="32"/>
  <c r="O72" i="32"/>
  <c r="O68" i="32"/>
  <c r="O64" i="32"/>
  <c r="O71" i="32"/>
  <c r="O65" i="32"/>
  <c r="O67" i="32"/>
  <c r="X75" i="32"/>
  <c r="V75" i="32"/>
  <c r="C65" i="31"/>
  <c r="O72" i="31"/>
  <c r="O70" i="31"/>
  <c r="O68" i="31"/>
  <c r="O66" i="31"/>
  <c r="O64" i="31"/>
  <c r="O69" i="31"/>
  <c r="O71" i="31"/>
  <c r="O65" i="31"/>
  <c r="O67" i="31"/>
  <c r="W75" i="31"/>
  <c r="X75" i="31"/>
  <c r="V75" i="31"/>
  <c r="C65" i="30"/>
  <c r="B65" i="30"/>
  <c r="D65" i="30"/>
  <c r="O68" i="30"/>
  <c r="O72" i="30"/>
  <c r="O64" i="30"/>
  <c r="O70" i="30"/>
  <c r="O66" i="30"/>
  <c r="O71" i="30"/>
  <c r="O69" i="30"/>
  <c r="O67" i="30"/>
  <c r="O65" i="30"/>
  <c r="W75" i="30"/>
  <c r="X75" i="30"/>
  <c r="V75" i="30"/>
  <c r="C65" i="29"/>
  <c r="D65" i="29"/>
  <c r="U75" i="29"/>
  <c r="O63" i="29" s="1"/>
  <c r="AC53" i="28"/>
  <c r="AU52" i="28"/>
  <c r="W68" i="28" s="1"/>
  <c r="U64" i="28"/>
  <c r="D64" i="28" s="1"/>
  <c r="AQ52" i="28"/>
  <c r="W67" i="28" s="1"/>
  <c r="C67" i="28" s="1"/>
  <c r="AM52" i="28"/>
  <c r="W66" i="28" s="1"/>
  <c r="C66" i="28" s="1"/>
  <c r="D66" i="28"/>
  <c r="D68" i="28"/>
  <c r="D70" i="28"/>
  <c r="D72" i="28"/>
  <c r="C68" i="28"/>
  <c r="C70" i="28"/>
  <c r="C72" i="28"/>
  <c r="D63" i="28"/>
  <c r="B63" i="28"/>
  <c r="B64" i="28"/>
  <c r="D65" i="28"/>
  <c r="B65" i="28"/>
  <c r="B66" i="28"/>
  <c r="D67" i="28"/>
  <c r="B67" i="28"/>
  <c r="B68" i="28"/>
  <c r="D69" i="28"/>
  <c r="B69" i="28"/>
  <c r="B70" i="28"/>
  <c r="D71" i="28"/>
  <c r="B72" i="28"/>
  <c r="W52" i="28"/>
  <c r="W63" i="28" s="1"/>
  <c r="C63" i="28" s="1"/>
  <c r="AC52" i="28"/>
  <c r="W64" i="28" s="1"/>
  <c r="AI52" i="28"/>
  <c r="W65" i="28" s="1"/>
  <c r="C65" i="28" s="1"/>
  <c r="D77" i="27"/>
  <c r="C77" i="27"/>
  <c r="B77" i="27"/>
  <c r="C76" i="27"/>
  <c r="B76" i="27"/>
  <c r="D75" i="27"/>
  <c r="C75" i="27"/>
  <c r="B75" i="27"/>
  <c r="D74" i="27"/>
  <c r="C74" i="27"/>
  <c r="B74" i="27"/>
  <c r="C73" i="27"/>
  <c r="B73" i="27"/>
  <c r="R72" i="27"/>
  <c r="R71" i="27"/>
  <c r="R70" i="27"/>
  <c r="R69" i="27"/>
  <c r="R68" i="27"/>
  <c r="R67" i="27"/>
  <c r="R66" i="27"/>
  <c r="R65" i="27"/>
  <c r="R64" i="27"/>
  <c r="R63" i="27"/>
  <c r="X62" i="27"/>
  <c r="D62" i="27" s="1"/>
  <c r="W62" i="27"/>
  <c r="V62" i="27"/>
  <c r="B62" i="27" s="1"/>
  <c r="C62" i="27"/>
  <c r="U60" i="27"/>
  <c r="BL52" i="27"/>
  <c r="X72" i="27" s="1"/>
  <c r="BJ52" i="27"/>
  <c r="V72" i="27" s="1"/>
  <c r="BI52" i="27"/>
  <c r="U72" i="27" s="1"/>
  <c r="BH52" i="27"/>
  <c r="X71" i="27" s="1"/>
  <c r="BF52" i="27"/>
  <c r="V71" i="27" s="1"/>
  <c r="B71" i="27" s="1"/>
  <c r="BE52" i="27"/>
  <c r="U71" i="27" s="1"/>
  <c r="BD52" i="27"/>
  <c r="X70" i="27" s="1"/>
  <c r="BB52" i="27"/>
  <c r="V70" i="27" s="1"/>
  <c r="BA52" i="27"/>
  <c r="U70" i="27" s="1"/>
  <c r="AZ52" i="27"/>
  <c r="X69" i="27" s="1"/>
  <c r="AX52" i="27"/>
  <c r="V69" i="27" s="1"/>
  <c r="AW52" i="27"/>
  <c r="U69" i="27" s="1"/>
  <c r="AV52" i="27"/>
  <c r="X68" i="27" s="1"/>
  <c r="AT52" i="27"/>
  <c r="V68" i="27" s="1"/>
  <c r="AS52" i="27"/>
  <c r="U68" i="27" s="1"/>
  <c r="AR52" i="27"/>
  <c r="X67" i="27" s="1"/>
  <c r="AP52" i="27"/>
  <c r="V67" i="27" s="1"/>
  <c r="AO52" i="27"/>
  <c r="U67" i="27" s="1"/>
  <c r="AN52" i="27"/>
  <c r="X66" i="27" s="1"/>
  <c r="AL52" i="27"/>
  <c r="V66" i="27" s="1"/>
  <c r="AK52" i="27"/>
  <c r="U66" i="27" s="1"/>
  <c r="AJ52" i="27"/>
  <c r="X65" i="27" s="1"/>
  <c r="AH52" i="27"/>
  <c r="V65" i="27" s="1"/>
  <c r="AG52" i="27"/>
  <c r="AF52" i="27"/>
  <c r="AE52" i="27"/>
  <c r="AD52" i="27"/>
  <c r="X64" i="27" s="1"/>
  <c r="AB52" i="27"/>
  <c r="V64" i="27" s="1"/>
  <c r="AA52" i="27"/>
  <c r="Z52" i="27"/>
  <c r="Y52" i="27"/>
  <c r="U64" i="27" s="1"/>
  <c r="X52" i="27"/>
  <c r="X63" i="27" s="1"/>
  <c r="V52" i="27"/>
  <c r="V63" i="27" s="1"/>
  <c r="B63" i="27" s="1"/>
  <c r="U52" i="27"/>
  <c r="T52" i="27"/>
  <c r="S52" i="27"/>
  <c r="U63" i="27" s="1"/>
  <c r="L51" i="27"/>
  <c r="K51" i="27"/>
  <c r="J51" i="27"/>
  <c r="I51" i="27"/>
  <c r="H51" i="27"/>
  <c r="G51" i="27"/>
  <c r="F51" i="27"/>
  <c r="E51" i="27"/>
  <c r="D51" i="27"/>
  <c r="C51" i="27"/>
  <c r="B51" i="27"/>
  <c r="L50" i="27"/>
  <c r="K50" i="27"/>
  <c r="J50" i="27"/>
  <c r="I50" i="27"/>
  <c r="H50" i="27"/>
  <c r="G50" i="27"/>
  <c r="F50" i="27"/>
  <c r="E50" i="27"/>
  <c r="D50" i="27"/>
  <c r="C50" i="27"/>
  <c r="B50" i="27"/>
  <c r="L49" i="27"/>
  <c r="K49" i="27"/>
  <c r="J49" i="27"/>
  <c r="I49" i="27"/>
  <c r="H49" i="27"/>
  <c r="G49" i="27"/>
  <c r="F49" i="27"/>
  <c r="E49" i="27"/>
  <c r="D49" i="27"/>
  <c r="C49" i="27"/>
  <c r="B49" i="27"/>
  <c r="L48" i="27"/>
  <c r="K48" i="27"/>
  <c r="J48" i="27"/>
  <c r="I48" i="27"/>
  <c r="H48" i="27"/>
  <c r="G48" i="27"/>
  <c r="F48" i="27"/>
  <c r="E48" i="27"/>
  <c r="D48" i="27"/>
  <c r="C48" i="27"/>
  <c r="B48" i="27"/>
  <c r="L47" i="27"/>
  <c r="K47" i="27"/>
  <c r="J47" i="27"/>
  <c r="I47" i="27"/>
  <c r="H47" i="27"/>
  <c r="G47" i="27"/>
  <c r="F47" i="27"/>
  <c r="E47" i="27"/>
  <c r="D47" i="27"/>
  <c r="C47" i="27"/>
  <c r="B47" i="27"/>
  <c r="L46" i="27"/>
  <c r="K46" i="27"/>
  <c r="J46" i="27"/>
  <c r="I46" i="27"/>
  <c r="H46" i="27"/>
  <c r="G46" i="27"/>
  <c r="F46" i="27"/>
  <c r="E46" i="27"/>
  <c r="D46" i="27"/>
  <c r="C46" i="27"/>
  <c r="B46" i="27"/>
  <c r="L45" i="27"/>
  <c r="K45" i="27"/>
  <c r="J45" i="27"/>
  <c r="I45" i="27"/>
  <c r="H45" i="27"/>
  <c r="G45" i="27"/>
  <c r="F45" i="27"/>
  <c r="E45" i="27"/>
  <c r="D45" i="27"/>
  <c r="C45" i="27"/>
  <c r="B45" i="27"/>
  <c r="L44" i="27"/>
  <c r="K44" i="27"/>
  <c r="J44" i="27"/>
  <c r="I44" i="27"/>
  <c r="H44" i="27"/>
  <c r="G44" i="27"/>
  <c r="F44" i="27"/>
  <c r="E44" i="27"/>
  <c r="D44" i="27"/>
  <c r="C44" i="27"/>
  <c r="B44" i="27"/>
  <c r="L43" i="27"/>
  <c r="K43" i="27"/>
  <c r="J43" i="27"/>
  <c r="I43" i="27"/>
  <c r="H43" i="27"/>
  <c r="G43" i="27"/>
  <c r="F43" i="27"/>
  <c r="E43" i="27"/>
  <c r="D43" i="27"/>
  <c r="C43" i="27"/>
  <c r="B43" i="27"/>
  <c r="L42" i="27"/>
  <c r="K42" i="27"/>
  <c r="J42" i="27"/>
  <c r="I42" i="27"/>
  <c r="H42" i="27"/>
  <c r="G42" i="27"/>
  <c r="F42" i="27"/>
  <c r="E42" i="27"/>
  <c r="D42" i="27"/>
  <c r="C42" i="27"/>
  <c r="B42" i="27"/>
  <c r="L41" i="27"/>
  <c r="K41" i="27"/>
  <c r="J41" i="27"/>
  <c r="I41" i="27"/>
  <c r="H41" i="27"/>
  <c r="G41" i="27"/>
  <c r="F41" i="27"/>
  <c r="E41" i="27"/>
  <c r="D41" i="27"/>
  <c r="C41" i="27"/>
  <c r="B41" i="27"/>
  <c r="L40" i="27"/>
  <c r="K40" i="27"/>
  <c r="J40" i="27"/>
  <c r="I40" i="27"/>
  <c r="H40" i="27"/>
  <c r="G40" i="27"/>
  <c r="F40" i="27"/>
  <c r="E40" i="27"/>
  <c r="D40" i="27"/>
  <c r="C40" i="27"/>
  <c r="B40" i="27"/>
  <c r="L39" i="27"/>
  <c r="K39" i="27"/>
  <c r="J39" i="27"/>
  <c r="I39" i="27"/>
  <c r="H39" i="27"/>
  <c r="G39" i="27"/>
  <c r="F39" i="27"/>
  <c r="E39" i="27"/>
  <c r="D39" i="27"/>
  <c r="C39" i="27"/>
  <c r="B39" i="27"/>
  <c r="L38" i="27"/>
  <c r="K38" i="27"/>
  <c r="J38" i="27"/>
  <c r="I38" i="27"/>
  <c r="H38" i="27"/>
  <c r="G38" i="27"/>
  <c r="F38" i="27"/>
  <c r="E38" i="27"/>
  <c r="D38" i="27"/>
  <c r="C38" i="27"/>
  <c r="B38" i="27"/>
  <c r="L37" i="27"/>
  <c r="K37" i="27"/>
  <c r="J37" i="27"/>
  <c r="I37" i="27"/>
  <c r="H37" i="27"/>
  <c r="G37" i="27"/>
  <c r="F37" i="27"/>
  <c r="E37" i="27"/>
  <c r="D37" i="27"/>
  <c r="C37" i="27"/>
  <c r="B37" i="27"/>
  <c r="L36" i="27"/>
  <c r="K36" i="27"/>
  <c r="J36" i="27"/>
  <c r="I36" i="27"/>
  <c r="H36" i="27"/>
  <c r="G36" i="27"/>
  <c r="F36" i="27"/>
  <c r="E36" i="27"/>
  <c r="D36" i="27"/>
  <c r="C36" i="27"/>
  <c r="B36" i="27"/>
  <c r="L35" i="27"/>
  <c r="K35" i="27"/>
  <c r="J35" i="27"/>
  <c r="I35" i="27"/>
  <c r="H35" i="27"/>
  <c r="G35" i="27"/>
  <c r="F35" i="27"/>
  <c r="E35" i="27"/>
  <c r="D35" i="27"/>
  <c r="C35" i="27"/>
  <c r="B35" i="27"/>
  <c r="L34" i="27"/>
  <c r="K34" i="27"/>
  <c r="J34" i="27"/>
  <c r="I34" i="27"/>
  <c r="H34" i="27"/>
  <c r="G34" i="27"/>
  <c r="F34" i="27"/>
  <c r="E34" i="27"/>
  <c r="D34" i="27"/>
  <c r="C34" i="27"/>
  <c r="B34" i="27"/>
  <c r="L33" i="27"/>
  <c r="K33" i="27"/>
  <c r="J33" i="27"/>
  <c r="I33" i="27"/>
  <c r="H33" i="27"/>
  <c r="G33" i="27"/>
  <c r="F33" i="27"/>
  <c r="E33" i="27"/>
  <c r="D33" i="27"/>
  <c r="C33" i="27"/>
  <c r="B33" i="27"/>
  <c r="L32" i="27"/>
  <c r="K32" i="27"/>
  <c r="J32" i="27"/>
  <c r="I32" i="27"/>
  <c r="H32" i="27"/>
  <c r="G32" i="27"/>
  <c r="F32" i="27"/>
  <c r="E32" i="27"/>
  <c r="D32" i="27"/>
  <c r="C32" i="27"/>
  <c r="B32" i="27"/>
  <c r="L31" i="27"/>
  <c r="K31" i="27"/>
  <c r="J31" i="27"/>
  <c r="I31" i="27"/>
  <c r="H31" i="27"/>
  <c r="G31" i="27"/>
  <c r="F31" i="27"/>
  <c r="E31" i="27"/>
  <c r="D31" i="27"/>
  <c r="C31" i="27"/>
  <c r="B31" i="27"/>
  <c r="L30" i="27"/>
  <c r="K30" i="27"/>
  <c r="J30" i="27"/>
  <c r="I30" i="27"/>
  <c r="H30" i="27"/>
  <c r="G30" i="27"/>
  <c r="F30" i="27"/>
  <c r="E30" i="27"/>
  <c r="D30" i="27"/>
  <c r="C30" i="27"/>
  <c r="B30" i="27"/>
  <c r="L29" i="27"/>
  <c r="K29" i="27"/>
  <c r="J29" i="27"/>
  <c r="I29" i="27"/>
  <c r="H29" i="27"/>
  <c r="G29" i="27"/>
  <c r="F29" i="27"/>
  <c r="E29" i="27"/>
  <c r="D29" i="27"/>
  <c r="C29" i="27"/>
  <c r="B29" i="27"/>
  <c r="L28" i="27"/>
  <c r="K28" i="27"/>
  <c r="J28" i="27"/>
  <c r="I28" i="27"/>
  <c r="H28" i="27"/>
  <c r="G28" i="27"/>
  <c r="F28" i="27"/>
  <c r="E28" i="27"/>
  <c r="D28" i="27"/>
  <c r="C28" i="27"/>
  <c r="B28" i="27"/>
  <c r="L27" i="27"/>
  <c r="K27" i="27"/>
  <c r="J27" i="27"/>
  <c r="I27" i="27"/>
  <c r="H27" i="27"/>
  <c r="G27" i="27"/>
  <c r="F27" i="27"/>
  <c r="E27" i="27"/>
  <c r="D27" i="27"/>
  <c r="C27" i="27"/>
  <c r="B27" i="27"/>
  <c r="L26" i="27"/>
  <c r="K26" i="27"/>
  <c r="J26" i="27"/>
  <c r="I26" i="27"/>
  <c r="H26" i="27"/>
  <c r="G26" i="27"/>
  <c r="F26" i="27"/>
  <c r="E26" i="27"/>
  <c r="D26" i="27"/>
  <c r="C26" i="27"/>
  <c r="B26" i="27"/>
  <c r="L25" i="27"/>
  <c r="K25" i="27"/>
  <c r="J25" i="27"/>
  <c r="I25" i="27"/>
  <c r="H25" i="27"/>
  <c r="G25" i="27"/>
  <c r="F25" i="27"/>
  <c r="E25" i="27"/>
  <c r="D25" i="27"/>
  <c r="C25" i="27"/>
  <c r="B25" i="27"/>
  <c r="L24" i="27"/>
  <c r="K24" i="27"/>
  <c r="J24" i="27"/>
  <c r="I24" i="27"/>
  <c r="H24" i="27"/>
  <c r="G24" i="27"/>
  <c r="F24" i="27"/>
  <c r="E24" i="27"/>
  <c r="D24" i="27"/>
  <c r="C24" i="27"/>
  <c r="B24" i="27"/>
  <c r="L23" i="27"/>
  <c r="K23" i="27"/>
  <c r="J23" i="27"/>
  <c r="I23" i="27"/>
  <c r="H23" i="27"/>
  <c r="G23" i="27"/>
  <c r="F23" i="27"/>
  <c r="E23" i="27"/>
  <c r="D23" i="27"/>
  <c r="C23" i="27"/>
  <c r="B23" i="27"/>
  <c r="L22" i="27"/>
  <c r="K22" i="27"/>
  <c r="J22" i="27"/>
  <c r="I22" i="27"/>
  <c r="H22" i="27"/>
  <c r="G22" i="27"/>
  <c r="F22" i="27"/>
  <c r="E22" i="27"/>
  <c r="D22" i="27"/>
  <c r="C22" i="27"/>
  <c r="B22" i="27"/>
  <c r="L21" i="27"/>
  <c r="K21" i="27"/>
  <c r="J21" i="27"/>
  <c r="I21" i="27"/>
  <c r="H21" i="27"/>
  <c r="G21" i="27"/>
  <c r="F21" i="27"/>
  <c r="E21" i="27"/>
  <c r="D21" i="27"/>
  <c r="C21" i="27"/>
  <c r="B21" i="27"/>
  <c r="L20" i="27"/>
  <c r="K20" i="27"/>
  <c r="BK52" i="27" s="1"/>
  <c r="W72" i="27" s="1"/>
  <c r="C72" i="27" s="1"/>
  <c r="J20" i="27"/>
  <c r="BG52" i="27" s="1"/>
  <c r="W71" i="27" s="1"/>
  <c r="C71" i="27" s="1"/>
  <c r="I20" i="27"/>
  <c r="BC52" i="27" s="1"/>
  <c r="W70" i="27" s="1"/>
  <c r="C70" i="27" s="1"/>
  <c r="H20" i="27"/>
  <c r="AY52" i="27" s="1"/>
  <c r="W69" i="27" s="1"/>
  <c r="C69" i="27" s="1"/>
  <c r="G20" i="27"/>
  <c r="F20" i="27"/>
  <c r="AQ52" i="27" s="1"/>
  <c r="W67" i="27" s="1"/>
  <c r="C67" i="27" s="1"/>
  <c r="E20" i="27"/>
  <c r="D20" i="27"/>
  <c r="W53" i="27" s="1"/>
  <c r="C20" i="27"/>
  <c r="B20" i="27"/>
  <c r="AC53" i="27" s="1"/>
  <c r="K19" i="27"/>
  <c r="J19" i="27"/>
  <c r="I19" i="27"/>
  <c r="H19" i="27"/>
  <c r="G19" i="27"/>
  <c r="F19" i="27"/>
  <c r="E19" i="27"/>
  <c r="D19" i="27"/>
  <c r="C19" i="27"/>
  <c r="B19" i="27"/>
  <c r="O75" i="37" l="1"/>
  <c r="O75" i="36"/>
  <c r="O75" i="35"/>
  <c r="O67" i="34"/>
  <c r="O66" i="34"/>
  <c r="O68" i="34"/>
  <c r="V75" i="34"/>
  <c r="O71" i="34"/>
  <c r="O65" i="34"/>
  <c r="O64" i="34"/>
  <c r="O72" i="34"/>
  <c r="O70" i="34"/>
  <c r="W75" i="34"/>
  <c r="X75" i="34"/>
  <c r="O75" i="33"/>
  <c r="O75" i="32"/>
  <c r="O75" i="31"/>
  <c r="O75" i="30"/>
  <c r="O72" i="29"/>
  <c r="O66" i="29"/>
  <c r="O65" i="29"/>
  <c r="W75" i="29"/>
  <c r="O64" i="29"/>
  <c r="X75" i="29"/>
  <c r="O69" i="29"/>
  <c r="O70" i="29"/>
  <c r="O68" i="29"/>
  <c r="V75" i="29"/>
  <c r="O67" i="29"/>
  <c r="O71" i="29"/>
  <c r="C64" i="28"/>
  <c r="U75" i="28"/>
  <c r="O64" i="28" s="1"/>
  <c r="AI53" i="27"/>
  <c r="B69" i="27"/>
  <c r="AU52" i="27"/>
  <c r="W68" i="27" s="1"/>
  <c r="C68" i="27" s="1"/>
  <c r="B67" i="27"/>
  <c r="AM52" i="27"/>
  <c r="W66" i="27" s="1"/>
  <c r="C66" i="27" s="1"/>
  <c r="U65" i="27"/>
  <c r="B65" i="27" s="1"/>
  <c r="D63" i="27"/>
  <c r="B64" i="27"/>
  <c r="B66" i="27"/>
  <c r="D67" i="27"/>
  <c r="B68" i="27"/>
  <c r="D69" i="27"/>
  <c r="B70" i="27"/>
  <c r="D71" i="27"/>
  <c r="B72" i="27"/>
  <c r="D64" i="27"/>
  <c r="D66" i="27"/>
  <c r="D68" i="27"/>
  <c r="D70" i="27"/>
  <c r="D72" i="27"/>
  <c r="W52" i="27"/>
  <c r="W63" i="27" s="1"/>
  <c r="C63" i="27" s="1"/>
  <c r="AC52" i="27"/>
  <c r="W64" i="27" s="1"/>
  <c r="C64" i="27" s="1"/>
  <c r="AI52" i="27"/>
  <c r="W65" i="27" s="1"/>
  <c r="D77" i="24"/>
  <c r="C77" i="24"/>
  <c r="B77" i="24"/>
  <c r="C76" i="24"/>
  <c r="B76" i="24"/>
  <c r="D75" i="24"/>
  <c r="C75" i="24"/>
  <c r="B75" i="24"/>
  <c r="D74" i="24"/>
  <c r="C74" i="24"/>
  <c r="B74" i="24"/>
  <c r="C73" i="24"/>
  <c r="B73" i="24"/>
  <c r="R72" i="24"/>
  <c r="R71" i="24"/>
  <c r="R70" i="24"/>
  <c r="R69" i="24"/>
  <c r="R68" i="24"/>
  <c r="R67" i="24"/>
  <c r="R66" i="24"/>
  <c r="R65" i="24"/>
  <c r="R64" i="24"/>
  <c r="R63" i="24"/>
  <c r="X62" i="24"/>
  <c r="D62" i="24" s="1"/>
  <c r="W62" i="24"/>
  <c r="V62" i="24"/>
  <c r="B62" i="24" s="1"/>
  <c r="C62" i="24"/>
  <c r="U60" i="24"/>
  <c r="BL52" i="24"/>
  <c r="X72" i="24" s="1"/>
  <c r="BJ52" i="24"/>
  <c r="V72" i="24" s="1"/>
  <c r="BI52" i="24"/>
  <c r="U72" i="24" s="1"/>
  <c r="BH52" i="24"/>
  <c r="X71" i="24" s="1"/>
  <c r="BF52" i="24"/>
  <c r="V71" i="24" s="1"/>
  <c r="BE52" i="24"/>
  <c r="U71" i="24" s="1"/>
  <c r="BD52" i="24"/>
  <c r="X70" i="24" s="1"/>
  <c r="BB52" i="24"/>
  <c r="V70" i="24" s="1"/>
  <c r="BA52" i="24"/>
  <c r="U70" i="24" s="1"/>
  <c r="AZ52" i="24"/>
  <c r="X69" i="24" s="1"/>
  <c r="AX52" i="24"/>
  <c r="V69" i="24" s="1"/>
  <c r="AW52" i="24"/>
  <c r="U69" i="24" s="1"/>
  <c r="AV52" i="24"/>
  <c r="X68" i="24" s="1"/>
  <c r="AT52" i="24"/>
  <c r="V68" i="24" s="1"/>
  <c r="AS52" i="24"/>
  <c r="U68" i="24" s="1"/>
  <c r="AR52" i="24"/>
  <c r="X67" i="24" s="1"/>
  <c r="AP52" i="24"/>
  <c r="V67" i="24" s="1"/>
  <c r="AO52" i="24"/>
  <c r="U67" i="24" s="1"/>
  <c r="AN52" i="24"/>
  <c r="X66" i="24" s="1"/>
  <c r="AL52" i="24"/>
  <c r="V66" i="24" s="1"/>
  <c r="AK52" i="24"/>
  <c r="U66" i="24" s="1"/>
  <c r="AJ52" i="24"/>
  <c r="X65" i="24" s="1"/>
  <c r="AH52" i="24"/>
  <c r="V65" i="24" s="1"/>
  <c r="AG52" i="24"/>
  <c r="AF52" i="24"/>
  <c r="AE52" i="24"/>
  <c r="AD52" i="24"/>
  <c r="X64" i="24" s="1"/>
  <c r="AB52" i="24"/>
  <c r="V64" i="24" s="1"/>
  <c r="AA52" i="24"/>
  <c r="Z52" i="24"/>
  <c r="Y52" i="24"/>
  <c r="X52" i="24"/>
  <c r="X63" i="24" s="1"/>
  <c r="V52" i="24"/>
  <c r="V63" i="24" s="1"/>
  <c r="U52" i="24"/>
  <c r="T52" i="24"/>
  <c r="S52" i="24"/>
  <c r="L51" i="24"/>
  <c r="K51" i="24"/>
  <c r="J51" i="24"/>
  <c r="I51" i="24"/>
  <c r="H51" i="24"/>
  <c r="G51" i="24"/>
  <c r="F51" i="24"/>
  <c r="E51" i="24"/>
  <c r="D51" i="24"/>
  <c r="C51" i="24"/>
  <c r="B51" i="24"/>
  <c r="L50" i="24"/>
  <c r="K50" i="24"/>
  <c r="J50" i="24"/>
  <c r="I50" i="24"/>
  <c r="H50" i="24"/>
  <c r="G50" i="24"/>
  <c r="F50" i="24"/>
  <c r="E50" i="24"/>
  <c r="D50" i="24"/>
  <c r="C50" i="24"/>
  <c r="B50" i="24"/>
  <c r="L49" i="24"/>
  <c r="K49" i="24"/>
  <c r="J49" i="24"/>
  <c r="I49" i="24"/>
  <c r="H49" i="24"/>
  <c r="G49" i="24"/>
  <c r="F49" i="24"/>
  <c r="E49" i="24"/>
  <c r="D49" i="24"/>
  <c r="C49" i="24"/>
  <c r="B49" i="24"/>
  <c r="L48" i="24"/>
  <c r="K48" i="24"/>
  <c r="J48" i="24"/>
  <c r="I48" i="24"/>
  <c r="H48" i="24"/>
  <c r="G48" i="24"/>
  <c r="F48" i="24"/>
  <c r="E48" i="24"/>
  <c r="D48" i="24"/>
  <c r="C48" i="24"/>
  <c r="B48" i="24"/>
  <c r="L47" i="24"/>
  <c r="K47" i="24"/>
  <c r="J47" i="24"/>
  <c r="I47" i="24"/>
  <c r="H47" i="24"/>
  <c r="G47" i="24"/>
  <c r="F47" i="24"/>
  <c r="E47" i="24"/>
  <c r="D47" i="24"/>
  <c r="C47" i="24"/>
  <c r="B47" i="24"/>
  <c r="L46" i="24"/>
  <c r="K46" i="24"/>
  <c r="J46" i="24"/>
  <c r="I46" i="24"/>
  <c r="H46" i="24"/>
  <c r="G46" i="24"/>
  <c r="F46" i="24"/>
  <c r="E46" i="24"/>
  <c r="D46" i="24"/>
  <c r="C46" i="24"/>
  <c r="B46" i="24"/>
  <c r="L45" i="24"/>
  <c r="K45" i="24"/>
  <c r="J45" i="24"/>
  <c r="I45" i="24"/>
  <c r="H45" i="24"/>
  <c r="G45" i="24"/>
  <c r="F45" i="24"/>
  <c r="E45" i="24"/>
  <c r="D45" i="24"/>
  <c r="C45" i="24"/>
  <c r="B45" i="24"/>
  <c r="L44" i="24"/>
  <c r="K44" i="24"/>
  <c r="J44" i="24"/>
  <c r="I44" i="24"/>
  <c r="H44" i="24"/>
  <c r="G44" i="24"/>
  <c r="F44" i="24"/>
  <c r="E44" i="24"/>
  <c r="D44" i="24"/>
  <c r="C44" i="24"/>
  <c r="B44" i="24"/>
  <c r="L43" i="24"/>
  <c r="K43" i="24"/>
  <c r="J43" i="24"/>
  <c r="I43" i="24"/>
  <c r="H43" i="24"/>
  <c r="G43" i="24"/>
  <c r="F43" i="24"/>
  <c r="E43" i="24"/>
  <c r="D43" i="24"/>
  <c r="C43" i="24"/>
  <c r="B43" i="24"/>
  <c r="L42" i="24"/>
  <c r="K42" i="24"/>
  <c r="J42" i="24"/>
  <c r="I42" i="24"/>
  <c r="H42" i="24"/>
  <c r="G42" i="24"/>
  <c r="F42" i="24"/>
  <c r="E42" i="24"/>
  <c r="D42" i="24"/>
  <c r="C42" i="24"/>
  <c r="B42" i="24"/>
  <c r="L41" i="24"/>
  <c r="K41" i="24"/>
  <c r="J41" i="24"/>
  <c r="I41" i="24"/>
  <c r="H41" i="24"/>
  <c r="G41" i="24"/>
  <c r="F41" i="24"/>
  <c r="E41" i="24"/>
  <c r="D41" i="24"/>
  <c r="C41" i="24"/>
  <c r="B41" i="24"/>
  <c r="L40" i="24"/>
  <c r="K40" i="24"/>
  <c r="J40" i="24"/>
  <c r="I40" i="24"/>
  <c r="H40" i="24"/>
  <c r="G40" i="24"/>
  <c r="F40" i="24"/>
  <c r="E40" i="24"/>
  <c r="D40" i="24"/>
  <c r="C40" i="24"/>
  <c r="B40" i="24"/>
  <c r="L39" i="24"/>
  <c r="K39" i="24"/>
  <c r="J39" i="24"/>
  <c r="I39" i="24"/>
  <c r="H39" i="24"/>
  <c r="G39" i="24"/>
  <c r="F39" i="24"/>
  <c r="E39" i="24"/>
  <c r="D39" i="24"/>
  <c r="C39" i="24"/>
  <c r="B39" i="24"/>
  <c r="L38" i="24"/>
  <c r="K38" i="24"/>
  <c r="J38" i="24"/>
  <c r="I38" i="24"/>
  <c r="H38" i="24"/>
  <c r="G38" i="24"/>
  <c r="F38" i="24"/>
  <c r="E38" i="24"/>
  <c r="D38" i="24"/>
  <c r="C38" i="24"/>
  <c r="B38" i="24"/>
  <c r="L37" i="24"/>
  <c r="K37" i="24"/>
  <c r="J37" i="24"/>
  <c r="I37" i="24"/>
  <c r="H37" i="24"/>
  <c r="G37" i="24"/>
  <c r="F37" i="24"/>
  <c r="E37" i="24"/>
  <c r="D37" i="24"/>
  <c r="C37" i="24"/>
  <c r="B37" i="24"/>
  <c r="L36" i="24"/>
  <c r="K36" i="24"/>
  <c r="J36" i="24"/>
  <c r="I36" i="24"/>
  <c r="H36" i="24"/>
  <c r="G36" i="24"/>
  <c r="F36" i="24"/>
  <c r="E36" i="24"/>
  <c r="D36" i="24"/>
  <c r="C36" i="24"/>
  <c r="B36" i="24"/>
  <c r="L35" i="24"/>
  <c r="K35" i="24"/>
  <c r="J35" i="24"/>
  <c r="I35" i="24"/>
  <c r="H35" i="24"/>
  <c r="G35" i="24"/>
  <c r="F35" i="24"/>
  <c r="E35" i="24"/>
  <c r="D35" i="24"/>
  <c r="C35" i="24"/>
  <c r="B35" i="24"/>
  <c r="L34" i="24"/>
  <c r="K34" i="24"/>
  <c r="J34" i="24"/>
  <c r="I34" i="24"/>
  <c r="H34" i="24"/>
  <c r="G34" i="24"/>
  <c r="F34" i="24"/>
  <c r="E34" i="24"/>
  <c r="D34" i="24"/>
  <c r="C34" i="24"/>
  <c r="B34" i="24"/>
  <c r="L33" i="24"/>
  <c r="K33" i="24"/>
  <c r="J33" i="24"/>
  <c r="I33" i="24"/>
  <c r="H33" i="24"/>
  <c r="G33" i="24"/>
  <c r="F33" i="24"/>
  <c r="E33" i="24"/>
  <c r="D33" i="24"/>
  <c r="C33" i="24"/>
  <c r="B33" i="24"/>
  <c r="L32" i="24"/>
  <c r="K32" i="24"/>
  <c r="J32" i="24"/>
  <c r="I32" i="24"/>
  <c r="H32" i="24"/>
  <c r="G32" i="24"/>
  <c r="F32" i="24"/>
  <c r="E32" i="24"/>
  <c r="D32" i="24"/>
  <c r="C32" i="24"/>
  <c r="B32" i="24"/>
  <c r="L31" i="24"/>
  <c r="K31" i="24"/>
  <c r="J31" i="24"/>
  <c r="I31" i="24"/>
  <c r="H31" i="24"/>
  <c r="G31" i="24"/>
  <c r="F31" i="24"/>
  <c r="E31" i="24"/>
  <c r="D31" i="24"/>
  <c r="C31" i="24"/>
  <c r="B31" i="24"/>
  <c r="L30" i="24"/>
  <c r="K30" i="24"/>
  <c r="J30" i="24"/>
  <c r="I30" i="24"/>
  <c r="H30" i="24"/>
  <c r="G30" i="24"/>
  <c r="F30" i="24"/>
  <c r="E30" i="24"/>
  <c r="D30" i="24"/>
  <c r="C30" i="24"/>
  <c r="B30" i="24"/>
  <c r="L29" i="24"/>
  <c r="K29" i="24"/>
  <c r="J29" i="24"/>
  <c r="I29" i="24"/>
  <c r="H29" i="24"/>
  <c r="G29" i="24"/>
  <c r="F29" i="24"/>
  <c r="E29" i="24"/>
  <c r="D29" i="24"/>
  <c r="C29" i="24"/>
  <c r="B29" i="24"/>
  <c r="L28" i="24"/>
  <c r="K28" i="24"/>
  <c r="J28" i="24"/>
  <c r="I28" i="24"/>
  <c r="H28" i="24"/>
  <c r="G28" i="24"/>
  <c r="F28" i="24"/>
  <c r="E28" i="24"/>
  <c r="D28" i="24"/>
  <c r="C28" i="24"/>
  <c r="B28" i="24"/>
  <c r="L27" i="24"/>
  <c r="K27" i="24"/>
  <c r="J27" i="24"/>
  <c r="I27" i="24"/>
  <c r="H27" i="24"/>
  <c r="G27" i="24"/>
  <c r="F27" i="24"/>
  <c r="E27" i="24"/>
  <c r="D27" i="24"/>
  <c r="C27" i="24"/>
  <c r="B27" i="24"/>
  <c r="L26" i="24"/>
  <c r="K26" i="24"/>
  <c r="J26" i="24"/>
  <c r="I26" i="24"/>
  <c r="H26" i="24"/>
  <c r="G26" i="24"/>
  <c r="F26" i="24"/>
  <c r="E26" i="24"/>
  <c r="D26" i="24"/>
  <c r="C26" i="24"/>
  <c r="B26" i="24"/>
  <c r="L25" i="24"/>
  <c r="K25" i="24"/>
  <c r="J25" i="24"/>
  <c r="I25" i="24"/>
  <c r="H25" i="24"/>
  <c r="G25" i="24"/>
  <c r="F25" i="24"/>
  <c r="E25" i="24"/>
  <c r="D25" i="24"/>
  <c r="C25" i="24"/>
  <c r="B25" i="24"/>
  <c r="L24" i="24"/>
  <c r="K24" i="24"/>
  <c r="J24" i="24"/>
  <c r="I24" i="24"/>
  <c r="H24" i="24"/>
  <c r="G24" i="24"/>
  <c r="F24" i="24"/>
  <c r="E24" i="24"/>
  <c r="D24" i="24"/>
  <c r="C24" i="24"/>
  <c r="B24" i="24"/>
  <c r="L23" i="24"/>
  <c r="K23" i="24"/>
  <c r="J23" i="24"/>
  <c r="I23" i="24"/>
  <c r="H23" i="24"/>
  <c r="G23" i="24"/>
  <c r="F23" i="24"/>
  <c r="E23" i="24"/>
  <c r="D23" i="24"/>
  <c r="C23" i="24"/>
  <c r="B23" i="24"/>
  <c r="L22" i="24"/>
  <c r="K22" i="24"/>
  <c r="J22" i="24"/>
  <c r="I22" i="24"/>
  <c r="H22" i="24"/>
  <c r="G22" i="24"/>
  <c r="F22" i="24"/>
  <c r="E22" i="24"/>
  <c r="D22" i="24"/>
  <c r="C22" i="24"/>
  <c r="B22" i="24"/>
  <c r="L21" i="24"/>
  <c r="K21" i="24"/>
  <c r="J21" i="24"/>
  <c r="I21" i="24"/>
  <c r="H21" i="24"/>
  <c r="G21" i="24"/>
  <c r="F21" i="24"/>
  <c r="E21" i="24"/>
  <c r="D21" i="24"/>
  <c r="C21" i="24"/>
  <c r="B21" i="24"/>
  <c r="L20" i="24"/>
  <c r="K20" i="24"/>
  <c r="J20" i="24"/>
  <c r="BG52" i="24" s="1"/>
  <c r="W71" i="24" s="1"/>
  <c r="C71" i="24" s="1"/>
  <c r="I20" i="24"/>
  <c r="H20" i="24"/>
  <c r="AY52" i="24" s="1"/>
  <c r="W69" i="24" s="1"/>
  <c r="C69" i="24" s="1"/>
  <c r="G20" i="24"/>
  <c r="F20" i="24"/>
  <c r="AQ52" i="24" s="1"/>
  <c r="W67" i="24" s="1"/>
  <c r="C67" i="24" s="1"/>
  <c r="E20" i="24"/>
  <c r="D20" i="24"/>
  <c r="W53" i="24" s="1"/>
  <c r="C20" i="24"/>
  <c r="B20" i="24"/>
  <c r="K19" i="24"/>
  <c r="J19" i="24"/>
  <c r="I19" i="24"/>
  <c r="H19" i="24"/>
  <c r="G19" i="24"/>
  <c r="F19" i="24"/>
  <c r="E19" i="24"/>
  <c r="D19" i="24"/>
  <c r="C19" i="24"/>
  <c r="B19" i="24"/>
  <c r="D77" i="22"/>
  <c r="C77" i="22"/>
  <c r="B77" i="22"/>
  <c r="C76" i="22"/>
  <c r="B76" i="22"/>
  <c r="D75" i="22"/>
  <c r="C75" i="22"/>
  <c r="B75" i="22"/>
  <c r="D74" i="22"/>
  <c r="C74" i="22"/>
  <c r="B74" i="22"/>
  <c r="C73" i="22"/>
  <c r="B73" i="22"/>
  <c r="R72" i="22"/>
  <c r="R71" i="22"/>
  <c r="R70" i="22"/>
  <c r="R69" i="22"/>
  <c r="R68" i="22"/>
  <c r="R67" i="22"/>
  <c r="R66" i="22"/>
  <c r="R65" i="22"/>
  <c r="R64" i="22"/>
  <c r="R63" i="22"/>
  <c r="X62" i="22"/>
  <c r="D62" i="22" s="1"/>
  <c r="W62" i="22"/>
  <c r="V62" i="22"/>
  <c r="B62" i="22" s="1"/>
  <c r="C62" i="22"/>
  <c r="U60" i="22"/>
  <c r="BL52" i="22"/>
  <c r="X72" i="22" s="1"/>
  <c r="BJ52" i="22"/>
  <c r="V72" i="22" s="1"/>
  <c r="BI52" i="22"/>
  <c r="U72" i="22" s="1"/>
  <c r="BH52" i="22"/>
  <c r="X71" i="22" s="1"/>
  <c r="BF52" i="22"/>
  <c r="V71" i="22" s="1"/>
  <c r="BE52" i="22"/>
  <c r="U71" i="22" s="1"/>
  <c r="BD52" i="22"/>
  <c r="X70" i="22" s="1"/>
  <c r="BB52" i="22"/>
  <c r="V70" i="22" s="1"/>
  <c r="BA52" i="22"/>
  <c r="U70" i="22" s="1"/>
  <c r="AZ52" i="22"/>
  <c r="X69" i="22" s="1"/>
  <c r="AX52" i="22"/>
  <c r="V69" i="22" s="1"/>
  <c r="AW52" i="22"/>
  <c r="U69" i="22" s="1"/>
  <c r="AV52" i="22"/>
  <c r="X68" i="22" s="1"/>
  <c r="AT52" i="22"/>
  <c r="V68" i="22" s="1"/>
  <c r="AS52" i="22"/>
  <c r="U68" i="22" s="1"/>
  <c r="AR52" i="22"/>
  <c r="X67" i="22" s="1"/>
  <c r="AP52" i="22"/>
  <c r="V67" i="22" s="1"/>
  <c r="AO52" i="22"/>
  <c r="U67" i="22" s="1"/>
  <c r="AN52" i="22"/>
  <c r="X66" i="22" s="1"/>
  <c r="AL52" i="22"/>
  <c r="V66" i="22" s="1"/>
  <c r="AK52" i="22"/>
  <c r="U66" i="22" s="1"/>
  <c r="AJ52" i="22"/>
  <c r="X65" i="22" s="1"/>
  <c r="AH52" i="22"/>
  <c r="V65" i="22" s="1"/>
  <c r="AG52" i="22"/>
  <c r="AF52" i="22"/>
  <c r="AE52" i="22"/>
  <c r="AD52" i="22"/>
  <c r="X64" i="22" s="1"/>
  <c r="AB52" i="22"/>
  <c r="V64" i="22" s="1"/>
  <c r="AA52" i="22"/>
  <c r="Z52" i="22"/>
  <c r="Y52" i="22"/>
  <c r="X52" i="22"/>
  <c r="X63" i="22" s="1"/>
  <c r="V52" i="22"/>
  <c r="V63" i="22" s="1"/>
  <c r="U52" i="22"/>
  <c r="T52" i="22"/>
  <c r="S52" i="22"/>
  <c r="L51" i="22"/>
  <c r="K51" i="22"/>
  <c r="J51" i="22"/>
  <c r="I51" i="22"/>
  <c r="H51" i="22"/>
  <c r="G51" i="22"/>
  <c r="F51" i="22"/>
  <c r="E51" i="22"/>
  <c r="D51" i="22"/>
  <c r="C51" i="22"/>
  <c r="B51" i="22"/>
  <c r="L50" i="22"/>
  <c r="K50" i="22"/>
  <c r="J50" i="22"/>
  <c r="I50" i="22"/>
  <c r="H50" i="22"/>
  <c r="G50" i="22"/>
  <c r="F50" i="22"/>
  <c r="E50" i="22"/>
  <c r="D50" i="22"/>
  <c r="C50" i="22"/>
  <c r="B50" i="22"/>
  <c r="L49" i="22"/>
  <c r="K49" i="22"/>
  <c r="J49" i="22"/>
  <c r="I49" i="22"/>
  <c r="H49" i="22"/>
  <c r="G49" i="22"/>
  <c r="F49" i="22"/>
  <c r="E49" i="22"/>
  <c r="D49" i="22"/>
  <c r="C49" i="22"/>
  <c r="B49" i="22"/>
  <c r="L48" i="22"/>
  <c r="K48" i="22"/>
  <c r="J48" i="22"/>
  <c r="I48" i="22"/>
  <c r="H48" i="22"/>
  <c r="G48" i="22"/>
  <c r="F48" i="22"/>
  <c r="E48" i="22"/>
  <c r="D48" i="22"/>
  <c r="C48" i="22"/>
  <c r="B48" i="22"/>
  <c r="L47" i="22"/>
  <c r="K47" i="22"/>
  <c r="J47" i="22"/>
  <c r="I47" i="22"/>
  <c r="H47" i="22"/>
  <c r="G47" i="22"/>
  <c r="F47" i="22"/>
  <c r="E47" i="22"/>
  <c r="D47" i="22"/>
  <c r="C47" i="22"/>
  <c r="B47" i="22"/>
  <c r="L46" i="22"/>
  <c r="K46" i="22"/>
  <c r="J46" i="22"/>
  <c r="I46" i="22"/>
  <c r="H46" i="22"/>
  <c r="G46" i="22"/>
  <c r="F46" i="22"/>
  <c r="E46" i="22"/>
  <c r="D46" i="22"/>
  <c r="C46" i="22"/>
  <c r="B46" i="22"/>
  <c r="L45" i="22"/>
  <c r="K45" i="22"/>
  <c r="J45" i="22"/>
  <c r="I45" i="22"/>
  <c r="H45" i="22"/>
  <c r="G45" i="22"/>
  <c r="F45" i="22"/>
  <c r="E45" i="22"/>
  <c r="D45" i="22"/>
  <c r="C45" i="22"/>
  <c r="B45" i="22"/>
  <c r="L44" i="22"/>
  <c r="K44" i="22"/>
  <c r="J44" i="22"/>
  <c r="I44" i="22"/>
  <c r="H44" i="22"/>
  <c r="G44" i="22"/>
  <c r="F44" i="22"/>
  <c r="E44" i="22"/>
  <c r="D44" i="22"/>
  <c r="C44" i="22"/>
  <c r="B44" i="22"/>
  <c r="L43" i="22"/>
  <c r="K43" i="22"/>
  <c r="J43" i="22"/>
  <c r="I43" i="22"/>
  <c r="H43" i="22"/>
  <c r="G43" i="22"/>
  <c r="F43" i="22"/>
  <c r="E43" i="22"/>
  <c r="D43" i="22"/>
  <c r="C43" i="22"/>
  <c r="B43" i="22"/>
  <c r="L42" i="22"/>
  <c r="K42" i="22"/>
  <c r="J42" i="22"/>
  <c r="I42" i="22"/>
  <c r="H42" i="22"/>
  <c r="G42" i="22"/>
  <c r="F42" i="22"/>
  <c r="E42" i="22"/>
  <c r="D42" i="22"/>
  <c r="C42" i="22"/>
  <c r="B42" i="22"/>
  <c r="L41" i="22"/>
  <c r="K41" i="22"/>
  <c r="J41" i="22"/>
  <c r="I41" i="22"/>
  <c r="H41" i="22"/>
  <c r="G41" i="22"/>
  <c r="F41" i="22"/>
  <c r="E41" i="22"/>
  <c r="D41" i="22"/>
  <c r="C41" i="22"/>
  <c r="B41" i="22"/>
  <c r="L40" i="22"/>
  <c r="K40" i="22"/>
  <c r="J40" i="22"/>
  <c r="I40" i="22"/>
  <c r="H40" i="22"/>
  <c r="G40" i="22"/>
  <c r="F40" i="22"/>
  <c r="E40" i="22"/>
  <c r="D40" i="22"/>
  <c r="C40" i="22"/>
  <c r="B40" i="22"/>
  <c r="L39" i="22"/>
  <c r="K39" i="22"/>
  <c r="J39" i="22"/>
  <c r="I39" i="22"/>
  <c r="H39" i="22"/>
  <c r="G39" i="22"/>
  <c r="F39" i="22"/>
  <c r="E39" i="22"/>
  <c r="D39" i="22"/>
  <c r="C39" i="22"/>
  <c r="B39" i="22"/>
  <c r="L38" i="22"/>
  <c r="K38" i="22"/>
  <c r="J38" i="22"/>
  <c r="I38" i="22"/>
  <c r="H38" i="22"/>
  <c r="G38" i="22"/>
  <c r="F38" i="22"/>
  <c r="E38" i="22"/>
  <c r="D38" i="22"/>
  <c r="C38" i="22"/>
  <c r="B38" i="22"/>
  <c r="L37" i="22"/>
  <c r="K37" i="22"/>
  <c r="J37" i="22"/>
  <c r="I37" i="22"/>
  <c r="H37" i="22"/>
  <c r="G37" i="22"/>
  <c r="F37" i="22"/>
  <c r="E37" i="22"/>
  <c r="D37" i="22"/>
  <c r="C37" i="22"/>
  <c r="B37" i="22"/>
  <c r="L36" i="22"/>
  <c r="K36" i="22"/>
  <c r="J36" i="22"/>
  <c r="I36" i="22"/>
  <c r="H36" i="22"/>
  <c r="G36" i="22"/>
  <c r="F36" i="22"/>
  <c r="E36" i="22"/>
  <c r="D36" i="22"/>
  <c r="C36" i="22"/>
  <c r="B36" i="22"/>
  <c r="L35" i="22"/>
  <c r="K35" i="22"/>
  <c r="J35" i="22"/>
  <c r="I35" i="22"/>
  <c r="H35" i="22"/>
  <c r="G35" i="22"/>
  <c r="F35" i="22"/>
  <c r="E35" i="22"/>
  <c r="D35" i="22"/>
  <c r="C35" i="22"/>
  <c r="B35" i="22"/>
  <c r="L34" i="22"/>
  <c r="K34" i="22"/>
  <c r="J34" i="22"/>
  <c r="I34" i="22"/>
  <c r="H34" i="22"/>
  <c r="G34" i="22"/>
  <c r="F34" i="22"/>
  <c r="E34" i="22"/>
  <c r="D34" i="22"/>
  <c r="C34" i="22"/>
  <c r="B34" i="22"/>
  <c r="L33" i="22"/>
  <c r="K33" i="22"/>
  <c r="J33" i="22"/>
  <c r="I33" i="22"/>
  <c r="H33" i="22"/>
  <c r="G33" i="22"/>
  <c r="F33" i="22"/>
  <c r="E33" i="22"/>
  <c r="D33" i="22"/>
  <c r="C33" i="22"/>
  <c r="B33" i="22"/>
  <c r="L32" i="22"/>
  <c r="K32" i="22"/>
  <c r="J32" i="22"/>
  <c r="I32" i="22"/>
  <c r="H32" i="22"/>
  <c r="G32" i="22"/>
  <c r="F32" i="22"/>
  <c r="E32" i="22"/>
  <c r="D32" i="22"/>
  <c r="C32" i="22"/>
  <c r="B32" i="22"/>
  <c r="L31" i="22"/>
  <c r="K31" i="22"/>
  <c r="J31" i="22"/>
  <c r="I31" i="22"/>
  <c r="H31" i="22"/>
  <c r="G31" i="22"/>
  <c r="F31" i="22"/>
  <c r="E31" i="22"/>
  <c r="D31" i="22"/>
  <c r="C31" i="22"/>
  <c r="B31" i="22"/>
  <c r="L30" i="22"/>
  <c r="K30" i="22"/>
  <c r="J30" i="22"/>
  <c r="I30" i="22"/>
  <c r="H30" i="22"/>
  <c r="G30" i="22"/>
  <c r="F30" i="22"/>
  <c r="E30" i="22"/>
  <c r="D30" i="22"/>
  <c r="C30" i="22"/>
  <c r="B30" i="22"/>
  <c r="L29" i="22"/>
  <c r="K29" i="22"/>
  <c r="J29" i="22"/>
  <c r="I29" i="22"/>
  <c r="H29" i="22"/>
  <c r="G29" i="22"/>
  <c r="F29" i="22"/>
  <c r="E29" i="22"/>
  <c r="D29" i="22"/>
  <c r="C29" i="22"/>
  <c r="B29" i="22"/>
  <c r="L28" i="22"/>
  <c r="K28" i="22"/>
  <c r="J28" i="22"/>
  <c r="I28" i="22"/>
  <c r="H28" i="22"/>
  <c r="G28" i="22"/>
  <c r="F28" i="22"/>
  <c r="E28" i="22"/>
  <c r="D28" i="22"/>
  <c r="C28" i="22"/>
  <c r="B28" i="22"/>
  <c r="L27" i="22"/>
  <c r="K27" i="22"/>
  <c r="J27" i="22"/>
  <c r="I27" i="22"/>
  <c r="H27" i="22"/>
  <c r="G27" i="22"/>
  <c r="F27" i="22"/>
  <c r="E27" i="22"/>
  <c r="D27" i="22"/>
  <c r="C27" i="22"/>
  <c r="B27" i="22"/>
  <c r="L26" i="22"/>
  <c r="K26" i="22"/>
  <c r="J26" i="22"/>
  <c r="I26" i="22"/>
  <c r="H26" i="22"/>
  <c r="G26" i="22"/>
  <c r="F26" i="22"/>
  <c r="E26" i="22"/>
  <c r="D26" i="22"/>
  <c r="C26" i="22"/>
  <c r="B26" i="22"/>
  <c r="L25" i="22"/>
  <c r="K25" i="22"/>
  <c r="J25" i="22"/>
  <c r="I25" i="22"/>
  <c r="H25" i="22"/>
  <c r="G25" i="22"/>
  <c r="F25" i="22"/>
  <c r="E25" i="22"/>
  <c r="D25" i="22"/>
  <c r="C25" i="22"/>
  <c r="B25" i="22"/>
  <c r="L24" i="22"/>
  <c r="K24" i="22"/>
  <c r="J24" i="22"/>
  <c r="I24" i="22"/>
  <c r="H24" i="22"/>
  <c r="G24" i="22"/>
  <c r="F24" i="22"/>
  <c r="E24" i="22"/>
  <c r="D24" i="22"/>
  <c r="C24" i="22"/>
  <c r="B24" i="22"/>
  <c r="L23" i="22"/>
  <c r="K23" i="22"/>
  <c r="J23" i="22"/>
  <c r="I23" i="22"/>
  <c r="H23" i="22"/>
  <c r="G23" i="22"/>
  <c r="F23" i="22"/>
  <c r="E23" i="22"/>
  <c r="D23" i="22"/>
  <c r="C23" i="22"/>
  <c r="B23" i="22"/>
  <c r="L22" i="22"/>
  <c r="K22" i="22"/>
  <c r="J22" i="22"/>
  <c r="I22" i="22"/>
  <c r="H22" i="22"/>
  <c r="G22" i="22"/>
  <c r="F22" i="22"/>
  <c r="E22" i="22"/>
  <c r="D22" i="22"/>
  <c r="C22" i="22"/>
  <c r="B22" i="22"/>
  <c r="L21" i="22"/>
  <c r="K21" i="22"/>
  <c r="J21" i="22"/>
  <c r="I21" i="22"/>
  <c r="H21" i="22"/>
  <c r="G21" i="22"/>
  <c r="F21" i="22"/>
  <c r="E21" i="22"/>
  <c r="D21" i="22"/>
  <c r="C21" i="22"/>
  <c r="B21" i="22"/>
  <c r="L20" i="22"/>
  <c r="K20" i="22"/>
  <c r="J20" i="22"/>
  <c r="BG52" i="22" s="1"/>
  <c r="W71" i="22" s="1"/>
  <c r="C71" i="22" s="1"/>
  <c r="I20" i="22"/>
  <c r="H20" i="22"/>
  <c r="AY52" i="22" s="1"/>
  <c r="W69" i="22" s="1"/>
  <c r="C69" i="22" s="1"/>
  <c r="G20" i="22"/>
  <c r="F20" i="22"/>
  <c r="AQ52" i="22" s="1"/>
  <c r="W67" i="22" s="1"/>
  <c r="C67" i="22" s="1"/>
  <c r="E20" i="22"/>
  <c r="D20" i="22"/>
  <c r="W53" i="22" s="1"/>
  <c r="C20" i="22"/>
  <c r="AI53" i="22" s="1"/>
  <c r="B20" i="22"/>
  <c r="K19" i="22"/>
  <c r="J19" i="22"/>
  <c r="I19" i="22"/>
  <c r="H19" i="22"/>
  <c r="G19" i="22"/>
  <c r="F19" i="22"/>
  <c r="E19" i="22"/>
  <c r="D19" i="22"/>
  <c r="C19" i="22"/>
  <c r="B19" i="22"/>
  <c r="O75" i="34" l="1"/>
  <c r="O75" i="29"/>
  <c r="W75" i="28"/>
  <c r="O72" i="28"/>
  <c r="O68" i="28"/>
  <c r="X75" i="28"/>
  <c r="O66" i="28"/>
  <c r="O70" i="28"/>
  <c r="V75" i="28"/>
  <c r="O63" i="28"/>
  <c r="O65" i="28"/>
  <c r="O67" i="28"/>
  <c r="O69" i="28"/>
  <c r="O71" i="28"/>
  <c r="C65" i="27"/>
  <c r="U75" i="27"/>
  <c r="O63" i="27" s="1"/>
  <c r="D65" i="27"/>
  <c r="O69" i="27"/>
  <c r="AI53" i="24"/>
  <c r="BC52" i="24"/>
  <c r="W70" i="24" s="1"/>
  <c r="C70" i="24" s="1"/>
  <c r="AC53" i="24"/>
  <c r="U63" i="24"/>
  <c r="U64" i="24"/>
  <c r="D64" i="24" s="1"/>
  <c r="U65" i="24"/>
  <c r="D65" i="24" s="1"/>
  <c r="BK52" i="24"/>
  <c r="W72" i="24" s="1"/>
  <c r="C72" i="24" s="1"/>
  <c r="B70" i="24"/>
  <c r="AM52" i="24"/>
  <c r="W66" i="24" s="1"/>
  <c r="C66" i="24" s="1"/>
  <c r="AU52" i="24"/>
  <c r="W68" i="24" s="1"/>
  <c r="C68" i="24" s="1"/>
  <c r="B64" i="24"/>
  <c r="B66" i="24"/>
  <c r="B68" i="24"/>
  <c r="B72" i="24"/>
  <c r="D67" i="24"/>
  <c r="D69" i="24"/>
  <c r="D71" i="24"/>
  <c r="D66" i="24"/>
  <c r="B67" i="24"/>
  <c r="D68" i="24"/>
  <c r="B69" i="24"/>
  <c r="D70" i="24"/>
  <c r="B71" i="24"/>
  <c r="D72" i="24"/>
  <c r="W52" i="24"/>
  <c r="W63" i="24" s="1"/>
  <c r="AC52" i="24"/>
  <c r="W64" i="24" s="1"/>
  <c r="AI52" i="24"/>
  <c r="W65" i="24" s="1"/>
  <c r="BC52" i="22"/>
  <c r="W70" i="22" s="1"/>
  <c r="C70" i="22" s="1"/>
  <c r="AU52" i="22"/>
  <c r="W68" i="22" s="1"/>
  <c r="C68" i="22" s="1"/>
  <c r="U64" i="22"/>
  <c r="B64" i="22" s="1"/>
  <c r="BK52" i="22"/>
  <c r="W72" i="22" s="1"/>
  <c r="C72" i="22" s="1"/>
  <c r="B70" i="22"/>
  <c r="AM52" i="22"/>
  <c r="W66" i="22" s="1"/>
  <c r="C66" i="22" s="1"/>
  <c r="U65" i="22"/>
  <c r="B65" i="22" s="1"/>
  <c r="U63" i="22"/>
  <c r="AC53" i="22"/>
  <c r="B68" i="22"/>
  <c r="B66" i="22"/>
  <c r="B72" i="22"/>
  <c r="D65" i="22"/>
  <c r="D67" i="22"/>
  <c r="D69" i="22"/>
  <c r="D71" i="22"/>
  <c r="D66" i="22"/>
  <c r="B67" i="22"/>
  <c r="D68" i="22"/>
  <c r="B69" i="22"/>
  <c r="D70" i="22"/>
  <c r="B71" i="22"/>
  <c r="D72" i="22"/>
  <c r="W52" i="22"/>
  <c r="W63" i="22" s="1"/>
  <c r="AC52" i="22"/>
  <c r="W64" i="22" s="1"/>
  <c r="C64" i="22" s="1"/>
  <c r="AI52" i="22"/>
  <c r="W65" i="22" s="1"/>
  <c r="E20" i="20"/>
  <c r="F20" i="20"/>
  <c r="G20" i="20"/>
  <c r="H20" i="20"/>
  <c r="I20" i="20"/>
  <c r="J20" i="20"/>
  <c r="K20" i="20"/>
  <c r="L20" i="20"/>
  <c r="M20" i="20"/>
  <c r="N20" i="20"/>
  <c r="O20" i="20"/>
  <c r="P20" i="20"/>
  <c r="Q20" i="20"/>
  <c r="R20" i="20"/>
  <c r="S20" i="20"/>
  <c r="T20" i="20"/>
  <c r="U20" i="20"/>
  <c r="V20" i="20"/>
  <c r="W20" i="20"/>
  <c r="X20" i="20"/>
  <c r="Y20" i="20"/>
  <c r="Z20" i="20"/>
  <c r="E21" i="20"/>
  <c r="F21" i="20"/>
  <c r="G21" i="20"/>
  <c r="H21" i="20"/>
  <c r="I21" i="20"/>
  <c r="J21" i="20"/>
  <c r="K21" i="20"/>
  <c r="L21" i="20"/>
  <c r="M21" i="20"/>
  <c r="N21" i="20"/>
  <c r="O21" i="20"/>
  <c r="P21" i="20"/>
  <c r="Q21" i="20"/>
  <c r="R21" i="20"/>
  <c r="S21" i="20"/>
  <c r="T21" i="20"/>
  <c r="U21" i="20"/>
  <c r="V21" i="20"/>
  <c r="W21" i="20"/>
  <c r="X21" i="20"/>
  <c r="Y21" i="20"/>
  <c r="Z21" i="20"/>
  <c r="E22" i="20"/>
  <c r="F22" i="20"/>
  <c r="G22" i="20"/>
  <c r="H22" i="20"/>
  <c r="I22" i="20"/>
  <c r="J22" i="20"/>
  <c r="K22" i="20"/>
  <c r="L22" i="20"/>
  <c r="M22" i="20"/>
  <c r="N22" i="20"/>
  <c r="O22" i="20"/>
  <c r="P22" i="20"/>
  <c r="Q22" i="20"/>
  <c r="R22" i="20"/>
  <c r="S22" i="20"/>
  <c r="T22" i="20"/>
  <c r="U22" i="20"/>
  <c r="V22" i="20"/>
  <c r="W22" i="20"/>
  <c r="X22" i="20"/>
  <c r="Y22" i="20"/>
  <c r="Z22" i="20"/>
  <c r="E23" i="20"/>
  <c r="F23" i="20"/>
  <c r="G23" i="20"/>
  <c r="H23" i="20"/>
  <c r="I23" i="20"/>
  <c r="J23" i="20"/>
  <c r="K23" i="20"/>
  <c r="L23" i="20"/>
  <c r="M23" i="20"/>
  <c r="N23" i="20"/>
  <c r="O23" i="20"/>
  <c r="P23" i="20"/>
  <c r="Q23" i="20"/>
  <c r="R23" i="20"/>
  <c r="S23" i="20"/>
  <c r="T23" i="20"/>
  <c r="U23" i="20"/>
  <c r="V23" i="20"/>
  <c r="W23" i="20"/>
  <c r="X23" i="20"/>
  <c r="Y23" i="20"/>
  <c r="Z23" i="20"/>
  <c r="E24" i="20"/>
  <c r="F24" i="20"/>
  <c r="G24" i="20"/>
  <c r="H24" i="20"/>
  <c r="I24" i="20"/>
  <c r="J24" i="20"/>
  <c r="K24" i="20"/>
  <c r="L24" i="20"/>
  <c r="M24" i="20"/>
  <c r="N24" i="20"/>
  <c r="O24" i="20"/>
  <c r="P24" i="20"/>
  <c r="Q24" i="20"/>
  <c r="R24" i="20"/>
  <c r="S24" i="20"/>
  <c r="T24" i="20"/>
  <c r="U24" i="20"/>
  <c r="V24" i="20"/>
  <c r="W24" i="20"/>
  <c r="X24" i="20"/>
  <c r="Y24" i="20"/>
  <c r="Z24" i="20"/>
  <c r="E25" i="20"/>
  <c r="F25" i="20"/>
  <c r="G25" i="20"/>
  <c r="H25" i="20"/>
  <c r="I25" i="20"/>
  <c r="J25" i="20"/>
  <c r="K25" i="20"/>
  <c r="L25" i="20"/>
  <c r="M25" i="20"/>
  <c r="N25" i="20"/>
  <c r="O25" i="20"/>
  <c r="P25" i="20"/>
  <c r="Q25" i="20"/>
  <c r="R25" i="20"/>
  <c r="S25" i="20"/>
  <c r="T25" i="20"/>
  <c r="U25" i="20"/>
  <c r="V25" i="20"/>
  <c r="W25" i="20"/>
  <c r="X25" i="20"/>
  <c r="Y25" i="20"/>
  <c r="Z25" i="20"/>
  <c r="E26" i="20"/>
  <c r="F26" i="20"/>
  <c r="G26" i="20"/>
  <c r="H26" i="20"/>
  <c r="I26" i="20"/>
  <c r="J26" i="20"/>
  <c r="K26" i="20"/>
  <c r="L26" i="20"/>
  <c r="M26" i="20"/>
  <c r="N26" i="20"/>
  <c r="O26" i="20"/>
  <c r="P26" i="20"/>
  <c r="Q26" i="20"/>
  <c r="R26" i="20"/>
  <c r="S26" i="20"/>
  <c r="T26" i="20"/>
  <c r="U26" i="20"/>
  <c r="V26" i="20"/>
  <c r="W26" i="20"/>
  <c r="X26" i="20"/>
  <c r="Y26" i="20"/>
  <c r="Z26" i="20"/>
  <c r="E27" i="20"/>
  <c r="F27" i="20"/>
  <c r="G27" i="20"/>
  <c r="H27" i="20"/>
  <c r="I27" i="20"/>
  <c r="J27" i="20"/>
  <c r="K27" i="20"/>
  <c r="L27" i="20"/>
  <c r="M27" i="20"/>
  <c r="N27" i="20"/>
  <c r="O27" i="20"/>
  <c r="P27" i="20"/>
  <c r="Q27" i="20"/>
  <c r="R27" i="20"/>
  <c r="S27" i="20"/>
  <c r="T27" i="20"/>
  <c r="U27" i="20"/>
  <c r="V27" i="20"/>
  <c r="W27" i="20"/>
  <c r="X27" i="20"/>
  <c r="Y27" i="20"/>
  <c r="Z27" i="20"/>
  <c r="E28" i="20"/>
  <c r="F28" i="20"/>
  <c r="G28" i="20"/>
  <c r="H28" i="20"/>
  <c r="I28" i="20"/>
  <c r="J28" i="20"/>
  <c r="K28" i="20"/>
  <c r="L28" i="20"/>
  <c r="M28" i="20"/>
  <c r="N28" i="20"/>
  <c r="O28" i="20"/>
  <c r="P28" i="20"/>
  <c r="Q28" i="20"/>
  <c r="R28" i="20"/>
  <c r="S28" i="20"/>
  <c r="T28" i="20"/>
  <c r="U28" i="20"/>
  <c r="V28" i="20"/>
  <c r="W28" i="20"/>
  <c r="X28" i="20"/>
  <c r="Y28" i="20"/>
  <c r="Z28" i="20"/>
  <c r="E29" i="20"/>
  <c r="F29" i="20"/>
  <c r="G29" i="20"/>
  <c r="H29" i="20"/>
  <c r="I29" i="20"/>
  <c r="J29" i="20"/>
  <c r="K29" i="20"/>
  <c r="L29" i="20"/>
  <c r="M29" i="20"/>
  <c r="N29" i="20"/>
  <c r="O29" i="20"/>
  <c r="P29" i="20"/>
  <c r="Q29" i="20"/>
  <c r="R29" i="20"/>
  <c r="S29" i="20"/>
  <c r="T29" i="20"/>
  <c r="U29" i="20"/>
  <c r="V29" i="20"/>
  <c r="W29" i="20"/>
  <c r="X29" i="20"/>
  <c r="Y29" i="20"/>
  <c r="Z29" i="20"/>
  <c r="E30" i="20"/>
  <c r="F30" i="20"/>
  <c r="G30" i="20"/>
  <c r="H30" i="20"/>
  <c r="I30" i="20"/>
  <c r="J30" i="20"/>
  <c r="K30" i="20"/>
  <c r="L30" i="20"/>
  <c r="M30" i="20"/>
  <c r="N30" i="20"/>
  <c r="O30" i="20"/>
  <c r="P30" i="20"/>
  <c r="Q30" i="20"/>
  <c r="R30" i="20"/>
  <c r="S30" i="20"/>
  <c r="T30" i="20"/>
  <c r="U30" i="20"/>
  <c r="V30" i="20"/>
  <c r="W30" i="20"/>
  <c r="X30" i="20"/>
  <c r="Y30" i="20"/>
  <c r="Z30" i="20"/>
  <c r="E31" i="20"/>
  <c r="F31" i="20"/>
  <c r="G31" i="20"/>
  <c r="H31" i="20"/>
  <c r="I31" i="20"/>
  <c r="J31" i="20"/>
  <c r="K31" i="20"/>
  <c r="L31" i="20"/>
  <c r="M31" i="20"/>
  <c r="N31" i="20"/>
  <c r="O31" i="20"/>
  <c r="P31" i="20"/>
  <c r="Q31" i="20"/>
  <c r="R31" i="20"/>
  <c r="S31" i="20"/>
  <c r="T31" i="20"/>
  <c r="U31" i="20"/>
  <c r="V31" i="20"/>
  <c r="W31" i="20"/>
  <c r="X31" i="20"/>
  <c r="Y31" i="20"/>
  <c r="Z31" i="20"/>
  <c r="E32" i="20"/>
  <c r="F32" i="20"/>
  <c r="G32" i="20"/>
  <c r="H32" i="20"/>
  <c r="I32" i="20"/>
  <c r="J32" i="20"/>
  <c r="K32" i="20"/>
  <c r="L32" i="20"/>
  <c r="M32" i="20"/>
  <c r="N32" i="20"/>
  <c r="O32" i="20"/>
  <c r="P32" i="20"/>
  <c r="Q32" i="20"/>
  <c r="R32" i="20"/>
  <c r="S32" i="20"/>
  <c r="T32" i="20"/>
  <c r="U32" i="20"/>
  <c r="V32" i="20"/>
  <c r="W32" i="20"/>
  <c r="X32" i="20"/>
  <c r="Y32" i="20"/>
  <c r="Z32" i="20"/>
  <c r="E33" i="20"/>
  <c r="F33" i="20"/>
  <c r="G33" i="20"/>
  <c r="H33" i="20"/>
  <c r="I33" i="20"/>
  <c r="J33" i="20"/>
  <c r="K33" i="20"/>
  <c r="L33" i="20"/>
  <c r="M33" i="20"/>
  <c r="N33" i="20"/>
  <c r="O33" i="20"/>
  <c r="P33" i="20"/>
  <c r="Q33" i="20"/>
  <c r="R33" i="20"/>
  <c r="S33" i="20"/>
  <c r="T33" i="20"/>
  <c r="U33" i="20"/>
  <c r="V33" i="20"/>
  <c r="W33" i="20"/>
  <c r="X33" i="20"/>
  <c r="Y33" i="20"/>
  <c r="Z33" i="20"/>
  <c r="E34" i="20"/>
  <c r="F34" i="20"/>
  <c r="G34" i="20"/>
  <c r="H34" i="20"/>
  <c r="I34" i="20"/>
  <c r="J34" i="20"/>
  <c r="K34" i="20"/>
  <c r="L34" i="20"/>
  <c r="M34" i="20"/>
  <c r="N34" i="20"/>
  <c r="O34" i="20"/>
  <c r="P34" i="20"/>
  <c r="Q34" i="20"/>
  <c r="R34" i="20"/>
  <c r="S34" i="20"/>
  <c r="T34" i="20"/>
  <c r="U34" i="20"/>
  <c r="V34" i="20"/>
  <c r="W34" i="20"/>
  <c r="X34" i="20"/>
  <c r="Y34" i="20"/>
  <c r="Z34" i="20"/>
  <c r="E35" i="20"/>
  <c r="F35" i="20"/>
  <c r="G35" i="20"/>
  <c r="H35" i="20"/>
  <c r="I35" i="20"/>
  <c r="J35" i="20"/>
  <c r="K35" i="20"/>
  <c r="L35" i="20"/>
  <c r="M35" i="20"/>
  <c r="N35" i="20"/>
  <c r="O35" i="20"/>
  <c r="P35" i="20"/>
  <c r="Q35" i="20"/>
  <c r="R35" i="20"/>
  <c r="S35" i="20"/>
  <c r="T35" i="20"/>
  <c r="U35" i="20"/>
  <c r="V35" i="20"/>
  <c r="W35" i="20"/>
  <c r="X35" i="20"/>
  <c r="Y35" i="20"/>
  <c r="Z35" i="20"/>
  <c r="E45" i="20"/>
  <c r="F45" i="20"/>
  <c r="G45" i="20"/>
  <c r="H45" i="20"/>
  <c r="I45" i="20"/>
  <c r="J45" i="20"/>
  <c r="K45" i="20"/>
  <c r="L45" i="20"/>
  <c r="M45" i="20"/>
  <c r="N45" i="20"/>
  <c r="O45" i="20"/>
  <c r="P45" i="20"/>
  <c r="Q45" i="20"/>
  <c r="R45" i="20"/>
  <c r="S45" i="20"/>
  <c r="T45" i="20"/>
  <c r="U45" i="20"/>
  <c r="V45" i="20"/>
  <c r="W45" i="20"/>
  <c r="X45" i="20"/>
  <c r="Y45" i="20"/>
  <c r="Z45" i="20"/>
  <c r="E46" i="20"/>
  <c r="F46" i="20"/>
  <c r="G46" i="20"/>
  <c r="H46" i="20"/>
  <c r="I46" i="20"/>
  <c r="J46" i="20"/>
  <c r="K46" i="20"/>
  <c r="L46" i="20"/>
  <c r="M46" i="20"/>
  <c r="N46" i="20"/>
  <c r="O46" i="20"/>
  <c r="P46" i="20"/>
  <c r="Q46" i="20"/>
  <c r="R46" i="20"/>
  <c r="S46" i="20"/>
  <c r="T46" i="20"/>
  <c r="U46" i="20"/>
  <c r="V46" i="20"/>
  <c r="W46" i="20"/>
  <c r="X46" i="20"/>
  <c r="Y46" i="20"/>
  <c r="Z46" i="20"/>
  <c r="E20" i="19"/>
  <c r="F20" i="19"/>
  <c r="G20" i="19"/>
  <c r="H20" i="19"/>
  <c r="I20" i="19"/>
  <c r="J20" i="19"/>
  <c r="K20" i="19"/>
  <c r="L20" i="19"/>
  <c r="M20" i="19"/>
  <c r="N20" i="19"/>
  <c r="O20" i="19"/>
  <c r="P20" i="19"/>
  <c r="Q20" i="19"/>
  <c r="R20" i="19"/>
  <c r="S20" i="19"/>
  <c r="T20" i="19"/>
  <c r="U20" i="19"/>
  <c r="V20" i="19"/>
  <c r="W20" i="19"/>
  <c r="X20" i="19"/>
  <c r="E21" i="19"/>
  <c r="F21" i="19"/>
  <c r="G21" i="19"/>
  <c r="H21" i="19"/>
  <c r="I21" i="19"/>
  <c r="J21" i="19"/>
  <c r="K21" i="19"/>
  <c r="L21" i="19"/>
  <c r="M21" i="19"/>
  <c r="N21" i="19"/>
  <c r="O21" i="19"/>
  <c r="P21" i="19"/>
  <c r="Q21" i="19"/>
  <c r="R21" i="19"/>
  <c r="S21" i="19"/>
  <c r="T21" i="19"/>
  <c r="U21" i="19"/>
  <c r="V21" i="19"/>
  <c r="W21" i="19"/>
  <c r="X21" i="19"/>
  <c r="E22" i="19"/>
  <c r="F22" i="19"/>
  <c r="G22" i="19"/>
  <c r="H22" i="19"/>
  <c r="I22" i="19"/>
  <c r="J22" i="19"/>
  <c r="K22" i="19"/>
  <c r="L22" i="19"/>
  <c r="M22" i="19"/>
  <c r="N22" i="19"/>
  <c r="O22" i="19"/>
  <c r="P22" i="19"/>
  <c r="Q22" i="19"/>
  <c r="R22" i="19"/>
  <c r="S22" i="19"/>
  <c r="T22" i="19"/>
  <c r="U22" i="19"/>
  <c r="V22" i="19"/>
  <c r="W22" i="19"/>
  <c r="X22" i="19"/>
  <c r="E23" i="19"/>
  <c r="F23" i="19"/>
  <c r="G23" i="19"/>
  <c r="H23" i="19"/>
  <c r="I23" i="19"/>
  <c r="J23" i="19"/>
  <c r="K23" i="19"/>
  <c r="L23" i="19"/>
  <c r="M23" i="19"/>
  <c r="N23" i="19"/>
  <c r="O23" i="19"/>
  <c r="P23" i="19"/>
  <c r="Q23" i="19"/>
  <c r="R23" i="19"/>
  <c r="S23" i="19"/>
  <c r="T23" i="19"/>
  <c r="U23" i="19"/>
  <c r="V23" i="19"/>
  <c r="W23" i="19"/>
  <c r="X23" i="19"/>
  <c r="E24" i="19"/>
  <c r="F24" i="19"/>
  <c r="G24" i="19"/>
  <c r="H24" i="19"/>
  <c r="I24" i="19"/>
  <c r="J24" i="19"/>
  <c r="K24" i="19"/>
  <c r="L24" i="19"/>
  <c r="M24" i="19"/>
  <c r="N24" i="19"/>
  <c r="O24" i="19"/>
  <c r="P24" i="19"/>
  <c r="Q24" i="19"/>
  <c r="R24" i="19"/>
  <c r="S24" i="19"/>
  <c r="T24" i="19"/>
  <c r="U24" i="19"/>
  <c r="V24" i="19"/>
  <c r="W24" i="19"/>
  <c r="X24" i="19"/>
  <c r="E25" i="19"/>
  <c r="F25" i="19"/>
  <c r="G25" i="19"/>
  <c r="H25" i="19"/>
  <c r="I25" i="19"/>
  <c r="J25" i="19"/>
  <c r="K25" i="19"/>
  <c r="L25" i="19"/>
  <c r="M25" i="19"/>
  <c r="N25" i="19"/>
  <c r="O25" i="19"/>
  <c r="P25" i="19"/>
  <c r="Q25" i="19"/>
  <c r="R25" i="19"/>
  <c r="S25" i="19"/>
  <c r="T25" i="19"/>
  <c r="U25" i="19"/>
  <c r="V25" i="19"/>
  <c r="W25" i="19"/>
  <c r="X25" i="19"/>
  <c r="E26" i="19"/>
  <c r="F26" i="19"/>
  <c r="G26" i="19"/>
  <c r="H26" i="19"/>
  <c r="I26" i="19"/>
  <c r="J26" i="19"/>
  <c r="K26" i="19"/>
  <c r="L26" i="19"/>
  <c r="M26" i="19"/>
  <c r="N26" i="19"/>
  <c r="O26" i="19"/>
  <c r="P26" i="19"/>
  <c r="Q26" i="19"/>
  <c r="R26" i="19"/>
  <c r="S26" i="19"/>
  <c r="T26" i="19"/>
  <c r="U26" i="19"/>
  <c r="V26" i="19"/>
  <c r="W26" i="19"/>
  <c r="X26" i="19"/>
  <c r="E27" i="19"/>
  <c r="F27" i="19"/>
  <c r="G27" i="19"/>
  <c r="H27" i="19"/>
  <c r="I27" i="19"/>
  <c r="J27" i="19"/>
  <c r="K27" i="19"/>
  <c r="L27" i="19"/>
  <c r="M27" i="19"/>
  <c r="N27" i="19"/>
  <c r="O27" i="19"/>
  <c r="P27" i="19"/>
  <c r="Q27" i="19"/>
  <c r="R27" i="19"/>
  <c r="S27" i="19"/>
  <c r="T27" i="19"/>
  <c r="U27" i="19"/>
  <c r="V27" i="19"/>
  <c r="W27" i="19"/>
  <c r="X27" i="19"/>
  <c r="E28" i="19"/>
  <c r="F28" i="19"/>
  <c r="G28" i="19"/>
  <c r="H28" i="19"/>
  <c r="I28" i="19"/>
  <c r="J28" i="19"/>
  <c r="K28" i="19"/>
  <c r="L28" i="19"/>
  <c r="M28" i="19"/>
  <c r="N28" i="19"/>
  <c r="O28" i="19"/>
  <c r="P28" i="19"/>
  <c r="Q28" i="19"/>
  <c r="R28" i="19"/>
  <c r="S28" i="19"/>
  <c r="T28" i="19"/>
  <c r="U28" i="19"/>
  <c r="V28" i="19"/>
  <c r="W28" i="19"/>
  <c r="X28" i="19"/>
  <c r="E29" i="19"/>
  <c r="F29" i="19"/>
  <c r="G29" i="19"/>
  <c r="H29" i="19"/>
  <c r="I29" i="19"/>
  <c r="J29" i="19"/>
  <c r="K29" i="19"/>
  <c r="L29" i="19"/>
  <c r="M29" i="19"/>
  <c r="N29" i="19"/>
  <c r="O29" i="19"/>
  <c r="P29" i="19"/>
  <c r="Q29" i="19"/>
  <c r="R29" i="19"/>
  <c r="S29" i="19"/>
  <c r="T29" i="19"/>
  <c r="U29" i="19"/>
  <c r="V29" i="19"/>
  <c r="W29" i="19"/>
  <c r="X29" i="19"/>
  <c r="E30" i="19"/>
  <c r="F30" i="19"/>
  <c r="G30" i="19"/>
  <c r="H30" i="19"/>
  <c r="I30" i="19"/>
  <c r="J30" i="19"/>
  <c r="K30" i="19"/>
  <c r="L30" i="19"/>
  <c r="M30" i="19"/>
  <c r="N30" i="19"/>
  <c r="O30" i="19"/>
  <c r="P30" i="19"/>
  <c r="Q30" i="19"/>
  <c r="R30" i="19"/>
  <c r="S30" i="19"/>
  <c r="T30" i="19"/>
  <c r="U30" i="19"/>
  <c r="V30" i="19"/>
  <c r="W30" i="19"/>
  <c r="X30" i="19"/>
  <c r="E31" i="19"/>
  <c r="F31" i="19"/>
  <c r="G31" i="19"/>
  <c r="H31" i="19"/>
  <c r="I31" i="19"/>
  <c r="J31" i="19"/>
  <c r="K31" i="19"/>
  <c r="L31" i="19"/>
  <c r="M31" i="19"/>
  <c r="N31" i="19"/>
  <c r="O31" i="19"/>
  <c r="P31" i="19"/>
  <c r="Q31" i="19"/>
  <c r="R31" i="19"/>
  <c r="S31" i="19"/>
  <c r="T31" i="19"/>
  <c r="U31" i="19"/>
  <c r="V31" i="19"/>
  <c r="W31" i="19"/>
  <c r="X31" i="19"/>
  <c r="E32" i="19"/>
  <c r="F32" i="19"/>
  <c r="G32" i="19"/>
  <c r="H32" i="19"/>
  <c r="I32" i="19"/>
  <c r="J32" i="19"/>
  <c r="K32" i="19"/>
  <c r="L32" i="19"/>
  <c r="M32" i="19"/>
  <c r="N32" i="19"/>
  <c r="O32" i="19"/>
  <c r="P32" i="19"/>
  <c r="Q32" i="19"/>
  <c r="R32" i="19"/>
  <c r="S32" i="19"/>
  <c r="T32" i="19"/>
  <c r="U32" i="19"/>
  <c r="V32" i="19"/>
  <c r="W32" i="19"/>
  <c r="X32" i="19"/>
  <c r="E33" i="19"/>
  <c r="F33" i="19"/>
  <c r="G33" i="19"/>
  <c r="H33" i="19"/>
  <c r="I33" i="19"/>
  <c r="J33" i="19"/>
  <c r="K33" i="19"/>
  <c r="L33" i="19"/>
  <c r="M33" i="19"/>
  <c r="N33" i="19"/>
  <c r="O33" i="19"/>
  <c r="P33" i="19"/>
  <c r="Q33" i="19"/>
  <c r="R33" i="19"/>
  <c r="S33" i="19"/>
  <c r="T33" i="19"/>
  <c r="U33" i="19"/>
  <c r="V33" i="19"/>
  <c r="W33" i="19"/>
  <c r="X33" i="19"/>
  <c r="E34" i="19"/>
  <c r="F34" i="19"/>
  <c r="G34" i="19"/>
  <c r="H34" i="19"/>
  <c r="I34" i="19"/>
  <c r="J34" i="19"/>
  <c r="K34" i="19"/>
  <c r="L34" i="19"/>
  <c r="M34" i="19"/>
  <c r="N34" i="19"/>
  <c r="O34" i="19"/>
  <c r="P34" i="19"/>
  <c r="Q34" i="19"/>
  <c r="R34" i="19"/>
  <c r="S34" i="19"/>
  <c r="T34" i="19"/>
  <c r="U34" i="19"/>
  <c r="V34" i="19"/>
  <c r="W34" i="19"/>
  <c r="X34" i="19"/>
  <c r="E35" i="19"/>
  <c r="F35" i="19"/>
  <c r="G35" i="19"/>
  <c r="H35" i="19"/>
  <c r="I35" i="19"/>
  <c r="J35" i="19"/>
  <c r="K35" i="19"/>
  <c r="L35" i="19"/>
  <c r="M35" i="19"/>
  <c r="N35" i="19"/>
  <c r="O35" i="19"/>
  <c r="P35" i="19"/>
  <c r="Q35" i="19"/>
  <c r="R35" i="19"/>
  <c r="S35" i="19"/>
  <c r="T35" i="19"/>
  <c r="U35" i="19"/>
  <c r="V35" i="19"/>
  <c r="W35" i="19"/>
  <c r="X35" i="19"/>
  <c r="E36" i="19"/>
  <c r="F36" i="19"/>
  <c r="G36" i="19"/>
  <c r="H36" i="19"/>
  <c r="I36" i="19"/>
  <c r="J36" i="19"/>
  <c r="K36" i="19"/>
  <c r="L36" i="19"/>
  <c r="M36" i="19"/>
  <c r="N36" i="19"/>
  <c r="O36" i="19"/>
  <c r="P36" i="19"/>
  <c r="Q36" i="19"/>
  <c r="R36" i="19"/>
  <c r="S36" i="19"/>
  <c r="T36" i="19"/>
  <c r="U36" i="19"/>
  <c r="V36" i="19"/>
  <c r="W36" i="19"/>
  <c r="X36" i="19"/>
  <c r="E37" i="19"/>
  <c r="F37" i="19"/>
  <c r="G37" i="19"/>
  <c r="H37" i="19"/>
  <c r="I37" i="19"/>
  <c r="J37" i="19"/>
  <c r="K37" i="19"/>
  <c r="L37" i="19"/>
  <c r="M37" i="19"/>
  <c r="N37" i="19"/>
  <c r="O37" i="19"/>
  <c r="P37" i="19"/>
  <c r="Q37" i="19"/>
  <c r="R37" i="19"/>
  <c r="S37" i="19"/>
  <c r="T37" i="19"/>
  <c r="U37" i="19"/>
  <c r="V37" i="19"/>
  <c r="W37" i="19"/>
  <c r="X37" i="19"/>
  <c r="E38" i="19"/>
  <c r="F38" i="19"/>
  <c r="G38" i="19"/>
  <c r="H38" i="19"/>
  <c r="I38" i="19"/>
  <c r="J38" i="19"/>
  <c r="K38" i="19"/>
  <c r="L38" i="19"/>
  <c r="M38" i="19"/>
  <c r="N38" i="19"/>
  <c r="O38" i="19"/>
  <c r="P38" i="19"/>
  <c r="Q38" i="19"/>
  <c r="R38" i="19"/>
  <c r="S38" i="19"/>
  <c r="T38" i="19"/>
  <c r="U38" i="19"/>
  <c r="V38" i="19"/>
  <c r="W38" i="19"/>
  <c r="X38" i="19"/>
  <c r="E39" i="19"/>
  <c r="F39" i="19"/>
  <c r="G39" i="19"/>
  <c r="H39" i="19"/>
  <c r="I39" i="19"/>
  <c r="J39" i="19"/>
  <c r="K39" i="19"/>
  <c r="L39" i="19"/>
  <c r="M39" i="19"/>
  <c r="N39" i="19"/>
  <c r="O39" i="19"/>
  <c r="P39" i="19"/>
  <c r="Q39" i="19"/>
  <c r="R39" i="19"/>
  <c r="S39" i="19"/>
  <c r="T39" i="19"/>
  <c r="U39" i="19"/>
  <c r="V39" i="19"/>
  <c r="W39" i="19"/>
  <c r="X39" i="19"/>
  <c r="E40" i="19"/>
  <c r="F40" i="19"/>
  <c r="G40" i="19"/>
  <c r="H40" i="19"/>
  <c r="I40" i="19"/>
  <c r="J40" i="19"/>
  <c r="K40" i="19"/>
  <c r="L40" i="19"/>
  <c r="M40" i="19"/>
  <c r="N40" i="19"/>
  <c r="O40" i="19"/>
  <c r="P40" i="19"/>
  <c r="Q40" i="19"/>
  <c r="R40" i="19"/>
  <c r="S40" i="19"/>
  <c r="T40" i="19"/>
  <c r="U40" i="19"/>
  <c r="V40" i="19"/>
  <c r="W40" i="19"/>
  <c r="X40" i="19"/>
  <c r="E41" i="19"/>
  <c r="F41" i="19"/>
  <c r="G41" i="19"/>
  <c r="H41" i="19"/>
  <c r="I41" i="19"/>
  <c r="J41" i="19"/>
  <c r="K41" i="19"/>
  <c r="L41" i="19"/>
  <c r="M41" i="19"/>
  <c r="N41" i="19"/>
  <c r="O41" i="19"/>
  <c r="P41" i="19"/>
  <c r="Q41" i="19"/>
  <c r="R41" i="19"/>
  <c r="S41" i="19"/>
  <c r="T41" i="19"/>
  <c r="U41" i="19"/>
  <c r="V41" i="19"/>
  <c r="W41" i="19"/>
  <c r="X41" i="19"/>
  <c r="E42" i="19"/>
  <c r="F42" i="19"/>
  <c r="G42" i="19"/>
  <c r="H42" i="19"/>
  <c r="I42" i="19"/>
  <c r="J42" i="19"/>
  <c r="K42" i="19"/>
  <c r="L42" i="19"/>
  <c r="M42" i="19"/>
  <c r="N42" i="19"/>
  <c r="O42" i="19"/>
  <c r="P42" i="19"/>
  <c r="Q42" i="19"/>
  <c r="R42" i="19"/>
  <c r="S42" i="19"/>
  <c r="T42" i="19"/>
  <c r="U42" i="19"/>
  <c r="V42" i="19"/>
  <c r="W42" i="19"/>
  <c r="X42" i="19"/>
  <c r="E43" i="19"/>
  <c r="F43" i="19"/>
  <c r="G43" i="19"/>
  <c r="H43" i="19"/>
  <c r="I43" i="19"/>
  <c r="J43" i="19"/>
  <c r="K43" i="19"/>
  <c r="L43" i="19"/>
  <c r="M43" i="19"/>
  <c r="N43" i="19"/>
  <c r="O43" i="19"/>
  <c r="P43" i="19"/>
  <c r="Q43" i="19"/>
  <c r="R43" i="19"/>
  <c r="S43" i="19"/>
  <c r="T43" i="19"/>
  <c r="U43" i="19"/>
  <c r="V43" i="19"/>
  <c r="W43" i="19"/>
  <c r="X43" i="19"/>
  <c r="E44" i="19"/>
  <c r="F44" i="19"/>
  <c r="G44" i="19"/>
  <c r="H44" i="19"/>
  <c r="I44" i="19"/>
  <c r="J44" i="19"/>
  <c r="K44" i="19"/>
  <c r="L44" i="19"/>
  <c r="M44" i="19"/>
  <c r="N44" i="19"/>
  <c r="O44" i="19"/>
  <c r="P44" i="19"/>
  <c r="Q44" i="19"/>
  <c r="R44" i="19"/>
  <c r="S44" i="19"/>
  <c r="T44" i="19"/>
  <c r="U44" i="19"/>
  <c r="V44" i="19"/>
  <c r="W44" i="19"/>
  <c r="X44" i="19"/>
  <c r="E45" i="19"/>
  <c r="F45" i="19"/>
  <c r="G45" i="19"/>
  <c r="H45" i="19"/>
  <c r="I45" i="19"/>
  <c r="J45" i="19"/>
  <c r="K45" i="19"/>
  <c r="L45" i="19"/>
  <c r="M45" i="19"/>
  <c r="N45" i="19"/>
  <c r="O45" i="19"/>
  <c r="P45" i="19"/>
  <c r="Q45" i="19"/>
  <c r="R45" i="19"/>
  <c r="S45" i="19"/>
  <c r="T45" i="19"/>
  <c r="U45" i="19"/>
  <c r="V45" i="19"/>
  <c r="W45" i="19"/>
  <c r="X45" i="19"/>
  <c r="E46" i="19"/>
  <c r="F46" i="19"/>
  <c r="G46" i="19"/>
  <c r="H46" i="19"/>
  <c r="I46" i="19"/>
  <c r="J46" i="19"/>
  <c r="K46" i="19"/>
  <c r="L46" i="19"/>
  <c r="M46" i="19"/>
  <c r="N46" i="19"/>
  <c r="O46" i="19"/>
  <c r="P46" i="19"/>
  <c r="Q46" i="19"/>
  <c r="R46" i="19"/>
  <c r="S46" i="19"/>
  <c r="T46" i="19"/>
  <c r="U46" i="19"/>
  <c r="V46" i="19"/>
  <c r="W46" i="19"/>
  <c r="X46" i="19"/>
  <c r="X46" i="21"/>
  <c r="W46" i="21"/>
  <c r="V46" i="21"/>
  <c r="U46" i="21"/>
  <c r="T46" i="21"/>
  <c r="S46" i="21"/>
  <c r="R46" i="21"/>
  <c r="Q46" i="21"/>
  <c r="P46" i="21"/>
  <c r="O46" i="21"/>
  <c r="N46" i="21"/>
  <c r="M46" i="21"/>
  <c r="L46" i="21"/>
  <c r="K46" i="21"/>
  <c r="J46" i="21"/>
  <c r="I46" i="21"/>
  <c r="H46" i="21"/>
  <c r="G46" i="21"/>
  <c r="F46" i="21"/>
  <c r="E46" i="21"/>
  <c r="X45" i="21"/>
  <c r="W45" i="21"/>
  <c r="V45" i="21"/>
  <c r="U45" i="21"/>
  <c r="T45" i="21"/>
  <c r="S45" i="21"/>
  <c r="R45" i="21"/>
  <c r="Q45" i="21"/>
  <c r="P45" i="21"/>
  <c r="O45" i="21"/>
  <c r="N45" i="21"/>
  <c r="M45" i="21"/>
  <c r="L45" i="21"/>
  <c r="K45" i="21"/>
  <c r="J45" i="21"/>
  <c r="I45" i="21"/>
  <c r="H45" i="21"/>
  <c r="G45" i="21"/>
  <c r="F45" i="21"/>
  <c r="E45" i="21"/>
  <c r="X44" i="21"/>
  <c r="W44" i="21"/>
  <c r="V44" i="21"/>
  <c r="U44" i="21"/>
  <c r="T44" i="21"/>
  <c r="S44" i="21"/>
  <c r="R44" i="21"/>
  <c r="Q44" i="21"/>
  <c r="P44" i="21"/>
  <c r="O44" i="21"/>
  <c r="N44" i="21"/>
  <c r="M44" i="21"/>
  <c r="L44" i="21"/>
  <c r="K44" i="21"/>
  <c r="J44" i="21"/>
  <c r="I44" i="21"/>
  <c r="H44" i="21"/>
  <c r="G44" i="21"/>
  <c r="F44" i="21"/>
  <c r="E44" i="21"/>
  <c r="X43" i="21"/>
  <c r="W43" i="21"/>
  <c r="V43" i="21"/>
  <c r="U43" i="21"/>
  <c r="T43" i="21"/>
  <c r="S43" i="21"/>
  <c r="R43" i="21"/>
  <c r="Q43" i="21"/>
  <c r="P43" i="21"/>
  <c r="O43" i="21"/>
  <c r="N43" i="21"/>
  <c r="M43" i="21"/>
  <c r="L43" i="21"/>
  <c r="K43" i="21"/>
  <c r="J43" i="21"/>
  <c r="I43" i="21"/>
  <c r="H43" i="21"/>
  <c r="G43" i="21"/>
  <c r="F43" i="21"/>
  <c r="E43" i="21"/>
  <c r="X42" i="21"/>
  <c r="W42" i="21"/>
  <c r="V42" i="21"/>
  <c r="U42" i="21"/>
  <c r="T42" i="21"/>
  <c r="S42" i="21"/>
  <c r="R42" i="21"/>
  <c r="Q42" i="21"/>
  <c r="P42" i="21"/>
  <c r="O42" i="21"/>
  <c r="N42" i="21"/>
  <c r="M42" i="21"/>
  <c r="L42" i="21"/>
  <c r="K42" i="21"/>
  <c r="J42" i="21"/>
  <c r="I42" i="21"/>
  <c r="H42" i="21"/>
  <c r="G42" i="21"/>
  <c r="F42" i="21"/>
  <c r="E42" i="21"/>
  <c r="X41" i="21"/>
  <c r="W41" i="21"/>
  <c r="V41" i="21"/>
  <c r="U41" i="21"/>
  <c r="T41" i="21"/>
  <c r="S41" i="21"/>
  <c r="R41" i="21"/>
  <c r="Q41" i="21"/>
  <c r="P41" i="21"/>
  <c r="O41" i="21"/>
  <c r="N41" i="21"/>
  <c r="M41" i="21"/>
  <c r="L41" i="21"/>
  <c r="K41" i="21"/>
  <c r="J41" i="21"/>
  <c r="I41" i="21"/>
  <c r="H41" i="21"/>
  <c r="G41" i="21"/>
  <c r="F41" i="21"/>
  <c r="E41" i="21"/>
  <c r="X40" i="21"/>
  <c r="W40" i="21"/>
  <c r="V40" i="21"/>
  <c r="U40" i="21"/>
  <c r="T40" i="21"/>
  <c r="S40" i="21"/>
  <c r="R40" i="21"/>
  <c r="Q40" i="21"/>
  <c r="P40" i="21"/>
  <c r="O40" i="21"/>
  <c r="N40" i="21"/>
  <c r="M40" i="21"/>
  <c r="L40" i="21"/>
  <c r="K40" i="21"/>
  <c r="J40" i="21"/>
  <c r="I40" i="21"/>
  <c r="H40" i="21"/>
  <c r="G40" i="21"/>
  <c r="F40" i="21"/>
  <c r="E40" i="21"/>
  <c r="X39" i="21"/>
  <c r="W39" i="21"/>
  <c r="V39" i="21"/>
  <c r="U39" i="21"/>
  <c r="T39" i="21"/>
  <c r="S39" i="21"/>
  <c r="R39" i="21"/>
  <c r="Q39" i="21"/>
  <c r="P39" i="21"/>
  <c r="O39" i="21"/>
  <c r="N39" i="21"/>
  <c r="M39" i="21"/>
  <c r="L39" i="21"/>
  <c r="K39" i="21"/>
  <c r="J39" i="21"/>
  <c r="I39" i="21"/>
  <c r="H39" i="21"/>
  <c r="G39" i="21"/>
  <c r="F39" i="21"/>
  <c r="E39" i="21"/>
  <c r="X38" i="21"/>
  <c r="W38" i="21"/>
  <c r="V38" i="21"/>
  <c r="U38" i="21"/>
  <c r="T38" i="21"/>
  <c r="S38" i="21"/>
  <c r="R38" i="21"/>
  <c r="Q38" i="21"/>
  <c r="P38" i="21"/>
  <c r="O38" i="21"/>
  <c r="N38" i="21"/>
  <c r="M38" i="21"/>
  <c r="L38" i="21"/>
  <c r="K38" i="21"/>
  <c r="J38" i="21"/>
  <c r="I38" i="21"/>
  <c r="H38" i="21"/>
  <c r="G38" i="21"/>
  <c r="F38" i="21"/>
  <c r="E38" i="21"/>
  <c r="X37" i="21"/>
  <c r="W37" i="21"/>
  <c r="V37" i="21"/>
  <c r="U37" i="21"/>
  <c r="T37" i="21"/>
  <c r="S37" i="21"/>
  <c r="R37" i="21"/>
  <c r="Q37" i="21"/>
  <c r="P37" i="21"/>
  <c r="O37" i="21"/>
  <c r="N37" i="21"/>
  <c r="M37" i="21"/>
  <c r="L37" i="21"/>
  <c r="K37" i="21"/>
  <c r="J37" i="21"/>
  <c r="I37" i="21"/>
  <c r="H37" i="21"/>
  <c r="G37" i="21"/>
  <c r="F37" i="21"/>
  <c r="E37" i="21"/>
  <c r="X36" i="21"/>
  <c r="W36" i="21"/>
  <c r="V36" i="21"/>
  <c r="U36" i="21"/>
  <c r="T36" i="21"/>
  <c r="S36" i="21"/>
  <c r="R36" i="21"/>
  <c r="Q36" i="21"/>
  <c r="P36" i="21"/>
  <c r="O36" i="21"/>
  <c r="N36" i="21"/>
  <c r="M36" i="21"/>
  <c r="L36" i="21"/>
  <c r="K36" i="21"/>
  <c r="J36" i="21"/>
  <c r="I36" i="21"/>
  <c r="H36" i="21"/>
  <c r="G36" i="21"/>
  <c r="F36" i="21"/>
  <c r="E36" i="21"/>
  <c r="X35" i="21"/>
  <c r="W35" i="21"/>
  <c r="V35" i="21"/>
  <c r="U35" i="21"/>
  <c r="T35" i="21"/>
  <c r="S35" i="21"/>
  <c r="R35" i="21"/>
  <c r="Q35" i="21"/>
  <c r="P35" i="21"/>
  <c r="O35" i="21"/>
  <c r="N35" i="21"/>
  <c r="M35" i="21"/>
  <c r="L35" i="21"/>
  <c r="K35" i="21"/>
  <c r="J35" i="21"/>
  <c r="I35" i="21"/>
  <c r="H35" i="21"/>
  <c r="G35" i="21"/>
  <c r="F35" i="21"/>
  <c r="E35" i="21"/>
  <c r="X34" i="21"/>
  <c r="W34" i="21"/>
  <c r="V34" i="21"/>
  <c r="U34" i="21"/>
  <c r="T34" i="21"/>
  <c r="S34" i="21"/>
  <c r="R34" i="21"/>
  <c r="Q34" i="21"/>
  <c r="P34" i="21"/>
  <c r="O34" i="21"/>
  <c r="N34" i="21"/>
  <c r="M34" i="21"/>
  <c r="L34" i="21"/>
  <c r="K34" i="21"/>
  <c r="J34" i="21"/>
  <c r="I34" i="21"/>
  <c r="H34" i="21"/>
  <c r="G34" i="21"/>
  <c r="F34" i="21"/>
  <c r="E34" i="21"/>
  <c r="X33" i="21"/>
  <c r="W33" i="21"/>
  <c r="V33" i="21"/>
  <c r="U33" i="21"/>
  <c r="T33" i="21"/>
  <c r="S33" i="21"/>
  <c r="R33" i="21"/>
  <c r="Q33" i="21"/>
  <c r="P33" i="21"/>
  <c r="O33" i="21"/>
  <c r="N33" i="21"/>
  <c r="M33" i="21"/>
  <c r="L33" i="21"/>
  <c r="K33" i="21"/>
  <c r="J33" i="21"/>
  <c r="I33" i="21"/>
  <c r="H33" i="21"/>
  <c r="G33" i="21"/>
  <c r="F33" i="21"/>
  <c r="E33" i="21"/>
  <c r="X32" i="21"/>
  <c r="W32" i="21"/>
  <c r="V32" i="21"/>
  <c r="U32" i="21"/>
  <c r="T32" i="21"/>
  <c r="S32" i="21"/>
  <c r="R32" i="21"/>
  <c r="Q32" i="21"/>
  <c r="P32" i="21"/>
  <c r="O32" i="21"/>
  <c r="N32" i="21"/>
  <c r="M32" i="21"/>
  <c r="L32" i="21"/>
  <c r="K32" i="21"/>
  <c r="J32" i="21"/>
  <c r="I32" i="21"/>
  <c r="H32" i="21"/>
  <c r="G32" i="21"/>
  <c r="F32" i="21"/>
  <c r="E32" i="21"/>
  <c r="X31" i="21"/>
  <c r="W31" i="21"/>
  <c r="V31" i="21"/>
  <c r="U31" i="21"/>
  <c r="T31" i="21"/>
  <c r="S31" i="21"/>
  <c r="R31" i="21"/>
  <c r="Q31" i="21"/>
  <c r="P31" i="21"/>
  <c r="O31" i="21"/>
  <c r="N31" i="21"/>
  <c r="M31" i="21"/>
  <c r="L31" i="21"/>
  <c r="K31" i="21"/>
  <c r="J31" i="21"/>
  <c r="I31" i="21"/>
  <c r="H31" i="21"/>
  <c r="G31" i="21"/>
  <c r="F31" i="21"/>
  <c r="E31" i="21"/>
  <c r="X30" i="21"/>
  <c r="W30" i="21"/>
  <c r="V30" i="21"/>
  <c r="U30" i="21"/>
  <c r="T30" i="21"/>
  <c r="S30" i="21"/>
  <c r="R30" i="21"/>
  <c r="Q30" i="21"/>
  <c r="P30" i="21"/>
  <c r="O30" i="21"/>
  <c r="N30" i="21"/>
  <c r="M30" i="21"/>
  <c r="L30" i="21"/>
  <c r="K30" i="21"/>
  <c r="J30" i="21"/>
  <c r="I30" i="21"/>
  <c r="H30" i="21"/>
  <c r="G30" i="21"/>
  <c r="F30" i="21"/>
  <c r="E30" i="21"/>
  <c r="X29" i="21"/>
  <c r="W29" i="21"/>
  <c r="V29" i="21"/>
  <c r="U29" i="21"/>
  <c r="T29" i="21"/>
  <c r="S29" i="21"/>
  <c r="R29" i="21"/>
  <c r="Q29" i="21"/>
  <c r="P29" i="21"/>
  <c r="O29" i="21"/>
  <c r="N29" i="21"/>
  <c r="M29" i="21"/>
  <c r="L29" i="21"/>
  <c r="K29" i="21"/>
  <c r="J29" i="21"/>
  <c r="I29" i="21"/>
  <c r="H29" i="21"/>
  <c r="G29" i="21"/>
  <c r="F29" i="21"/>
  <c r="E29" i="21"/>
  <c r="X28" i="21"/>
  <c r="W28" i="21"/>
  <c r="V28" i="21"/>
  <c r="U28" i="21"/>
  <c r="T28" i="21"/>
  <c r="S28" i="21"/>
  <c r="R28" i="21"/>
  <c r="Q28" i="21"/>
  <c r="P28" i="21"/>
  <c r="O28" i="21"/>
  <c r="N28" i="21"/>
  <c r="M28" i="21"/>
  <c r="L28" i="21"/>
  <c r="K28" i="21"/>
  <c r="J28" i="21"/>
  <c r="I28" i="21"/>
  <c r="H28" i="21"/>
  <c r="G28" i="21"/>
  <c r="F28" i="21"/>
  <c r="E28" i="21"/>
  <c r="X27" i="21"/>
  <c r="W27" i="21"/>
  <c r="V27" i="21"/>
  <c r="U27" i="21"/>
  <c r="T27" i="21"/>
  <c r="S27" i="21"/>
  <c r="R27" i="21"/>
  <c r="Q27" i="21"/>
  <c r="P27" i="21"/>
  <c r="O27" i="21"/>
  <c r="N27" i="21"/>
  <c r="M27" i="21"/>
  <c r="L27" i="21"/>
  <c r="K27" i="21"/>
  <c r="J27" i="21"/>
  <c r="I27" i="21"/>
  <c r="H27" i="21"/>
  <c r="G27" i="21"/>
  <c r="F27" i="21"/>
  <c r="E27" i="21"/>
  <c r="X26" i="21"/>
  <c r="W26" i="21"/>
  <c r="V26" i="21"/>
  <c r="U26" i="21"/>
  <c r="T26" i="21"/>
  <c r="S26" i="21"/>
  <c r="R26" i="21"/>
  <c r="Q26" i="21"/>
  <c r="P26" i="21"/>
  <c r="O26" i="21"/>
  <c r="N26" i="21"/>
  <c r="M26" i="21"/>
  <c r="L26" i="21"/>
  <c r="K26" i="21"/>
  <c r="J26" i="21"/>
  <c r="I26" i="21"/>
  <c r="H26" i="21"/>
  <c r="G26" i="21"/>
  <c r="F26" i="21"/>
  <c r="E26" i="21"/>
  <c r="X25" i="21"/>
  <c r="W25" i="21"/>
  <c r="V25" i="21"/>
  <c r="U25" i="21"/>
  <c r="T25" i="21"/>
  <c r="S25" i="21"/>
  <c r="R25" i="21"/>
  <c r="Q25" i="21"/>
  <c r="P25" i="21"/>
  <c r="O25" i="21"/>
  <c r="N25" i="21"/>
  <c r="M25" i="21"/>
  <c r="L25" i="21"/>
  <c r="K25" i="21"/>
  <c r="J25" i="21"/>
  <c r="I25" i="21"/>
  <c r="H25" i="21"/>
  <c r="G25" i="21"/>
  <c r="F25" i="21"/>
  <c r="E25" i="21"/>
  <c r="X24" i="21"/>
  <c r="W24" i="21"/>
  <c r="V24" i="21"/>
  <c r="U24" i="21"/>
  <c r="T24" i="21"/>
  <c r="S24" i="21"/>
  <c r="R24" i="21"/>
  <c r="Q24" i="21"/>
  <c r="P24" i="21"/>
  <c r="O24" i="21"/>
  <c r="N24" i="21"/>
  <c r="M24" i="21"/>
  <c r="L24" i="21"/>
  <c r="K24" i="21"/>
  <c r="J24" i="21"/>
  <c r="I24" i="21"/>
  <c r="H24" i="21"/>
  <c r="G24" i="21"/>
  <c r="F24" i="21"/>
  <c r="E24" i="21"/>
  <c r="X23" i="21"/>
  <c r="W23" i="21"/>
  <c r="V23" i="21"/>
  <c r="U23" i="21"/>
  <c r="T23" i="21"/>
  <c r="S23" i="21"/>
  <c r="R23" i="21"/>
  <c r="Q23" i="21"/>
  <c r="P23" i="21"/>
  <c r="O23" i="21"/>
  <c r="N23" i="21"/>
  <c r="M23" i="21"/>
  <c r="L23" i="21"/>
  <c r="K23" i="21"/>
  <c r="J23" i="21"/>
  <c r="I23" i="21"/>
  <c r="H23" i="21"/>
  <c r="G23" i="21"/>
  <c r="F23" i="21"/>
  <c r="E23" i="21"/>
  <c r="X22" i="21"/>
  <c r="W22" i="21"/>
  <c r="V22" i="21"/>
  <c r="U22" i="21"/>
  <c r="T22" i="21"/>
  <c r="S22" i="21"/>
  <c r="R22" i="21"/>
  <c r="Q22" i="21"/>
  <c r="P22" i="21"/>
  <c r="O22" i="21"/>
  <c r="N22" i="21"/>
  <c r="M22" i="21"/>
  <c r="L22" i="21"/>
  <c r="K22" i="21"/>
  <c r="J22" i="21"/>
  <c r="I22" i="21"/>
  <c r="H22" i="21"/>
  <c r="G22" i="21"/>
  <c r="F22" i="21"/>
  <c r="E22" i="21"/>
  <c r="X21" i="21"/>
  <c r="W21" i="21"/>
  <c r="V21" i="21"/>
  <c r="U21" i="21"/>
  <c r="T21" i="21"/>
  <c r="S21" i="21"/>
  <c r="R21" i="21"/>
  <c r="Q21" i="21"/>
  <c r="P21" i="21"/>
  <c r="O21" i="21"/>
  <c r="N21" i="21"/>
  <c r="M21" i="21"/>
  <c r="L21" i="21"/>
  <c r="K21" i="21"/>
  <c r="J21" i="21"/>
  <c r="I21" i="21"/>
  <c r="H21" i="21"/>
  <c r="G21" i="21"/>
  <c r="F21" i="21"/>
  <c r="E21" i="21"/>
  <c r="X20" i="21"/>
  <c r="W20" i="21"/>
  <c r="V20" i="21"/>
  <c r="U20" i="21"/>
  <c r="T20" i="21"/>
  <c r="S20" i="21"/>
  <c r="R20" i="21"/>
  <c r="Q20" i="21"/>
  <c r="P20" i="21"/>
  <c r="O20" i="21"/>
  <c r="N20" i="21"/>
  <c r="M20" i="21"/>
  <c r="L20" i="21"/>
  <c r="K20" i="21"/>
  <c r="J20" i="21"/>
  <c r="I20" i="21"/>
  <c r="H20" i="21"/>
  <c r="G20" i="21"/>
  <c r="F20" i="21"/>
  <c r="E20" i="21"/>
  <c r="U18" i="21"/>
  <c r="Z44" i="20"/>
  <c r="Y44" i="20"/>
  <c r="X44" i="20"/>
  <c r="W44" i="20"/>
  <c r="V44" i="20"/>
  <c r="U44" i="20"/>
  <c r="T44" i="20"/>
  <c r="S44" i="20"/>
  <c r="R44" i="20"/>
  <c r="Q44" i="20"/>
  <c r="P44" i="20"/>
  <c r="O44" i="20"/>
  <c r="N44" i="20"/>
  <c r="M44" i="20"/>
  <c r="L44" i="20"/>
  <c r="K44" i="20"/>
  <c r="J44" i="20"/>
  <c r="I44" i="20"/>
  <c r="H44" i="20"/>
  <c r="G44" i="20"/>
  <c r="F44" i="20"/>
  <c r="E44" i="20"/>
  <c r="Z43" i="20"/>
  <c r="Y43" i="20"/>
  <c r="X43" i="20"/>
  <c r="W43" i="20"/>
  <c r="V43" i="20"/>
  <c r="U43" i="20"/>
  <c r="T43" i="20"/>
  <c r="S43" i="20"/>
  <c r="R43" i="20"/>
  <c r="Q43" i="20"/>
  <c r="P43" i="20"/>
  <c r="O43" i="20"/>
  <c r="N43" i="20"/>
  <c r="M43" i="20"/>
  <c r="L43" i="20"/>
  <c r="K43" i="20"/>
  <c r="J43" i="20"/>
  <c r="I43" i="20"/>
  <c r="H43" i="20"/>
  <c r="G43" i="20"/>
  <c r="F43" i="20"/>
  <c r="E43" i="20"/>
  <c r="Z42" i="20"/>
  <c r="Y42" i="20"/>
  <c r="X42" i="20"/>
  <c r="W42" i="20"/>
  <c r="V42" i="20"/>
  <c r="U42" i="20"/>
  <c r="T42" i="20"/>
  <c r="S42" i="20"/>
  <c r="R42" i="20"/>
  <c r="Q42" i="20"/>
  <c r="P42" i="20"/>
  <c r="O42" i="20"/>
  <c r="N42" i="20"/>
  <c r="M42" i="20"/>
  <c r="L42" i="20"/>
  <c r="K42" i="20"/>
  <c r="J42" i="20"/>
  <c r="I42" i="20"/>
  <c r="H42" i="20"/>
  <c r="G42" i="20"/>
  <c r="F42" i="20"/>
  <c r="E42" i="20"/>
  <c r="Z41" i="20"/>
  <c r="Y41" i="20"/>
  <c r="X41" i="20"/>
  <c r="W41" i="20"/>
  <c r="V41" i="20"/>
  <c r="U41" i="20"/>
  <c r="T41" i="20"/>
  <c r="S41" i="20"/>
  <c r="R41" i="20"/>
  <c r="Q41" i="20"/>
  <c r="P41" i="20"/>
  <c r="O41" i="20"/>
  <c r="N41" i="20"/>
  <c r="M41" i="20"/>
  <c r="L41" i="20"/>
  <c r="K41" i="20"/>
  <c r="J41" i="20"/>
  <c r="I41" i="20"/>
  <c r="H41" i="20"/>
  <c r="G41" i="20"/>
  <c r="F41" i="20"/>
  <c r="E41" i="20"/>
  <c r="Z40" i="20"/>
  <c r="Y40" i="20"/>
  <c r="X40" i="20"/>
  <c r="W40" i="20"/>
  <c r="V40" i="20"/>
  <c r="U40" i="20"/>
  <c r="T40" i="20"/>
  <c r="S40" i="20"/>
  <c r="R40" i="20"/>
  <c r="Q40" i="20"/>
  <c r="P40" i="20"/>
  <c r="O40" i="20"/>
  <c r="N40" i="20"/>
  <c r="M40" i="20"/>
  <c r="L40" i="20"/>
  <c r="K40" i="20"/>
  <c r="J40" i="20"/>
  <c r="I40" i="20"/>
  <c r="H40" i="20"/>
  <c r="G40" i="20"/>
  <c r="F40" i="20"/>
  <c r="E40" i="20"/>
  <c r="Z39" i="20"/>
  <c r="Y39" i="20"/>
  <c r="X39" i="20"/>
  <c r="W39" i="20"/>
  <c r="V39" i="20"/>
  <c r="U39" i="20"/>
  <c r="T39" i="20"/>
  <c r="S39" i="20"/>
  <c r="R39" i="20"/>
  <c r="Q39" i="20"/>
  <c r="P39" i="20"/>
  <c r="O39" i="20"/>
  <c r="N39" i="20"/>
  <c r="M39" i="20"/>
  <c r="L39" i="20"/>
  <c r="K39" i="20"/>
  <c r="J39" i="20"/>
  <c r="I39" i="20"/>
  <c r="H39" i="20"/>
  <c r="G39" i="20"/>
  <c r="F39" i="20"/>
  <c r="E39" i="20"/>
  <c r="Z38" i="20"/>
  <c r="Y38" i="20"/>
  <c r="X38" i="20"/>
  <c r="W38" i="20"/>
  <c r="V38" i="20"/>
  <c r="U38" i="20"/>
  <c r="T38" i="20"/>
  <c r="S38" i="20"/>
  <c r="R38" i="20"/>
  <c r="Q38" i="20"/>
  <c r="P38" i="20"/>
  <c r="O38" i="20"/>
  <c r="N38" i="20"/>
  <c r="M38" i="20"/>
  <c r="L38" i="20"/>
  <c r="K38" i="20"/>
  <c r="J38" i="20"/>
  <c r="I38" i="20"/>
  <c r="H38" i="20"/>
  <c r="G38" i="20"/>
  <c r="F38" i="20"/>
  <c r="E38" i="20"/>
  <c r="Z37" i="20"/>
  <c r="Y37" i="20"/>
  <c r="X37" i="20"/>
  <c r="W37" i="20"/>
  <c r="V37" i="20"/>
  <c r="U37" i="20"/>
  <c r="T37" i="20"/>
  <c r="S37" i="20"/>
  <c r="R37" i="20"/>
  <c r="Q37" i="20"/>
  <c r="P37" i="20"/>
  <c r="O37" i="20"/>
  <c r="N37" i="20"/>
  <c r="M37" i="20"/>
  <c r="L37" i="20"/>
  <c r="K37" i="20"/>
  <c r="J37" i="20"/>
  <c r="I37" i="20"/>
  <c r="H37" i="20"/>
  <c r="G37" i="20"/>
  <c r="F37" i="20"/>
  <c r="E37" i="20"/>
  <c r="Z36" i="20"/>
  <c r="Y36" i="20"/>
  <c r="X36" i="20"/>
  <c r="W36" i="20"/>
  <c r="V36" i="20"/>
  <c r="U36" i="20"/>
  <c r="T36" i="20"/>
  <c r="S36" i="20"/>
  <c r="R36" i="20"/>
  <c r="Q36" i="20"/>
  <c r="P36" i="20"/>
  <c r="O36" i="20"/>
  <c r="N36" i="20"/>
  <c r="M36" i="20"/>
  <c r="L36" i="20"/>
  <c r="K36" i="20"/>
  <c r="J36" i="20"/>
  <c r="I36" i="20"/>
  <c r="H36" i="20"/>
  <c r="G36" i="20"/>
  <c r="F36" i="20"/>
  <c r="E36" i="20"/>
  <c r="O75" i="28" l="1"/>
  <c r="O67" i="27"/>
  <c r="O66" i="27"/>
  <c r="X75" i="27"/>
  <c r="O65" i="27"/>
  <c r="O70" i="27"/>
  <c r="V75" i="27"/>
  <c r="W75" i="27"/>
  <c r="O71" i="27"/>
  <c r="O64" i="27"/>
  <c r="O68" i="27"/>
  <c r="O72" i="27"/>
  <c r="C65" i="24"/>
  <c r="B65" i="24"/>
  <c r="U75" i="24"/>
  <c r="O63" i="24" s="1"/>
  <c r="C63" i="24"/>
  <c r="D63" i="24"/>
  <c r="X75" i="24" s="1"/>
  <c r="B63" i="24"/>
  <c r="C64" i="24"/>
  <c r="D64" i="22"/>
  <c r="C65" i="22"/>
  <c r="U75" i="22"/>
  <c r="O63" i="22" s="1"/>
  <c r="D63" i="22"/>
  <c r="C63" i="22"/>
  <c r="B63" i="22"/>
  <c r="O68" i="22"/>
  <c r="U18" i="19"/>
  <c r="O75" i="27" l="1"/>
  <c r="O67" i="24"/>
  <c r="O70" i="24"/>
  <c r="O71" i="24"/>
  <c r="O72" i="24"/>
  <c r="O65" i="24"/>
  <c r="O69" i="24"/>
  <c r="O66" i="24"/>
  <c r="O64" i="24"/>
  <c r="O68" i="24"/>
  <c r="V75" i="24"/>
  <c r="W75" i="24"/>
  <c r="O65" i="22"/>
  <c r="O66" i="22"/>
  <c r="O69" i="22"/>
  <c r="O64" i="22"/>
  <c r="W75" i="22"/>
  <c r="X75" i="22"/>
  <c r="O67" i="22"/>
  <c r="O71" i="22"/>
  <c r="O70" i="22"/>
  <c r="O72" i="22"/>
  <c r="V75" i="22"/>
  <c r="E46" i="18"/>
  <c r="F46" i="18"/>
  <c r="G46" i="18"/>
  <c r="H46" i="18"/>
  <c r="J46" i="18"/>
  <c r="K46" i="18"/>
  <c r="L46" i="18"/>
  <c r="M46" i="18"/>
  <c r="N46" i="18"/>
  <c r="P46" i="18"/>
  <c r="Q46" i="18"/>
  <c r="R46" i="18"/>
  <c r="S46" i="18"/>
  <c r="T46" i="18"/>
  <c r="V46" i="18"/>
  <c r="W46" i="18"/>
  <c r="X46" i="18"/>
  <c r="Y46" i="18"/>
  <c r="Z46" i="18"/>
  <c r="O75" i="24" l="1"/>
  <c r="O75" i="22"/>
  <c r="F20" i="18"/>
  <c r="G20" i="18"/>
  <c r="H20" i="18"/>
  <c r="I20" i="18"/>
  <c r="J20" i="18"/>
  <c r="K20" i="18"/>
  <c r="L20" i="18"/>
  <c r="M20" i="18"/>
  <c r="N20" i="18"/>
  <c r="O20" i="18"/>
  <c r="P20" i="18"/>
  <c r="Q20" i="18"/>
  <c r="R20" i="18"/>
  <c r="S20" i="18"/>
  <c r="T20" i="18"/>
  <c r="U20" i="18"/>
  <c r="V20" i="18"/>
  <c r="W20" i="18"/>
  <c r="X20" i="18"/>
  <c r="Y20" i="18"/>
  <c r="Z20" i="18"/>
  <c r="F21" i="18"/>
  <c r="G21" i="18"/>
  <c r="H21" i="18"/>
  <c r="I21" i="18"/>
  <c r="J21" i="18"/>
  <c r="K21" i="18"/>
  <c r="L21" i="18"/>
  <c r="M21" i="18"/>
  <c r="N21" i="18"/>
  <c r="O21" i="18"/>
  <c r="P21" i="18"/>
  <c r="Q21" i="18"/>
  <c r="R21" i="18"/>
  <c r="S21" i="18"/>
  <c r="T21" i="18"/>
  <c r="U21" i="18"/>
  <c r="V21" i="18"/>
  <c r="W21" i="18"/>
  <c r="X21" i="18"/>
  <c r="Y21" i="18"/>
  <c r="Z21" i="18"/>
  <c r="F22" i="18"/>
  <c r="G22" i="18"/>
  <c r="H22" i="18"/>
  <c r="I22" i="18"/>
  <c r="J22" i="18"/>
  <c r="K22" i="18"/>
  <c r="L22" i="18"/>
  <c r="M22" i="18"/>
  <c r="N22" i="18"/>
  <c r="O22" i="18"/>
  <c r="P22" i="18"/>
  <c r="Q22" i="18"/>
  <c r="R22" i="18"/>
  <c r="S22" i="18"/>
  <c r="T22" i="18"/>
  <c r="U22" i="18"/>
  <c r="V22" i="18"/>
  <c r="W22" i="18"/>
  <c r="X22" i="18"/>
  <c r="Y22" i="18"/>
  <c r="Z22" i="18"/>
  <c r="F23" i="18"/>
  <c r="G23" i="18"/>
  <c r="H23" i="18"/>
  <c r="I23" i="18"/>
  <c r="J23" i="18"/>
  <c r="K23" i="18"/>
  <c r="L23" i="18"/>
  <c r="M23" i="18"/>
  <c r="N23" i="18"/>
  <c r="O23" i="18"/>
  <c r="P23" i="18"/>
  <c r="Q23" i="18"/>
  <c r="R23" i="18"/>
  <c r="S23" i="18"/>
  <c r="T23" i="18"/>
  <c r="U23" i="18"/>
  <c r="V23" i="18"/>
  <c r="W23" i="18"/>
  <c r="X23" i="18"/>
  <c r="Y23" i="18"/>
  <c r="Z23" i="18"/>
  <c r="F24" i="18"/>
  <c r="G24" i="18"/>
  <c r="H24" i="18"/>
  <c r="I24" i="18"/>
  <c r="J24" i="18"/>
  <c r="K24" i="18"/>
  <c r="L24" i="18"/>
  <c r="M24" i="18"/>
  <c r="N24" i="18"/>
  <c r="O24" i="18"/>
  <c r="P24" i="18"/>
  <c r="Q24" i="18"/>
  <c r="R24" i="18"/>
  <c r="S24" i="18"/>
  <c r="T24" i="18"/>
  <c r="U24" i="18"/>
  <c r="V24" i="18"/>
  <c r="W24" i="18"/>
  <c r="X24" i="18"/>
  <c r="Y24" i="18"/>
  <c r="Z24" i="18"/>
  <c r="F25" i="18"/>
  <c r="G25" i="18"/>
  <c r="H25" i="18"/>
  <c r="I25" i="18"/>
  <c r="J25" i="18"/>
  <c r="K25" i="18"/>
  <c r="L25" i="18"/>
  <c r="M25" i="18"/>
  <c r="N25" i="18"/>
  <c r="O25" i="18"/>
  <c r="P25" i="18"/>
  <c r="Q25" i="18"/>
  <c r="R25" i="18"/>
  <c r="S25" i="18"/>
  <c r="T25" i="18"/>
  <c r="U25" i="18"/>
  <c r="V25" i="18"/>
  <c r="W25" i="18"/>
  <c r="X25" i="18"/>
  <c r="Y25" i="18"/>
  <c r="Z25" i="18"/>
  <c r="F26" i="18"/>
  <c r="G26" i="18"/>
  <c r="H26" i="18"/>
  <c r="I26" i="18"/>
  <c r="J26" i="18"/>
  <c r="K26" i="18"/>
  <c r="L26" i="18"/>
  <c r="M26" i="18"/>
  <c r="N26" i="18"/>
  <c r="O26" i="18"/>
  <c r="P26" i="18"/>
  <c r="Q26" i="18"/>
  <c r="R26" i="18"/>
  <c r="S26" i="18"/>
  <c r="T26" i="18"/>
  <c r="U26" i="18"/>
  <c r="V26" i="18"/>
  <c r="W26" i="18"/>
  <c r="X26" i="18"/>
  <c r="Y26" i="18"/>
  <c r="Z26" i="18"/>
  <c r="F27" i="18"/>
  <c r="G27" i="18"/>
  <c r="H27" i="18"/>
  <c r="I27" i="18"/>
  <c r="J27" i="18"/>
  <c r="K27" i="18"/>
  <c r="L27" i="18"/>
  <c r="M27" i="18"/>
  <c r="N27" i="18"/>
  <c r="O27" i="18"/>
  <c r="P27" i="18"/>
  <c r="Q27" i="18"/>
  <c r="R27" i="18"/>
  <c r="S27" i="18"/>
  <c r="T27" i="18"/>
  <c r="U27" i="18"/>
  <c r="V27" i="18"/>
  <c r="W27" i="18"/>
  <c r="X27" i="18"/>
  <c r="Y27" i="18"/>
  <c r="Z27" i="18"/>
  <c r="F28" i="18"/>
  <c r="G28" i="18"/>
  <c r="H28" i="18"/>
  <c r="I28" i="18"/>
  <c r="J28" i="18"/>
  <c r="K28" i="18"/>
  <c r="L28" i="18"/>
  <c r="M28" i="18"/>
  <c r="N28" i="18"/>
  <c r="O28" i="18"/>
  <c r="P28" i="18"/>
  <c r="Q28" i="18"/>
  <c r="R28" i="18"/>
  <c r="S28" i="18"/>
  <c r="T28" i="18"/>
  <c r="U28" i="18"/>
  <c r="V28" i="18"/>
  <c r="W28" i="18"/>
  <c r="X28" i="18"/>
  <c r="Y28" i="18"/>
  <c r="Z28" i="18"/>
  <c r="F29" i="18"/>
  <c r="G29" i="18"/>
  <c r="H29" i="18"/>
  <c r="I29" i="18"/>
  <c r="J29" i="18"/>
  <c r="K29" i="18"/>
  <c r="L29" i="18"/>
  <c r="M29" i="18"/>
  <c r="N29" i="18"/>
  <c r="O29" i="18"/>
  <c r="P29" i="18"/>
  <c r="Q29" i="18"/>
  <c r="R29" i="18"/>
  <c r="S29" i="18"/>
  <c r="T29" i="18"/>
  <c r="U29" i="18"/>
  <c r="V29" i="18"/>
  <c r="W29" i="18"/>
  <c r="X29" i="18"/>
  <c r="Y29" i="18"/>
  <c r="Z29" i="18"/>
  <c r="F30" i="18"/>
  <c r="G30" i="18"/>
  <c r="H30" i="18"/>
  <c r="I30" i="18"/>
  <c r="J30" i="18"/>
  <c r="K30" i="18"/>
  <c r="L30" i="18"/>
  <c r="M30" i="18"/>
  <c r="N30" i="18"/>
  <c r="O30" i="18"/>
  <c r="P30" i="18"/>
  <c r="Q30" i="18"/>
  <c r="R30" i="18"/>
  <c r="S30" i="18"/>
  <c r="T30" i="18"/>
  <c r="U30" i="18"/>
  <c r="V30" i="18"/>
  <c r="W30" i="18"/>
  <c r="X30" i="18"/>
  <c r="Y30" i="18"/>
  <c r="Z30" i="18"/>
  <c r="F31" i="18"/>
  <c r="G31" i="18"/>
  <c r="H31" i="18"/>
  <c r="I31" i="18"/>
  <c r="J31" i="18"/>
  <c r="K31" i="18"/>
  <c r="L31" i="18"/>
  <c r="M31" i="18"/>
  <c r="N31" i="18"/>
  <c r="O31" i="18"/>
  <c r="P31" i="18"/>
  <c r="Q31" i="18"/>
  <c r="R31" i="18"/>
  <c r="S31" i="18"/>
  <c r="T31" i="18"/>
  <c r="U31" i="18"/>
  <c r="V31" i="18"/>
  <c r="W31" i="18"/>
  <c r="X31" i="18"/>
  <c r="Y31" i="18"/>
  <c r="Z31" i="18"/>
  <c r="F32" i="18"/>
  <c r="G32" i="18"/>
  <c r="H32" i="18"/>
  <c r="I32" i="18"/>
  <c r="J32" i="18"/>
  <c r="K32" i="18"/>
  <c r="L32" i="18"/>
  <c r="M32" i="18"/>
  <c r="N32" i="18"/>
  <c r="O32" i="18"/>
  <c r="P32" i="18"/>
  <c r="Q32" i="18"/>
  <c r="R32" i="18"/>
  <c r="S32" i="18"/>
  <c r="T32" i="18"/>
  <c r="U32" i="18"/>
  <c r="V32" i="18"/>
  <c r="W32" i="18"/>
  <c r="X32" i="18"/>
  <c r="Y32" i="18"/>
  <c r="Z32" i="18"/>
  <c r="F33" i="18"/>
  <c r="G33" i="18"/>
  <c r="H33" i="18"/>
  <c r="I33" i="18"/>
  <c r="J33" i="18"/>
  <c r="K33" i="18"/>
  <c r="L33" i="18"/>
  <c r="M33" i="18"/>
  <c r="N33" i="18"/>
  <c r="O33" i="18"/>
  <c r="P33" i="18"/>
  <c r="Q33" i="18"/>
  <c r="R33" i="18"/>
  <c r="S33" i="18"/>
  <c r="T33" i="18"/>
  <c r="U33" i="18"/>
  <c r="V33" i="18"/>
  <c r="W33" i="18"/>
  <c r="X33" i="18"/>
  <c r="Y33" i="18"/>
  <c r="Z33" i="18"/>
  <c r="F34" i="18"/>
  <c r="G34" i="18"/>
  <c r="H34" i="18"/>
  <c r="I34" i="18"/>
  <c r="J34" i="18"/>
  <c r="K34" i="18"/>
  <c r="L34" i="18"/>
  <c r="M34" i="18"/>
  <c r="N34" i="18"/>
  <c r="O34" i="18"/>
  <c r="P34" i="18"/>
  <c r="Q34" i="18"/>
  <c r="R34" i="18"/>
  <c r="S34" i="18"/>
  <c r="T34" i="18"/>
  <c r="U34" i="18"/>
  <c r="V34" i="18"/>
  <c r="W34" i="18"/>
  <c r="X34" i="18"/>
  <c r="Y34" i="18"/>
  <c r="Z34" i="18"/>
  <c r="F35" i="18"/>
  <c r="G35" i="18"/>
  <c r="H35" i="18"/>
  <c r="I35" i="18"/>
  <c r="J35" i="18"/>
  <c r="K35" i="18"/>
  <c r="L35" i="18"/>
  <c r="M35" i="18"/>
  <c r="N35" i="18"/>
  <c r="O35" i="18"/>
  <c r="P35" i="18"/>
  <c r="Q35" i="18"/>
  <c r="R35" i="18"/>
  <c r="S35" i="18"/>
  <c r="T35" i="18"/>
  <c r="U35" i="18"/>
  <c r="V35" i="18"/>
  <c r="W35" i="18"/>
  <c r="X35" i="18"/>
  <c r="Y35" i="18"/>
  <c r="Z35" i="18"/>
  <c r="F36" i="18"/>
  <c r="G36" i="18"/>
  <c r="H36" i="18"/>
  <c r="I36" i="18"/>
  <c r="J36" i="18"/>
  <c r="K36" i="18"/>
  <c r="L36" i="18"/>
  <c r="M36" i="18"/>
  <c r="N36" i="18"/>
  <c r="O36" i="18"/>
  <c r="P36" i="18"/>
  <c r="Q36" i="18"/>
  <c r="R36" i="18"/>
  <c r="S36" i="18"/>
  <c r="T36" i="18"/>
  <c r="U36" i="18"/>
  <c r="V36" i="18"/>
  <c r="W36" i="18"/>
  <c r="X36" i="18"/>
  <c r="Y36" i="18"/>
  <c r="Z36" i="18"/>
  <c r="F37" i="18"/>
  <c r="G37" i="18"/>
  <c r="H37" i="18"/>
  <c r="I37" i="18"/>
  <c r="J37" i="18"/>
  <c r="K37" i="18"/>
  <c r="L37" i="18"/>
  <c r="M37" i="18"/>
  <c r="N37" i="18"/>
  <c r="O37" i="18"/>
  <c r="P37" i="18"/>
  <c r="Q37" i="18"/>
  <c r="R37" i="18"/>
  <c r="S37" i="18"/>
  <c r="T37" i="18"/>
  <c r="U37" i="18"/>
  <c r="V37" i="18"/>
  <c r="W37" i="18"/>
  <c r="X37" i="18"/>
  <c r="Y37" i="18"/>
  <c r="Z37" i="18"/>
  <c r="F38" i="18"/>
  <c r="G38" i="18"/>
  <c r="H38" i="18"/>
  <c r="I38" i="18"/>
  <c r="J38" i="18"/>
  <c r="K38" i="18"/>
  <c r="L38" i="18"/>
  <c r="M38" i="18"/>
  <c r="N38" i="18"/>
  <c r="O38" i="18"/>
  <c r="P38" i="18"/>
  <c r="Q38" i="18"/>
  <c r="R38" i="18"/>
  <c r="S38" i="18"/>
  <c r="T38" i="18"/>
  <c r="U38" i="18"/>
  <c r="V38" i="18"/>
  <c r="W38" i="18"/>
  <c r="X38" i="18"/>
  <c r="Y38" i="18"/>
  <c r="Z38" i="18"/>
  <c r="F39" i="18"/>
  <c r="G39" i="18"/>
  <c r="H39" i="18"/>
  <c r="I39" i="18"/>
  <c r="J39" i="18"/>
  <c r="K39" i="18"/>
  <c r="L39" i="18"/>
  <c r="M39" i="18"/>
  <c r="N39" i="18"/>
  <c r="O39" i="18"/>
  <c r="P39" i="18"/>
  <c r="Q39" i="18"/>
  <c r="R39" i="18"/>
  <c r="S39" i="18"/>
  <c r="T39" i="18"/>
  <c r="U39" i="18"/>
  <c r="V39" i="18"/>
  <c r="W39" i="18"/>
  <c r="X39" i="18"/>
  <c r="Y39" i="18"/>
  <c r="Z39" i="18"/>
  <c r="F40" i="18"/>
  <c r="G40" i="18"/>
  <c r="H40" i="18"/>
  <c r="I40" i="18"/>
  <c r="J40" i="18"/>
  <c r="K40" i="18"/>
  <c r="L40" i="18"/>
  <c r="M40" i="18"/>
  <c r="N40" i="18"/>
  <c r="O40" i="18"/>
  <c r="P40" i="18"/>
  <c r="Q40" i="18"/>
  <c r="R40" i="18"/>
  <c r="S40" i="18"/>
  <c r="T40" i="18"/>
  <c r="U40" i="18"/>
  <c r="V40" i="18"/>
  <c r="W40" i="18"/>
  <c r="X40" i="18"/>
  <c r="Y40" i="18"/>
  <c r="Z40" i="18"/>
  <c r="F41" i="18"/>
  <c r="G41" i="18"/>
  <c r="H41" i="18"/>
  <c r="I41" i="18"/>
  <c r="J41" i="18"/>
  <c r="K41" i="18"/>
  <c r="L41" i="18"/>
  <c r="M41" i="18"/>
  <c r="N41" i="18"/>
  <c r="O41" i="18"/>
  <c r="P41" i="18"/>
  <c r="Q41" i="18"/>
  <c r="R41" i="18"/>
  <c r="S41" i="18"/>
  <c r="T41" i="18"/>
  <c r="U41" i="18"/>
  <c r="V41" i="18"/>
  <c r="W41" i="18"/>
  <c r="X41" i="18"/>
  <c r="Y41" i="18"/>
  <c r="Z41" i="18"/>
  <c r="F42" i="18"/>
  <c r="G42" i="18"/>
  <c r="H42" i="18"/>
  <c r="I42" i="18"/>
  <c r="J42" i="18"/>
  <c r="K42" i="18"/>
  <c r="L42" i="18"/>
  <c r="M42" i="18"/>
  <c r="N42" i="18"/>
  <c r="O42" i="18"/>
  <c r="P42" i="18"/>
  <c r="Q42" i="18"/>
  <c r="R42" i="18"/>
  <c r="S42" i="18"/>
  <c r="T42" i="18"/>
  <c r="U42" i="18"/>
  <c r="V42" i="18"/>
  <c r="W42" i="18"/>
  <c r="X42" i="18"/>
  <c r="Y42" i="18"/>
  <c r="Z42" i="18"/>
  <c r="F43" i="18"/>
  <c r="G43" i="18"/>
  <c r="H43" i="18"/>
  <c r="I43" i="18"/>
  <c r="J43" i="18"/>
  <c r="K43" i="18"/>
  <c r="L43" i="18"/>
  <c r="M43" i="18"/>
  <c r="N43" i="18"/>
  <c r="O43" i="18"/>
  <c r="P43" i="18"/>
  <c r="Q43" i="18"/>
  <c r="R43" i="18"/>
  <c r="S43" i="18"/>
  <c r="T43" i="18"/>
  <c r="U43" i="18"/>
  <c r="V43" i="18"/>
  <c r="W43" i="18"/>
  <c r="X43" i="18"/>
  <c r="Y43" i="18"/>
  <c r="Z43" i="18"/>
  <c r="F44" i="18"/>
  <c r="G44" i="18"/>
  <c r="H44" i="18"/>
  <c r="I44" i="18"/>
  <c r="J44" i="18"/>
  <c r="K44" i="18"/>
  <c r="L44" i="18"/>
  <c r="M44" i="18"/>
  <c r="N44" i="18"/>
  <c r="O44" i="18"/>
  <c r="P44" i="18"/>
  <c r="Q44" i="18"/>
  <c r="R44" i="18"/>
  <c r="S44" i="18"/>
  <c r="T44" i="18"/>
  <c r="U44" i="18"/>
  <c r="V44" i="18"/>
  <c r="W44" i="18"/>
  <c r="X44" i="18"/>
  <c r="Y44" i="18"/>
  <c r="Z44" i="18"/>
  <c r="E22" i="18"/>
  <c r="E23" i="18"/>
  <c r="E24" i="18"/>
  <c r="E25" i="18"/>
  <c r="E26" i="18"/>
  <c r="E27" i="18"/>
  <c r="E28" i="18"/>
  <c r="E29" i="18"/>
  <c r="E30" i="18"/>
  <c r="E31" i="18"/>
  <c r="E32" i="18"/>
  <c r="E33" i="18"/>
  <c r="E34" i="18"/>
  <c r="E35" i="18"/>
  <c r="E36" i="18"/>
  <c r="E37" i="18"/>
  <c r="E38" i="18"/>
  <c r="E39" i="18"/>
  <c r="E40" i="18"/>
  <c r="E41" i="18"/>
  <c r="E42" i="18"/>
  <c r="E43" i="18"/>
  <c r="E44" i="18"/>
  <c r="E21" i="18"/>
  <c r="E20" i="18"/>
  <c r="U60" i="13" l="1"/>
  <c r="S24" i="17"/>
  <c r="T24" i="17"/>
  <c r="U24" i="17"/>
  <c r="V24" i="17"/>
  <c r="W24" i="17"/>
  <c r="X24" i="17"/>
  <c r="S25" i="17"/>
  <c r="T25" i="17"/>
  <c r="U25" i="17"/>
  <c r="V25" i="17"/>
  <c r="W25" i="17"/>
  <c r="X25" i="17"/>
  <c r="S26" i="17"/>
  <c r="T26" i="17"/>
  <c r="U26" i="17"/>
  <c r="V26" i="17"/>
  <c r="W26" i="17"/>
  <c r="X26" i="17"/>
  <c r="S27" i="17"/>
  <c r="T27" i="17"/>
  <c r="U27" i="17"/>
  <c r="V27" i="17"/>
  <c r="W27" i="17"/>
  <c r="X27" i="17"/>
  <c r="S28" i="17"/>
  <c r="T28" i="17"/>
  <c r="U28" i="17"/>
  <c r="V28" i="17"/>
  <c r="W28" i="17"/>
  <c r="X28" i="17"/>
  <c r="S29" i="17"/>
  <c r="T29" i="17"/>
  <c r="U29" i="17"/>
  <c r="V29" i="17"/>
  <c r="W29" i="17"/>
  <c r="X29" i="17"/>
  <c r="S30" i="17"/>
  <c r="T30" i="17"/>
  <c r="U30" i="17"/>
  <c r="V30" i="17"/>
  <c r="W30" i="17"/>
  <c r="X30" i="17"/>
  <c r="S31" i="17"/>
  <c r="T31" i="17"/>
  <c r="U31" i="17"/>
  <c r="V31" i="17"/>
  <c r="W31" i="17"/>
  <c r="X31" i="17"/>
  <c r="S32" i="17"/>
  <c r="T32" i="17"/>
  <c r="U32" i="17"/>
  <c r="V32" i="17"/>
  <c r="W32" i="17"/>
  <c r="X32" i="17"/>
  <c r="X23" i="17"/>
  <c r="W23" i="17"/>
  <c r="V23" i="17"/>
  <c r="U23" i="17"/>
  <c r="T23" i="17"/>
  <c r="S23" i="17"/>
  <c r="Q24" i="17"/>
  <c r="R24" i="17"/>
  <c r="Q25" i="17"/>
  <c r="R25" i="17"/>
  <c r="Q26" i="17"/>
  <c r="R26" i="17"/>
  <c r="Q27" i="17"/>
  <c r="R27" i="17"/>
  <c r="Q28" i="17"/>
  <c r="R28" i="17"/>
  <c r="Q29" i="17"/>
  <c r="R29" i="17"/>
  <c r="Q30" i="17"/>
  <c r="R30" i="17"/>
  <c r="Q31" i="17"/>
  <c r="R31" i="17"/>
  <c r="Q32" i="17"/>
  <c r="R32" i="17"/>
  <c r="R23" i="17"/>
  <c r="Q23" i="17"/>
  <c r="P24" i="17"/>
  <c r="P25" i="17"/>
  <c r="P26" i="17"/>
  <c r="P27" i="17"/>
  <c r="P28" i="17"/>
  <c r="P29" i="17"/>
  <c r="P30" i="17"/>
  <c r="P31" i="17"/>
  <c r="P32" i="17"/>
  <c r="P23" i="17"/>
  <c r="P45" i="17"/>
  <c r="Q45" i="17"/>
  <c r="S45" i="17"/>
  <c r="Q48" i="17"/>
  <c r="Q49" i="17"/>
  <c r="Q50" i="17"/>
  <c r="Q51" i="17"/>
  <c r="Q52" i="17"/>
  <c r="Q53" i="17"/>
  <c r="Q54" i="17"/>
  <c r="Q55" i="17"/>
  <c r="Q56" i="17"/>
  <c r="Q57" i="17"/>
  <c r="P39" i="17"/>
  <c r="Q40" i="17"/>
  <c r="S43" i="17"/>
  <c r="P43" i="17"/>
  <c r="K45" i="18" l="1"/>
  <c r="K32" i="2" l="1"/>
  <c r="K33" i="2"/>
  <c r="K34" i="2"/>
  <c r="K35" i="2"/>
  <c r="K36" i="2"/>
  <c r="K37" i="2"/>
  <c r="K38" i="2"/>
  <c r="K39" i="2"/>
  <c r="K40" i="2"/>
  <c r="K31" i="2"/>
  <c r="K43" i="2" l="1"/>
  <c r="E43" i="2" s="1"/>
  <c r="E31" i="2"/>
  <c r="D77" i="16"/>
  <c r="C77" i="16"/>
  <c r="B77" i="16"/>
  <c r="C76" i="16"/>
  <c r="B76" i="16"/>
  <c r="D75" i="16"/>
  <c r="C75" i="16"/>
  <c r="B75" i="16"/>
  <c r="D74" i="16"/>
  <c r="C74" i="16"/>
  <c r="B74" i="16"/>
  <c r="C73" i="16"/>
  <c r="B73" i="16"/>
  <c r="R72" i="16"/>
  <c r="R71" i="16"/>
  <c r="R70" i="16"/>
  <c r="R69" i="16"/>
  <c r="R68" i="16"/>
  <c r="R67" i="16"/>
  <c r="R66" i="16"/>
  <c r="R65" i="16"/>
  <c r="R64" i="16"/>
  <c r="R63" i="16"/>
  <c r="X62" i="16"/>
  <c r="D62" i="16" s="1"/>
  <c r="W62" i="16"/>
  <c r="C62" i="16" s="1"/>
  <c r="V62" i="16"/>
  <c r="B62" i="16" s="1"/>
  <c r="U60" i="16"/>
  <c r="BL52" i="16"/>
  <c r="X72" i="16" s="1"/>
  <c r="BJ52" i="16"/>
  <c r="V72" i="16" s="1"/>
  <c r="BI52" i="16"/>
  <c r="U72" i="16" s="1"/>
  <c r="BH52" i="16"/>
  <c r="X71" i="16" s="1"/>
  <c r="D71" i="16" s="1"/>
  <c r="BF52" i="16"/>
  <c r="V71" i="16" s="1"/>
  <c r="BE52" i="16"/>
  <c r="U71" i="16" s="1"/>
  <c r="BD52" i="16"/>
  <c r="X70" i="16" s="1"/>
  <c r="BB52" i="16"/>
  <c r="V70" i="16" s="1"/>
  <c r="BA52" i="16"/>
  <c r="U70" i="16" s="1"/>
  <c r="AZ52" i="16"/>
  <c r="X69" i="16" s="1"/>
  <c r="AX52" i="16"/>
  <c r="V69" i="16" s="1"/>
  <c r="AW52" i="16"/>
  <c r="U69" i="16" s="1"/>
  <c r="AV52" i="16"/>
  <c r="X68" i="16" s="1"/>
  <c r="AT52" i="16"/>
  <c r="V68" i="16" s="1"/>
  <c r="AS52" i="16"/>
  <c r="U68" i="16" s="1"/>
  <c r="AR52" i="16"/>
  <c r="X67" i="16" s="1"/>
  <c r="AP52" i="16"/>
  <c r="V67" i="16" s="1"/>
  <c r="AO52" i="16"/>
  <c r="U67" i="16" s="1"/>
  <c r="AN52" i="16"/>
  <c r="X66" i="16" s="1"/>
  <c r="AL52" i="16"/>
  <c r="V66" i="16" s="1"/>
  <c r="AK52" i="16"/>
  <c r="U66" i="16" s="1"/>
  <c r="AJ52" i="16"/>
  <c r="X65" i="16" s="1"/>
  <c r="AH52" i="16"/>
  <c r="V65" i="16" s="1"/>
  <c r="AG52" i="16"/>
  <c r="AF52" i="16"/>
  <c r="U65" i="16" s="1"/>
  <c r="AE52" i="16"/>
  <c r="AD52" i="16"/>
  <c r="X64" i="16" s="1"/>
  <c r="AB52" i="16"/>
  <c r="V64" i="16" s="1"/>
  <c r="AA52" i="16"/>
  <c r="Z52" i="16"/>
  <c r="Y52" i="16"/>
  <c r="X52" i="16"/>
  <c r="X63" i="16" s="1"/>
  <c r="V52" i="16"/>
  <c r="V63" i="16" s="1"/>
  <c r="U52" i="16"/>
  <c r="T52" i="16"/>
  <c r="S52" i="16"/>
  <c r="L51" i="16"/>
  <c r="K51" i="16"/>
  <c r="J51" i="16"/>
  <c r="I51" i="16"/>
  <c r="H51" i="16"/>
  <c r="G51" i="16"/>
  <c r="F51" i="16"/>
  <c r="E51" i="16"/>
  <c r="D51" i="16"/>
  <c r="C51" i="16"/>
  <c r="B51" i="16"/>
  <c r="L50" i="16"/>
  <c r="K50" i="16"/>
  <c r="J50" i="16"/>
  <c r="I50" i="16"/>
  <c r="H50" i="16"/>
  <c r="G50" i="16"/>
  <c r="F50" i="16"/>
  <c r="E50" i="16"/>
  <c r="D50" i="16"/>
  <c r="C50" i="16"/>
  <c r="B50" i="16"/>
  <c r="L49" i="16"/>
  <c r="K49" i="16"/>
  <c r="J49" i="16"/>
  <c r="I49" i="16"/>
  <c r="H49" i="16"/>
  <c r="G49" i="16"/>
  <c r="F49" i="16"/>
  <c r="E49" i="16"/>
  <c r="D49" i="16"/>
  <c r="C49" i="16"/>
  <c r="B49" i="16"/>
  <c r="L48" i="16"/>
  <c r="K48" i="16"/>
  <c r="J48" i="16"/>
  <c r="I48" i="16"/>
  <c r="H48" i="16"/>
  <c r="G48" i="16"/>
  <c r="F48" i="16"/>
  <c r="E48" i="16"/>
  <c r="D48" i="16"/>
  <c r="C48" i="16"/>
  <c r="B48" i="16"/>
  <c r="L47" i="16"/>
  <c r="K47" i="16"/>
  <c r="J47" i="16"/>
  <c r="I47" i="16"/>
  <c r="H47" i="16"/>
  <c r="G47" i="16"/>
  <c r="F47" i="16"/>
  <c r="E47" i="16"/>
  <c r="D47" i="16"/>
  <c r="C47" i="16"/>
  <c r="B47" i="16"/>
  <c r="L46" i="16"/>
  <c r="K46" i="16"/>
  <c r="J46" i="16"/>
  <c r="I46" i="16"/>
  <c r="H46" i="16"/>
  <c r="G46" i="16"/>
  <c r="F46" i="16"/>
  <c r="E46" i="16"/>
  <c r="D46" i="16"/>
  <c r="C46" i="16"/>
  <c r="B46" i="16"/>
  <c r="L45" i="16"/>
  <c r="K45" i="16"/>
  <c r="J45" i="16"/>
  <c r="I45" i="16"/>
  <c r="H45" i="16"/>
  <c r="G45" i="16"/>
  <c r="F45" i="16"/>
  <c r="E45" i="16"/>
  <c r="D45" i="16"/>
  <c r="C45" i="16"/>
  <c r="B45" i="16"/>
  <c r="L44" i="16"/>
  <c r="K44" i="16"/>
  <c r="J44" i="16"/>
  <c r="I44" i="16"/>
  <c r="H44" i="16"/>
  <c r="G44" i="16"/>
  <c r="F44" i="16"/>
  <c r="E44" i="16"/>
  <c r="D44" i="16"/>
  <c r="C44" i="16"/>
  <c r="B44" i="16"/>
  <c r="L43" i="16"/>
  <c r="K43" i="16"/>
  <c r="J43" i="16"/>
  <c r="I43" i="16"/>
  <c r="H43" i="16"/>
  <c r="G43" i="16"/>
  <c r="F43" i="16"/>
  <c r="E43" i="16"/>
  <c r="D43" i="16"/>
  <c r="C43" i="16"/>
  <c r="B43" i="16"/>
  <c r="L42" i="16"/>
  <c r="K42" i="16"/>
  <c r="J42" i="16"/>
  <c r="I42" i="16"/>
  <c r="H42" i="16"/>
  <c r="G42" i="16"/>
  <c r="F42" i="16"/>
  <c r="E42" i="16"/>
  <c r="D42" i="16"/>
  <c r="C42" i="16"/>
  <c r="B42" i="16"/>
  <c r="L41" i="16"/>
  <c r="K41" i="16"/>
  <c r="J41" i="16"/>
  <c r="I41" i="16"/>
  <c r="H41" i="16"/>
  <c r="G41" i="16"/>
  <c r="F41" i="16"/>
  <c r="E41" i="16"/>
  <c r="D41" i="16"/>
  <c r="C41" i="16"/>
  <c r="B41" i="16"/>
  <c r="L40" i="16"/>
  <c r="K40" i="16"/>
  <c r="J40" i="16"/>
  <c r="I40" i="16"/>
  <c r="H40" i="16"/>
  <c r="G40" i="16"/>
  <c r="F40" i="16"/>
  <c r="E40" i="16"/>
  <c r="D40" i="16"/>
  <c r="C40" i="16"/>
  <c r="B40" i="16"/>
  <c r="L39" i="16"/>
  <c r="K39" i="16"/>
  <c r="J39" i="16"/>
  <c r="I39" i="16"/>
  <c r="H39" i="16"/>
  <c r="G39" i="16"/>
  <c r="F39" i="16"/>
  <c r="E39" i="16"/>
  <c r="D39" i="16"/>
  <c r="C39" i="16"/>
  <c r="B39" i="16"/>
  <c r="L38" i="16"/>
  <c r="K38" i="16"/>
  <c r="J38" i="16"/>
  <c r="I38" i="16"/>
  <c r="H38" i="16"/>
  <c r="G38" i="16"/>
  <c r="F38" i="16"/>
  <c r="E38" i="16"/>
  <c r="D38" i="16"/>
  <c r="C38" i="16"/>
  <c r="B38" i="16"/>
  <c r="L37" i="16"/>
  <c r="K37" i="16"/>
  <c r="J37" i="16"/>
  <c r="I37" i="16"/>
  <c r="H37" i="16"/>
  <c r="G37" i="16"/>
  <c r="F37" i="16"/>
  <c r="E37" i="16"/>
  <c r="D37" i="16"/>
  <c r="C37" i="16"/>
  <c r="B37" i="16"/>
  <c r="L36" i="16"/>
  <c r="K36" i="16"/>
  <c r="J36" i="16"/>
  <c r="I36" i="16"/>
  <c r="H36" i="16"/>
  <c r="G36" i="16"/>
  <c r="F36" i="16"/>
  <c r="E36" i="16"/>
  <c r="D36" i="16"/>
  <c r="C36" i="16"/>
  <c r="B36" i="16"/>
  <c r="L35" i="16"/>
  <c r="K35" i="16"/>
  <c r="J35" i="16"/>
  <c r="I35" i="16"/>
  <c r="H35" i="16"/>
  <c r="G35" i="16"/>
  <c r="F35" i="16"/>
  <c r="E35" i="16"/>
  <c r="D35" i="16"/>
  <c r="C35" i="16"/>
  <c r="B35" i="16"/>
  <c r="L34" i="16"/>
  <c r="K34" i="16"/>
  <c r="J34" i="16"/>
  <c r="I34" i="16"/>
  <c r="H34" i="16"/>
  <c r="G34" i="16"/>
  <c r="F34" i="16"/>
  <c r="E34" i="16"/>
  <c r="D34" i="16"/>
  <c r="C34" i="16"/>
  <c r="B34" i="16"/>
  <c r="L33" i="16"/>
  <c r="K33" i="16"/>
  <c r="J33" i="16"/>
  <c r="I33" i="16"/>
  <c r="H33" i="16"/>
  <c r="G33" i="16"/>
  <c r="F33" i="16"/>
  <c r="E33" i="16"/>
  <c r="D33" i="16"/>
  <c r="C33" i="16"/>
  <c r="B33" i="16"/>
  <c r="L32" i="16"/>
  <c r="K32" i="16"/>
  <c r="J32" i="16"/>
  <c r="I32" i="16"/>
  <c r="H32" i="16"/>
  <c r="G32" i="16"/>
  <c r="F32" i="16"/>
  <c r="E32" i="16"/>
  <c r="D32" i="16"/>
  <c r="C32" i="16"/>
  <c r="B32" i="16"/>
  <c r="L31" i="16"/>
  <c r="K31" i="16"/>
  <c r="J31" i="16"/>
  <c r="I31" i="16"/>
  <c r="H31" i="16"/>
  <c r="G31" i="16"/>
  <c r="F31" i="16"/>
  <c r="E31" i="16"/>
  <c r="D31" i="16"/>
  <c r="C31" i="16"/>
  <c r="B31" i="16"/>
  <c r="L30" i="16"/>
  <c r="K30" i="16"/>
  <c r="J30" i="16"/>
  <c r="I30" i="16"/>
  <c r="H30" i="16"/>
  <c r="G30" i="16"/>
  <c r="F30" i="16"/>
  <c r="E30" i="16"/>
  <c r="D30" i="16"/>
  <c r="C30" i="16"/>
  <c r="B30" i="16"/>
  <c r="L29" i="16"/>
  <c r="K29" i="16"/>
  <c r="J29" i="16"/>
  <c r="I29" i="16"/>
  <c r="H29" i="16"/>
  <c r="G29" i="16"/>
  <c r="F29" i="16"/>
  <c r="E29" i="16"/>
  <c r="D29" i="16"/>
  <c r="C29" i="16"/>
  <c r="B29" i="16"/>
  <c r="L28" i="16"/>
  <c r="K28" i="16"/>
  <c r="J28" i="16"/>
  <c r="I28" i="16"/>
  <c r="H28" i="16"/>
  <c r="G28" i="16"/>
  <c r="F28" i="16"/>
  <c r="E28" i="16"/>
  <c r="D28" i="16"/>
  <c r="C28" i="16"/>
  <c r="B28" i="16"/>
  <c r="L27" i="16"/>
  <c r="K27" i="16"/>
  <c r="J27" i="16"/>
  <c r="I27" i="16"/>
  <c r="H27" i="16"/>
  <c r="G27" i="16"/>
  <c r="F27" i="16"/>
  <c r="E27" i="16"/>
  <c r="D27" i="16"/>
  <c r="C27" i="16"/>
  <c r="B27" i="16"/>
  <c r="L26" i="16"/>
  <c r="K26" i="16"/>
  <c r="J26" i="16"/>
  <c r="I26" i="16"/>
  <c r="H26" i="16"/>
  <c r="G26" i="16"/>
  <c r="F26" i="16"/>
  <c r="E26" i="16"/>
  <c r="D26" i="16"/>
  <c r="C26" i="16"/>
  <c r="B26" i="16"/>
  <c r="L25" i="16"/>
  <c r="K25" i="16"/>
  <c r="J25" i="16"/>
  <c r="I25" i="16"/>
  <c r="H25" i="16"/>
  <c r="G25" i="16"/>
  <c r="F25" i="16"/>
  <c r="E25" i="16"/>
  <c r="D25" i="16"/>
  <c r="C25" i="16"/>
  <c r="B25" i="16"/>
  <c r="L24" i="16"/>
  <c r="K24" i="16"/>
  <c r="J24" i="16"/>
  <c r="I24" i="16"/>
  <c r="H24" i="16"/>
  <c r="G24" i="16"/>
  <c r="F24" i="16"/>
  <c r="E24" i="16"/>
  <c r="D24" i="16"/>
  <c r="C24" i="16"/>
  <c r="B24" i="16"/>
  <c r="L23" i="16"/>
  <c r="K23" i="16"/>
  <c r="J23" i="16"/>
  <c r="I23" i="16"/>
  <c r="H23" i="16"/>
  <c r="G23" i="16"/>
  <c r="F23" i="16"/>
  <c r="E23" i="16"/>
  <c r="D23" i="16"/>
  <c r="C23" i="16"/>
  <c r="B23" i="16"/>
  <c r="L22" i="16"/>
  <c r="K22" i="16"/>
  <c r="J22" i="16"/>
  <c r="I22" i="16"/>
  <c r="H22" i="16"/>
  <c r="G22" i="16"/>
  <c r="F22" i="16"/>
  <c r="E22" i="16"/>
  <c r="D22" i="16"/>
  <c r="C22" i="16"/>
  <c r="B22" i="16"/>
  <c r="L21" i="16"/>
  <c r="K21" i="16"/>
  <c r="J21" i="16"/>
  <c r="I21" i="16"/>
  <c r="H21" i="16"/>
  <c r="G21" i="16"/>
  <c r="F21" i="16"/>
  <c r="E21" i="16"/>
  <c r="D21" i="16"/>
  <c r="C21" i="16"/>
  <c r="B21" i="16"/>
  <c r="L20" i="16"/>
  <c r="K20" i="16"/>
  <c r="J20" i="16"/>
  <c r="I20" i="16"/>
  <c r="H20" i="16"/>
  <c r="G20" i="16"/>
  <c r="F20" i="16"/>
  <c r="E20" i="16"/>
  <c r="D20" i="16"/>
  <c r="C20" i="16"/>
  <c r="B20" i="16"/>
  <c r="K19" i="16"/>
  <c r="J19" i="16"/>
  <c r="I19" i="16"/>
  <c r="H19" i="16"/>
  <c r="G19" i="16"/>
  <c r="F19" i="16"/>
  <c r="E19" i="16"/>
  <c r="D19" i="16"/>
  <c r="C19" i="16"/>
  <c r="B19" i="16"/>
  <c r="S45" i="18"/>
  <c r="R45" i="18"/>
  <c r="Q45" i="18"/>
  <c r="M45" i="18"/>
  <c r="L45" i="18"/>
  <c r="G45" i="18"/>
  <c r="F45" i="18"/>
  <c r="E45" i="18"/>
  <c r="H45" i="18" l="1"/>
  <c r="T45" i="18"/>
  <c r="V45" i="18"/>
  <c r="W45" i="18"/>
  <c r="J45" i="18"/>
  <c r="N45" i="18"/>
  <c r="X45" i="18"/>
  <c r="P45" i="18"/>
  <c r="Z45" i="18"/>
  <c r="P40" i="17"/>
  <c r="G26" i="2"/>
  <c r="AU52" i="16"/>
  <c r="W68" i="16" s="1"/>
  <c r="E35" i="2"/>
  <c r="G35" i="2" s="1"/>
  <c r="P52" i="17" s="1"/>
  <c r="E36" i="2"/>
  <c r="G36" i="2" s="1"/>
  <c r="P53" i="17" s="1"/>
  <c r="B71" i="16"/>
  <c r="E39" i="2"/>
  <c r="E32" i="2"/>
  <c r="G32" i="2" s="1"/>
  <c r="P49" i="17" s="1"/>
  <c r="E34" i="2"/>
  <c r="G34" i="2" s="1"/>
  <c r="P51" i="17" s="1"/>
  <c r="E40" i="2"/>
  <c r="G40" i="2" s="1"/>
  <c r="P57" i="17" s="1"/>
  <c r="E37" i="2"/>
  <c r="G37" i="2" s="1"/>
  <c r="P54" i="17" s="1"/>
  <c r="U63" i="16"/>
  <c r="D63" i="16" s="1"/>
  <c r="E33" i="2"/>
  <c r="G33" i="2" s="1"/>
  <c r="P50" i="17" s="1"/>
  <c r="E38" i="2"/>
  <c r="G38" i="2" s="1"/>
  <c r="P55" i="17" s="1"/>
  <c r="AI53" i="16"/>
  <c r="BG52" i="16"/>
  <c r="W71" i="16" s="1"/>
  <c r="C71" i="16" s="1"/>
  <c r="BK52" i="16"/>
  <c r="W72" i="16" s="1"/>
  <c r="C72" i="16" s="1"/>
  <c r="AY52" i="16"/>
  <c r="W69" i="16" s="1"/>
  <c r="BC52" i="16"/>
  <c r="W70" i="16" s="1"/>
  <c r="C70" i="16" s="1"/>
  <c r="D65" i="16"/>
  <c r="B65" i="16"/>
  <c r="AC52" i="16"/>
  <c r="W64" i="16" s="1"/>
  <c r="C68" i="16"/>
  <c r="B68" i="16"/>
  <c r="D68" i="16"/>
  <c r="AQ52" i="16"/>
  <c r="W67" i="16" s="1"/>
  <c r="C67" i="16" s="1"/>
  <c r="W52" i="16"/>
  <c r="W63" i="16" s="1"/>
  <c r="C63" i="16" s="1"/>
  <c r="B63" i="16"/>
  <c r="W53" i="16"/>
  <c r="AM52" i="16"/>
  <c r="W66" i="16" s="1"/>
  <c r="C66" i="16" s="1"/>
  <c r="U64" i="16"/>
  <c r="D64" i="16" s="1"/>
  <c r="AC53" i="16"/>
  <c r="C69" i="16"/>
  <c r="B69" i="16"/>
  <c r="D69" i="16"/>
  <c r="B67" i="16"/>
  <c r="D72" i="16"/>
  <c r="D67" i="16"/>
  <c r="B70" i="16"/>
  <c r="B66" i="16"/>
  <c r="D66" i="16"/>
  <c r="B72" i="16"/>
  <c r="D70" i="16"/>
  <c r="AI52" i="16"/>
  <c r="W65" i="16" s="1"/>
  <c r="C65" i="16" s="1"/>
  <c r="U46" i="18"/>
  <c r="O46" i="18"/>
  <c r="I46" i="18"/>
  <c r="L23" i="13"/>
  <c r="O45" i="18" l="1"/>
  <c r="U45" i="18"/>
  <c r="Y45" i="18"/>
  <c r="I45" i="18"/>
  <c r="G28" i="2"/>
  <c r="R45" i="17" s="1"/>
  <c r="R43" i="17"/>
  <c r="G39" i="2"/>
  <c r="P56" i="17" s="1"/>
  <c r="G31" i="2"/>
  <c r="P48" i="17" s="1"/>
  <c r="U75" i="16"/>
  <c r="O69" i="16" s="1"/>
  <c r="B64" i="16"/>
  <c r="C64" i="16"/>
  <c r="D77" i="13"/>
  <c r="C77" i="13"/>
  <c r="B77" i="13"/>
  <c r="C76" i="13"/>
  <c r="B76" i="13"/>
  <c r="D75" i="13"/>
  <c r="C75" i="13"/>
  <c r="B75" i="13"/>
  <c r="D74" i="13"/>
  <c r="C74" i="13"/>
  <c r="B74" i="13"/>
  <c r="C73" i="13"/>
  <c r="B73" i="13"/>
  <c r="R72" i="13"/>
  <c r="R71" i="13"/>
  <c r="R70" i="13"/>
  <c r="R69" i="13"/>
  <c r="R68" i="13"/>
  <c r="R67" i="13"/>
  <c r="R66" i="13"/>
  <c r="R65" i="13"/>
  <c r="R64" i="13"/>
  <c r="R63" i="13"/>
  <c r="X62" i="13"/>
  <c r="D62" i="13" s="1"/>
  <c r="W62" i="13"/>
  <c r="C62" i="13" s="1"/>
  <c r="V62" i="13"/>
  <c r="B62" i="13" s="1"/>
  <c r="BL52" i="13"/>
  <c r="X72" i="13" s="1"/>
  <c r="BJ52" i="13"/>
  <c r="V72" i="13" s="1"/>
  <c r="BI52" i="13"/>
  <c r="U72" i="13" s="1"/>
  <c r="BH52" i="13"/>
  <c r="X71" i="13" s="1"/>
  <c r="BF52" i="13"/>
  <c r="V71" i="13" s="1"/>
  <c r="BE52" i="13"/>
  <c r="U71" i="13" s="1"/>
  <c r="BD52" i="13"/>
  <c r="X70" i="13" s="1"/>
  <c r="BB52" i="13"/>
  <c r="V70" i="13" s="1"/>
  <c r="BA52" i="13"/>
  <c r="U70" i="13" s="1"/>
  <c r="AZ52" i="13"/>
  <c r="X69" i="13" s="1"/>
  <c r="AX52" i="13"/>
  <c r="V69" i="13" s="1"/>
  <c r="AW52" i="13"/>
  <c r="U69" i="13" s="1"/>
  <c r="AV52" i="13"/>
  <c r="X68" i="13" s="1"/>
  <c r="AT52" i="13"/>
  <c r="V68" i="13" s="1"/>
  <c r="AS52" i="13"/>
  <c r="U68" i="13" s="1"/>
  <c r="AR52" i="13"/>
  <c r="X67" i="13" s="1"/>
  <c r="AP52" i="13"/>
  <c r="V67" i="13" s="1"/>
  <c r="AO52" i="13"/>
  <c r="U67" i="13" s="1"/>
  <c r="AN52" i="13"/>
  <c r="X66" i="13" s="1"/>
  <c r="AL52" i="13"/>
  <c r="V66" i="13" s="1"/>
  <c r="AK52" i="13"/>
  <c r="U66" i="13" s="1"/>
  <c r="AJ52" i="13"/>
  <c r="X65" i="13" s="1"/>
  <c r="AH52" i="13"/>
  <c r="V65" i="13" s="1"/>
  <c r="AG52" i="13"/>
  <c r="AF52" i="13"/>
  <c r="AE52" i="13"/>
  <c r="AD52" i="13"/>
  <c r="X64" i="13" s="1"/>
  <c r="AB52" i="13"/>
  <c r="V64" i="13" s="1"/>
  <c r="AA52" i="13"/>
  <c r="Z52" i="13"/>
  <c r="Y52" i="13"/>
  <c r="X52" i="13"/>
  <c r="X63" i="13" s="1"/>
  <c r="V52" i="13"/>
  <c r="V63" i="13" s="1"/>
  <c r="U52" i="13"/>
  <c r="T52" i="13"/>
  <c r="S52" i="13"/>
  <c r="L51" i="13"/>
  <c r="K51" i="13"/>
  <c r="J51" i="13"/>
  <c r="I51" i="13"/>
  <c r="H51" i="13"/>
  <c r="G51" i="13"/>
  <c r="F51" i="13"/>
  <c r="E51" i="13"/>
  <c r="D51" i="13"/>
  <c r="C51" i="13"/>
  <c r="B51" i="13"/>
  <c r="L50" i="13"/>
  <c r="K50" i="13"/>
  <c r="J50" i="13"/>
  <c r="I50" i="13"/>
  <c r="H50" i="13"/>
  <c r="G50" i="13"/>
  <c r="F50" i="13"/>
  <c r="E50" i="13"/>
  <c r="D50" i="13"/>
  <c r="C50" i="13"/>
  <c r="B50" i="13"/>
  <c r="L49" i="13"/>
  <c r="K49" i="13"/>
  <c r="J49" i="13"/>
  <c r="I49" i="13"/>
  <c r="H49" i="13"/>
  <c r="G49" i="13"/>
  <c r="F49" i="13"/>
  <c r="E49" i="13"/>
  <c r="D49" i="13"/>
  <c r="C49" i="13"/>
  <c r="B49" i="13"/>
  <c r="L48" i="13"/>
  <c r="K48" i="13"/>
  <c r="J48" i="13"/>
  <c r="I48" i="13"/>
  <c r="H48" i="13"/>
  <c r="G48" i="13"/>
  <c r="F48" i="13"/>
  <c r="E48" i="13"/>
  <c r="D48" i="13"/>
  <c r="C48" i="13"/>
  <c r="B48" i="13"/>
  <c r="L47" i="13"/>
  <c r="K47" i="13"/>
  <c r="J47" i="13"/>
  <c r="I47" i="13"/>
  <c r="H47" i="13"/>
  <c r="G47" i="13"/>
  <c r="F47" i="13"/>
  <c r="E47" i="13"/>
  <c r="D47" i="13"/>
  <c r="C47" i="13"/>
  <c r="B47" i="13"/>
  <c r="L46" i="13"/>
  <c r="K46" i="13"/>
  <c r="J46" i="13"/>
  <c r="I46" i="13"/>
  <c r="H46" i="13"/>
  <c r="G46" i="13"/>
  <c r="F46" i="13"/>
  <c r="E46" i="13"/>
  <c r="D46" i="13"/>
  <c r="C46" i="13"/>
  <c r="B46" i="13"/>
  <c r="L45" i="13"/>
  <c r="K45" i="13"/>
  <c r="J45" i="13"/>
  <c r="I45" i="13"/>
  <c r="H45" i="13"/>
  <c r="G45" i="13"/>
  <c r="F45" i="13"/>
  <c r="E45" i="13"/>
  <c r="D45" i="13"/>
  <c r="C45" i="13"/>
  <c r="B45" i="13"/>
  <c r="L44" i="13"/>
  <c r="K44" i="13"/>
  <c r="J44" i="13"/>
  <c r="I44" i="13"/>
  <c r="H44" i="13"/>
  <c r="G44" i="13"/>
  <c r="F44" i="13"/>
  <c r="E44" i="13"/>
  <c r="D44" i="13"/>
  <c r="C44" i="13"/>
  <c r="B44" i="13"/>
  <c r="L43" i="13"/>
  <c r="K43" i="13"/>
  <c r="J43" i="13"/>
  <c r="I43" i="13"/>
  <c r="H43" i="13"/>
  <c r="G43" i="13"/>
  <c r="F43" i="13"/>
  <c r="E43" i="13"/>
  <c r="D43" i="13"/>
  <c r="C43" i="13"/>
  <c r="B43" i="13"/>
  <c r="L42" i="13"/>
  <c r="K42" i="13"/>
  <c r="J42" i="13"/>
  <c r="I42" i="13"/>
  <c r="H42" i="13"/>
  <c r="G42" i="13"/>
  <c r="F42" i="13"/>
  <c r="E42" i="13"/>
  <c r="D42" i="13"/>
  <c r="C42" i="13"/>
  <c r="B42" i="13"/>
  <c r="L41" i="13"/>
  <c r="K41" i="13"/>
  <c r="J41" i="13"/>
  <c r="I41" i="13"/>
  <c r="H41" i="13"/>
  <c r="G41" i="13"/>
  <c r="F41" i="13"/>
  <c r="E41" i="13"/>
  <c r="D41" i="13"/>
  <c r="C41" i="13"/>
  <c r="B41" i="13"/>
  <c r="L40" i="13"/>
  <c r="K40" i="13"/>
  <c r="J40" i="13"/>
  <c r="I40" i="13"/>
  <c r="H40" i="13"/>
  <c r="G40" i="13"/>
  <c r="F40" i="13"/>
  <c r="E40" i="13"/>
  <c r="D40" i="13"/>
  <c r="C40" i="13"/>
  <c r="B40" i="13"/>
  <c r="L39" i="13"/>
  <c r="K39" i="13"/>
  <c r="J39" i="13"/>
  <c r="I39" i="13"/>
  <c r="H39" i="13"/>
  <c r="G39" i="13"/>
  <c r="F39" i="13"/>
  <c r="E39" i="13"/>
  <c r="D39" i="13"/>
  <c r="C39" i="13"/>
  <c r="B39" i="13"/>
  <c r="L38" i="13"/>
  <c r="K38" i="13"/>
  <c r="J38" i="13"/>
  <c r="I38" i="13"/>
  <c r="H38" i="13"/>
  <c r="G38" i="13"/>
  <c r="F38" i="13"/>
  <c r="E38" i="13"/>
  <c r="D38" i="13"/>
  <c r="C38" i="13"/>
  <c r="B38" i="13"/>
  <c r="L37" i="13"/>
  <c r="K37" i="13"/>
  <c r="J37" i="13"/>
  <c r="I37" i="13"/>
  <c r="H37" i="13"/>
  <c r="G37" i="13"/>
  <c r="F37" i="13"/>
  <c r="E37" i="13"/>
  <c r="D37" i="13"/>
  <c r="C37" i="13"/>
  <c r="B37" i="13"/>
  <c r="L36" i="13"/>
  <c r="K36" i="13"/>
  <c r="J36" i="13"/>
  <c r="I36" i="13"/>
  <c r="H36" i="13"/>
  <c r="G36" i="13"/>
  <c r="F36" i="13"/>
  <c r="E36" i="13"/>
  <c r="D36" i="13"/>
  <c r="C36" i="13"/>
  <c r="B36" i="13"/>
  <c r="L35" i="13"/>
  <c r="K35" i="13"/>
  <c r="J35" i="13"/>
  <c r="I35" i="13"/>
  <c r="H35" i="13"/>
  <c r="G35" i="13"/>
  <c r="F35" i="13"/>
  <c r="E35" i="13"/>
  <c r="D35" i="13"/>
  <c r="C35" i="13"/>
  <c r="B35" i="13"/>
  <c r="L34" i="13"/>
  <c r="K34" i="13"/>
  <c r="J34" i="13"/>
  <c r="I34" i="13"/>
  <c r="H34" i="13"/>
  <c r="G34" i="13"/>
  <c r="F34" i="13"/>
  <c r="E34" i="13"/>
  <c r="D34" i="13"/>
  <c r="C34" i="13"/>
  <c r="B34" i="13"/>
  <c r="L33" i="13"/>
  <c r="K33" i="13"/>
  <c r="J33" i="13"/>
  <c r="I33" i="13"/>
  <c r="H33" i="13"/>
  <c r="G33" i="13"/>
  <c r="F33" i="13"/>
  <c r="E33" i="13"/>
  <c r="D33" i="13"/>
  <c r="C33" i="13"/>
  <c r="B33" i="13"/>
  <c r="L32" i="13"/>
  <c r="K32" i="13"/>
  <c r="J32" i="13"/>
  <c r="I32" i="13"/>
  <c r="H32" i="13"/>
  <c r="G32" i="13"/>
  <c r="F32" i="13"/>
  <c r="E32" i="13"/>
  <c r="D32" i="13"/>
  <c r="C32" i="13"/>
  <c r="B32" i="13"/>
  <c r="L31" i="13"/>
  <c r="K31" i="13"/>
  <c r="J31" i="13"/>
  <c r="I31" i="13"/>
  <c r="H31" i="13"/>
  <c r="G31" i="13"/>
  <c r="F31" i="13"/>
  <c r="E31" i="13"/>
  <c r="D31" i="13"/>
  <c r="C31" i="13"/>
  <c r="B31" i="13"/>
  <c r="L30" i="13"/>
  <c r="K30" i="13"/>
  <c r="J30" i="13"/>
  <c r="I30" i="13"/>
  <c r="H30" i="13"/>
  <c r="G30" i="13"/>
  <c r="F30" i="13"/>
  <c r="E30" i="13"/>
  <c r="D30" i="13"/>
  <c r="C30" i="13"/>
  <c r="B30" i="13"/>
  <c r="L29" i="13"/>
  <c r="K29" i="13"/>
  <c r="J29" i="13"/>
  <c r="I29" i="13"/>
  <c r="H29" i="13"/>
  <c r="G29" i="13"/>
  <c r="F29" i="13"/>
  <c r="E29" i="13"/>
  <c r="D29" i="13"/>
  <c r="C29" i="13"/>
  <c r="B29" i="13"/>
  <c r="L28" i="13"/>
  <c r="K28" i="13"/>
  <c r="J28" i="13"/>
  <c r="I28" i="13"/>
  <c r="H28" i="13"/>
  <c r="G28" i="13"/>
  <c r="F28" i="13"/>
  <c r="E28" i="13"/>
  <c r="D28" i="13"/>
  <c r="C28" i="13"/>
  <c r="B28" i="13"/>
  <c r="L27" i="13"/>
  <c r="K27" i="13"/>
  <c r="J27" i="13"/>
  <c r="I27" i="13"/>
  <c r="H27" i="13"/>
  <c r="G27" i="13"/>
  <c r="F27" i="13"/>
  <c r="E27" i="13"/>
  <c r="D27" i="13"/>
  <c r="C27" i="13"/>
  <c r="B27" i="13"/>
  <c r="L26" i="13"/>
  <c r="K26" i="13"/>
  <c r="J26" i="13"/>
  <c r="I26" i="13"/>
  <c r="H26" i="13"/>
  <c r="G26" i="13"/>
  <c r="F26" i="13"/>
  <c r="E26" i="13"/>
  <c r="D26" i="13"/>
  <c r="C26" i="13"/>
  <c r="B26" i="13"/>
  <c r="L25" i="13"/>
  <c r="K25" i="13"/>
  <c r="J25" i="13"/>
  <c r="I25" i="13"/>
  <c r="H25" i="13"/>
  <c r="G25" i="13"/>
  <c r="F25" i="13"/>
  <c r="E25" i="13"/>
  <c r="D25" i="13"/>
  <c r="C25" i="13"/>
  <c r="B25" i="13"/>
  <c r="L24" i="13"/>
  <c r="K24" i="13"/>
  <c r="J24" i="13"/>
  <c r="I24" i="13"/>
  <c r="H24" i="13"/>
  <c r="G24" i="13"/>
  <c r="F24" i="13"/>
  <c r="E24" i="13"/>
  <c r="D24" i="13"/>
  <c r="C24" i="13"/>
  <c r="B24" i="13"/>
  <c r="K23" i="13"/>
  <c r="J23" i="13"/>
  <c r="I23" i="13"/>
  <c r="H23" i="13"/>
  <c r="G23" i="13"/>
  <c r="F23" i="13"/>
  <c r="E23" i="13"/>
  <c r="D23" i="13"/>
  <c r="C23" i="13"/>
  <c r="B23" i="13"/>
  <c r="L22" i="13"/>
  <c r="K22" i="13"/>
  <c r="J22" i="13"/>
  <c r="I22" i="13"/>
  <c r="H22" i="13"/>
  <c r="G22" i="13"/>
  <c r="F22" i="13"/>
  <c r="E22" i="13"/>
  <c r="D22" i="13"/>
  <c r="C22" i="13"/>
  <c r="B22" i="13"/>
  <c r="L21" i="13"/>
  <c r="K21" i="13"/>
  <c r="J21" i="13"/>
  <c r="I21" i="13"/>
  <c r="H21" i="13"/>
  <c r="G21" i="13"/>
  <c r="F21" i="13"/>
  <c r="E21" i="13"/>
  <c r="D21" i="13"/>
  <c r="C21" i="13"/>
  <c r="B21" i="13"/>
  <c r="L20" i="13"/>
  <c r="K20" i="13"/>
  <c r="J20" i="13"/>
  <c r="I20" i="13"/>
  <c r="H20" i="13"/>
  <c r="G20" i="13"/>
  <c r="F20" i="13"/>
  <c r="E20" i="13"/>
  <c r="D20" i="13"/>
  <c r="C20" i="13"/>
  <c r="B20" i="13"/>
  <c r="K19" i="13"/>
  <c r="J19" i="13"/>
  <c r="I19" i="13"/>
  <c r="H19" i="13"/>
  <c r="G19" i="13"/>
  <c r="F19" i="13"/>
  <c r="E19" i="13"/>
  <c r="D19" i="13"/>
  <c r="C19" i="13"/>
  <c r="B19" i="13"/>
  <c r="BG52" i="13" l="1"/>
  <c r="W71" i="13" s="1"/>
  <c r="AC53" i="13"/>
  <c r="K41" i="17"/>
  <c r="W52" i="13"/>
  <c r="V75" i="16"/>
  <c r="O64" i="16"/>
  <c r="O65" i="16"/>
  <c r="O66" i="16"/>
  <c r="O70" i="16"/>
  <c r="O71" i="16"/>
  <c r="X75" i="16"/>
  <c r="O68" i="16"/>
  <c r="O63" i="16"/>
  <c r="O72" i="16"/>
  <c r="O67" i="16"/>
  <c r="W75" i="16"/>
  <c r="AU52" i="13"/>
  <c r="W68" i="13" s="1"/>
  <c r="C68" i="13" s="1"/>
  <c r="U65" i="13"/>
  <c r="B65" i="13" s="1"/>
  <c r="U63" i="13"/>
  <c r="B63" i="13" s="1"/>
  <c r="C71" i="13"/>
  <c r="W53" i="13"/>
  <c r="AI53" i="13"/>
  <c r="AQ52" i="13"/>
  <c r="W67" i="13" s="1"/>
  <c r="C67" i="13" s="1"/>
  <c r="AY52" i="13"/>
  <c r="W69" i="13" s="1"/>
  <c r="C69" i="13" s="1"/>
  <c r="AM52" i="13"/>
  <c r="W66" i="13" s="1"/>
  <c r="C66" i="13" s="1"/>
  <c r="BC52" i="13"/>
  <c r="W70" i="13" s="1"/>
  <c r="C70" i="13" s="1"/>
  <c r="U64" i="13"/>
  <c r="BK52" i="13"/>
  <c r="W72" i="13" s="1"/>
  <c r="C72" i="13" s="1"/>
  <c r="B68" i="13"/>
  <c r="B70" i="13"/>
  <c r="B72" i="13"/>
  <c r="W63" i="13"/>
  <c r="AC52" i="13"/>
  <c r="W64" i="13" s="1"/>
  <c r="D65" i="13"/>
  <c r="AI52" i="13"/>
  <c r="W65" i="13" s="1"/>
  <c r="D67" i="13"/>
  <c r="B67" i="13"/>
  <c r="D69" i="13"/>
  <c r="B69" i="13"/>
  <c r="D71" i="13"/>
  <c r="B71" i="13"/>
  <c r="B66" i="13"/>
  <c r="D66" i="13"/>
  <c r="D68" i="13"/>
  <c r="D70" i="13"/>
  <c r="D72" i="13"/>
  <c r="C65" i="13" l="1"/>
  <c r="O75" i="16"/>
  <c r="D63" i="13"/>
  <c r="U75" i="13"/>
  <c r="C63" i="13"/>
  <c r="D64" i="13"/>
  <c r="B64" i="13"/>
  <c r="C64" i="13"/>
  <c r="X75" i="13" l="1"/>
  <c r="W75" i="13"/>
  <c r="O71" i="13"/>
  <c r="O67" i="13"/>
  <c r="O63" i="13"/>
  <c r="O66" i="13"/>
  <c r="O69" i="13"/>
  <c r="O68" i="13"/>
  <c r="O65" i="13"/>
  <c r="O70" i="13"/>
  <c r="V75" i="13"/>
  <c r="O72" i="13"/>
  <c r="O64" i="13"/>
  <c r="O75" i="13" l="1"/>
</calcChain>
</file>

<file path=xl/sharedStrings.xml><?xml version="1.0" encoding="utf-8"?>
<sst xmlns="http://schemas.openxmlformats.org/spreadsheetml/2006/main" count="2320" uniqueCount="195">
  <si>
    <t>Пор.</t>
  </si>
  <si>
    <t>Площадка</t>
  </si>
  <si>
    <t>NN</t>
  </si>
  <si>
    <t>GPS точка</t>
  </si>
  <si>
    <t>примечание</t>
  </si>
  <si>
    <t>До 0.5м</t>
  </si>
  <si>
    <t>0,5-1,5</t>
  </si>
  <si>
    <t>&gt; 1.5</t>
  </si>
  <si>
    <t>h, м</t>
  </si>
  <si>
    <t>A, лет</t>
  </si>
  <si>
    <t>Кол-во</t>
  </si>
  <si>
    <t>D</t>
  </si>
  <si>
    <t>A</t>
  </si>
  <si>
    <t>Перечётная ведомость</t>
  </si>
  <si>
    <t>Кв</t>
  </si>
  <si>
    <t>Выд</t>
  </si>
  <si>
    <t>делянка</t>
  </si>
  <si>
    <t>Ель из подроста</t>
  </si>
  <si>
    <t>ЕЛЬ лесные культуры</t>
  </si>
  <si>
    <t>Берёза</t>
  </si>
  <si>
    <t>Осина</t>
  </si>
  <si>
    <t>Ольха серая</t>
  </si>
  <si>
    <t>Чёрёмуха</t>
  </si>
  <si>
    <t>D, см</t>
  </si>
  <si>
    <t>Густота</t>
  </si>
  <si>
    <t>Среднее</t>
  </si>
  <si>
    <t>Ива</t>
  </si>
  <si>
    <t>Итого</t>
  </si>
  <si>
    <t>Измерения выполнил: __________________   Дата, подпись, расшифровка _________________________</t>
  </si>
  <si>
    <t>Дуб</t>
  </si>
  <si>
    <t>H выше 1.5</t>
  </si>
  <si>
    <t xml:space="preserve">Костыль для высоты </t>
  </si>
  <si>
    <t>Стадия (до, проект или после рубки)</t>
  </si>
  <si>
    <t>Рубки</t>
  </si>
  <si>
    <t>Заполнит информацию о делянке (номер ведомости, квартал, выдел и т.д.)</t>
  </si>
  <si>
    <t>Ввести данные перечёта</t>
  </si>
  <si>
    <t>Скопировать лист "до рубки" внутри книги Excel</t>
  </si>
  <si>
    <t>Удалить из ведомости перечёта то, что проектируется удалить в натуре</t>
  </si>
  <si>
    <t>ИНСТРУКЦИЯ</t>
  </si>
  <si>
    <t>Оформить пакет сопроводительной документация на делянку</t>
  </si>
  <si>
    <t>Подать уведомление в лесничество</t>
  </si>
  <si>
    <t>Провести рубку</t>
  </si>
  <si>
    <t>Рябина</t>
  </si>
  <si>
    <t>Сосна</t>
  </si>
  <si>
    <t>Костыль для итоговых значений</t>
  </si>
  <si>
    <t>Радиус ПП, м</t>
  </si>
  <si>
    <t>Всего, тыс.шт/га</t>
  </si>
  <si>
    <t>Предмет ухода</t>
  </si>
  <si>
    <t>ТЛ/ТУМ</t>
  </si>
  <si>
    <t>4Е</t>
  </si>
  <si>
    <t>9Е1С</t>
  </si>
  <si>
    <t>2С5Е3Б</t>
  </si>
  <si>
    <t>7Е1Б</t>
  </si>
  <si>
    <t>3Е5Б</t>
  </si>
  <si>
    <t>5С6Е</t>
  </si>
  <si>
    <t>5Е4С</t>
  </si>
  <si>
    <t>1С10Е</t>
  </si>
  <si>
    <t>8Е</t>
  </si>
  <si>
    <t>3С10Е</t>
  </si>
  <si>
    <t>7Е3Б</t>
  </si>
  <si>
    <t>3С9Е</t>
  </si>
  <si>
    <t>6С5Е</t>
  </si>
  <si>
    <t>5С5Е</t>
  </si>
  <si>
    <t>ЧС/В2</t>
  </si>
  <si>
    <t>ДМ/В4</t>
  </si>
  <si>
    <t>Измерения выполнил: __________________   Дата, подпись _________________________</t>
  </si>
  <si>
    <t>ПРОЕКТ РУБОК УХОДА</t>
  </si>
  <si>
    <t>Прочистка</t>
  </si>
  <si>
    <t>(вид рубок ухода)</t>
  </si>
  <si>
    <t>Лесничество, квартал</t>
  </si>
  <si>
    <t>Выдел, площадь</t>
  </si>
  <si>
    <t>Целевое назначение лесов и категория защитности</t>
  </si>
  <si>
    <t>Эксплуатационные леса</t>
  </si>
  <si>
    <t>Тип (группа типов леса) и тип  лесорастительных условий</t>
  </si>
  <si>
    <t>1. Потребность насаждения в проведении рубок ухода (в первую, вторую, третью, четвёртую очередь)</t>
  </si>
  <si>
    <t>в первую очередь</t>
  </si>
  <si>
    <t>2. Проектируемое количество и размеры пробных площадей в молодняках и постоянных пробных  площ</t>
  </si>
  <si>
    <t>3. Характеристика насаждений : исходная (до рубки) - проектируемая ( после рубки)</t>
  </si>
  <si>
    <t>выдел</t>
  </si>
  <si>
    <t>площадь</t>
  </si>
  <si>
    <t>состав древостоя</t>
  </si>
  <si>
    <t>возраст</t>
  </si>
  <si>
    <t>диаметр</t>
  </si>
  <si>
    <t>высота</t>
  </si>
  <si>
    <t>Сомкнутость крон</t>
  </si>
  <si>
    <t>исходный</t>
  </si>
  <si>
    <t>проектируемый</t>
  </si>
  <si>
    <t>-</t>
  </si>
  <si>
    <t>8С2Е</t>
  </si>
  <si>
    <t>4. Характеристики деревьев по классам хзяйственно-биологической классификации с учётом</t>
  </si>
  <si>
    <t>выделения главных и второстепенных пород (для молодняков обзательно даются параметры</t>
  </si>
  <si>
    <t>перспективных лучших и нежелательных деревьев по высоте</t>
  </si>
  <si>
    <t>лучшие</t>
  </si>
  <si>
    <t xml:space="preserve">Здоровые,прямые,полнодревесные,очищенные от сучьев </t>
  </si>
  <si>
    <t>с хорошо сформировавшейся кроной</t>
  </si>
  <si>
    <t>вспомогательные</t>
  </si>
  <si>
    <t>Деревья способствующие росту и развитию лучших,</t>
  </si>
  <si>
    <t>выполняющие почвозащитные функции, обеспечивающие биоразнообразие насаждения</t>
  </si>
  <si>
    <t>нежелательные ( подлежащие рубке)</t>
  </si>
  <si>
    <t>мешающие росту и формированию крон  лучших деревьев,</t>
  </si>
  <si>
    <t>сильно повреждённые или потерявшие потенциал к росту дереьвя главных пород</t>
  </si>
  <si>
    <t>5. Планируемое проведение рубки ухода время( месяцы, год)</t>
  </si>
  <si>
    <t>июнь 2023 года</t>
  </si>
  <si>
    <t>6. Интенсивность рубки ухода</t>
  </si>
  <si>
    <t>6.1. В процентах от исходного запаса (полноты, или количества деревьев)</t>
  </si>
  <si>
    <t>6.2. Объём вырубаемой массы по породам(на 1 га), скл, куб. метров</t>
  </si>
  <si>
    <t>7. Проектируемая технология ухода, название ( с указанием вида трелюемой, транспортируемой древесины)</t>
  </si>
  <si>
    <t>механизированная рубка нежелательной растительности кусторезами Stihl</t>
  </si>
  <si>
    <t xml:space="preserve">Расстояние между технологическими коридорами, существующими или создаваемыми( прямолинейными </t>
  </si>
  <si>
    <t>или не прямолинейными)</t>
  </si>
  <si>
    <t>равномерное по всей площади</t>
  </si>
  <si>
    <t>Ширина технологических коридоров</t>
  </si>
  <si>
    <t>Количество и размеры погрузочных пунктов</t>
  </si>
  <si>
    <t>нет</t>
  </si>
  <si>
    <t>Ширина оставляемых полос и коридоров ухода при линейной технологии ( рубки ухода в молодняках)</t>
  </si>
  <si>
    <t xml:space="preserve">Проект составил : </t>
  </si>
  <si>
    <r>
      <t>___________________________ /___________________</t>
    </r>
    <r>
      <rPr>
        <sz val="11"/>
        <color theme="1"/>
        <rFont val="Calibri"/>
        <family val="2"/>
        <charset val="204"/>
        <scheme val="minor"/>
      </rPr>
      <t>/</t>
    </r>
  </si>
  <si>
    <t>Хундольское участковое лесничество , квартал 113</t>
  </si>
  <si>
    <t>выдел 16 площадь 4.6 га</t>
  </si>
  <si>
    <t>15 площадок постоянного радиуса(3.99 метра)</t>
  </si>
  <si>
    <t>Чс-В2</t>
  </si>
  <si>
    <t>5Е</t>
  </si>
  <si>
    <t>1С</t>
  </si>
  <si>
    <t>2Б</t>
  </si>
  <si>
    <t>1Ос</t>
  </si>
  <si>
    <t>1Ив</t>
  </si>
  <si>
    <t>7Е</t>
  </si>
  <si>
    <t>2С</t>
  </si>
  <si>
    <t>1Б</t>
  </si>
  <si>
    <t>До рубки</t>
  </si>
  <si>
    <t>После рубки</t>
  </si>
  <si>
    <t>Вырубленна часть</t>
  </si>
  <si>
    <t>К-т состава</t>
  </si>
  <si>
    <t>Интенсивность</t>
  </si>
  <si>
    <t>%</t>
  </si>
  <si>
    <t xml:space="preserve">Средний запас </t>
  </si>
  <si>
    <t>м3 на 1 га</t>
  </si>
  <si>
    <t>Перечётная ведомость № _1___    литер _а__   Кв. __113___        Выд. _16___          Радиус ПП, м __3.99____              Измерения выполнил: __Богачёв П.В._______    Дата, подпись _____11.06.2023______________</t>
  </si>
  <si>
    <t>Ель последующего (самосев/ЛК)</t>
  </si>
  <si>
    <t>Ель предварительного (сохр. Подрост)</t>
  </si>
  <si>
    <t>Перечётная ведомость № _1___    литер _б__   Кв. __113___        Выд. _16___          Радиус ПП, м __3.99____              Измерения выполнил: __Богачёв П.В._______    Дата, подпись _____11.06.2023______________</t>
  </si>
  <si>
    <t>Указать стадию (переименовать лист) "После рубки"</t>
  </si>
  <si>
    <t>Скопировать итоговые характеристики насаждения "До" и "После" в лист "Расчёты для проекта"</t>
  </si>
  <si>
    <t>(скопировать из листа "До рубки", режим вставки выбрать "только значения")</t>
  </si>
  <si>
    <t>(берётся из ТО)</t>
  </si>
  <si>
    <t>м3 на делянку</t>
  </si>
  <si>
    <t>S делянки</t>
  </si>
  <si>
    <t>ххх</t>
  </si>
  <si>
    <t>В том числе по породам, м3 на 1 га</t>
  </si>
  <si>
    <t>Всего - 13.1; Сосна -0.2; Ель - 5.5; Берёза - 4.2; Осина - 1.2; Ива, Черёмуха, Рябина - 2.0</t>
  </si>
  <si>
    <t>Порода</t>
  </si>
  <si>
    <t>До</t>
  </si>
  <si>
    <t>После</t>
  </si>
  <si>
    <t>Состав</t>
  </si>
  <si>
    <t>Диаметр</t>
  </si>
  <si>
    <t>Высота</t>
  </si>
  <si>
    <t>Заполнить Проект рубок ухода</t>
  </si>
  <si>
    <t>Скопировать данные перечёта по породам в Перечётные ведомости</t>
  </si>
  <si>
    <t>Скопировать лист внутри книги Excel</t>
  </si>
  <si>
    <t>Указать стадию (переименовать лист) "До рубки"</t>
  </si>
  <si>
    <t>после</t>
  </si>
  <si>
    <t>Итоговая характеристика насаждения</t>
  </si>
  <si>
    <t>Чёрёмуха, Рябина</t>
  </si>
  <si>
    <t>Среднее (тыс.шт/га; см; м; лет)</t>
  </si>
  <si>
    <t>H выше 1.5 (метров)</t>
  </si>
  <si>
    <t>3Б</t>
  </si>
  <si>
    <t>3Е</t>
  </si>
  <si>
    <t>3Ос</t>
  </si>
  <si>
    <t>ЧС/A2</t>
  </si>
  <si>
    <t>1Б2Ос</t>
  </si>
  <si>
    <t>2Б1Е</t>
  </si>
  <si>
    <t>Вол/Пас</t>
  </si>
  <si>
    <t>БР/В2</t>
  </si>
  <si>
    <t>С/A5</t>
  </si>
  <si>
    <t>Пасека</t>
  </si>
  <si>
    <t>БР/А2</t>
  </si>
  <si>
    <t>ЧС/А2</t>
  </si>
  <si>
    <t>2Е1Б</t>
  </si>
  <si>
    <t>12Ол.С</t>
  </si>
  <si>
    <t>2Б1Ос</t>
  </si>
  <si>
    <t>П/С5</t>
  </si>
  <si>
    <t>Пройдено Рубкой</t>
  </si>
  <si>
    <t>1Е2Б</t>
  </si>
  <si>
    <t>1Е1Б1Ос</t>
  </si>
  <si>
    <t>БР/A2</t>
  </si>
  <si>
    <t>2Е1Ос</t>
  </si>
  <si>
    <t>5Е3Б</t>
  </si>
  <si>
    <t>1Е3Б</t>
  </si>
  <si>
    <t>3Е3Б</t>
  </si>
  <si>
    <t>1Е</t>
  </si>
  <si>
    <t>3Е1Б</t>
  </si>
  <si>
    <t>пасека</t>
  </si>
  <si>
    <t>вол/пас</t>
  </si>
  <si>
    <t>волок</t>
  </si>
  <si>
    <t>КС/B2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</si>
</sst>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.0"/>
    <numFmt numFmtId="165" formatCode="0.000"/>
  </numFmts>
  <fonts count="13" x14ac:knownFonts="1">
    <font>
      <sz val="11"/>
      <color theme="1"/>
      <name val="Calibri"/>
      <family val="2"/>
      <charset val="204"/>
      <scheme val="minor"/>
    </font>
    <font>
      <sz val="8"/>
      <color theme="1"/>
      <name val="Arial"/>
      <family val="2"/>
      <charset val="204"/>
    </font>
    <font>
      <sz val="10"/>
      <color theme="1"/>
      <name val="Arial"/>
      <family val="2"/>
      <charset val="204"/>
    </font>
    <font>
      <sz val="11"/>
      <color theme="1"/>
      <name val="Arial"/>
      <family val="2"/>
      <charset val="204"/>
    </font>
    <font>
      <i/>
      <sz val="11"/>
      <color theme="1"/>
      <name val="Times New Roman"/>
      <family val="1"/>
      <charset val="204"/>
    </font>
    <font>
      <b/>
      <i/>
      <sz val="11"/>
      <color theme="1"/>
      <name val="Calibri"/>
      <family val="2"/>
      <charset val="204"/>
      <scheme val="minor"/>
    </font>
    <font>
      <sz val="10"/>
      <name val="Arial"/>
    </font>
    <font>
      <b/>
      <i/>
      <sz val="16"/>
      <name val="Arial"/>
      <family val="2"/>
      <charset val="204"/>
    </font>
    <font>
      <i/>
      <sz val="14"/>
      <name val="Arial"/>
      <family val="2"/>
      <charset val="204"/>
    </font>
    <font>
      <sz val="8"/>
      <name val="Arial"/>
      <family val="2"/>
      <charset val="204"/>
    </font>
    <font>
      <i/>
      <sz val="12"/>
      <name val="Arial"/>
      <family val="2"/>
      <charset val="204"/>
    </font>
    <font>
      <sz val="10"/>
      <name val="Arial"/>
      <family val="2"/>
      <charset val="204"/>
    </font>
    <font>
      <i/>
      <sz val="10"/>
      <name val="Arial"/>
      <family val="2"/>
      <charset val="204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78">
    <border>
      <left/>
      <right/>
      <top/>
      <bottom/>
      <diagonal/>
    </border>
    <border>
      <left style="thick">
        <color indexed="64"/>
      </left>
      <right style="medium">
        <color indexed="64"/>
      </right>
      <top style="thick">
        <color indexed="64"/>
      </top>
      <bottom style="medium">
        <color indexed="64"/>
      </bottom>
      <diagonal/>
    </border>
    <border>
      <left/>
      <right style="thick">
        <color indexed="64"/>
      </right>
      <top style="thick">
        <color indexed="64"/>
      </top>
      <bottom style="medium">
        <color indexed="64"/>
      </bottom>
      <diagonal/>
    </border>
    <border>
      <left/>
      <right/>
      <top style="thick">
        <color indexed="64"/>
      </top>
      <bottom style="medium">
        <color indexed="64"/>
      </bottom>
      <diagonal/>
    </border>
    <border>
      <left style="thick">
        <color indexed="64"/>
      </left>
      <right/>
      <top style="thick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ck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</borders>
  <cellStyleXfs count="2">
    <xf numFmtId="0" fontId="0" fillId="0" borderId="0"/>
    <xf numFmtId="0" fontId="6" fillId="0" borderId="0"/>
  </cellStyleXfs>
  <cellXfs count="236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5" xfId="0" applyFont="1" applyBorder="1" applyAlignment="1">
      <alignment vertical="center"/>
    </xf>
    <xf numFmtId="0" fontId="2" fillId="0" borderId="5" xfId="0" applyFont="1" applyBorder="1" applyAlignment="1">
      <alignment vertical="center" wrapText="1"/>
    </xf>
    <xf numFmtId="0" fontId="3" fillId="0" borderId="5" xfId="0" applyFont="1" applyBorder="1" applyAlignment="1">
      <alignment vertical="center"/>
    </xf>
    <xf numFmtId="0" fontId="3" fillId="0" borderId="5" xfId="0" applyFont="1" applyBorder="1" applyAlignment="1">
      <alignment vertical="center" wrapText="1"/>
    </xf>
    <xf numFmtId="0" fontId="2" fillId="0" borderId="6" xfId="0" applyFont="1" applyBorder="1" applyAlignment="1">
      <alignment vertical="center"/>
    </xf>
    <xf numFmtId="0" fontId="2" fillId="0" borderId="6" xfId="0" applyFont="1" applyBorder="1" applyAlignment="1">
      <alignment vertical="center" wrapText="1"/>
    </xf>
    <xf numFmtId="0" fontId="2" fillId="0" borderId="7" xfId="0" applyFont="1" applyBorder="1" applyAlignment="1">
      <alignment vertical="center" wrapText="1"/>
    </xf>
    <xf numFmtId="0" fontId="2" fillId="0" borderId="8" xfId="0" applyFont="1" applyBorder="1" applyAlignment="1">
      <alignment vertical="center"/>
    </xf>
    <xf numFmtId="0" fontId="2" fillId="0" borderId="9" xfId="0" applyFont="1" applyBorder="1" applyAlignment="1">
      <alignment vertical="center" wrapText="1"/>
    </xf>
    <xf numFmtId="0" fontId="3" fillId="0" borderId="8" xfId="0" applyFont="1" applyBorder="1" applyAlignment="1">
      <alignment vertical="center"/>
    </xf>
    <xf numFmtId="0" fontId="3" fillId="0" borderId="9" xfId="0" applyFont="1" applyBorder="1" applyAlignment="1">
      <alignment vertical="center" wrapText="1"/>
    </xf>
    <xf numFmtId="0" fontId="3" fillId="0" borderId="10" xfId="0" applyFont="1" applyBorder="1" applyAlignment="1">
      <alignment vertical="center"/>
    </xf>
    <xf numFmtId="0" fontId="3" fillId="0" borderId="11" xfId="0" applyFont="1" applyBorder="1" applyAlignment="1">
      <alignment vertical="center"/>
    </xf>
    <xf numFmtId="0" fontId="3" fillId="0" borderId="11" xfId="0" applyFont="1" applyBorder="1" applyAlignment="1">
      <alignment vertical="center" wrapText="1"/>
    </xf>
    <xf numFmtId="0" fontId="3" fillId="0" borderId="12" xfId="0" applyFont="1" applyBorder="1" applyAlignment="1">
      <alignment vertical="center" wrapText="1"/>
    </xf>
    <xf numFmtId="0" fontId="2" fillId="0" borderId="13" xfId="0" applyFont="1" applyBorder="1" applyAlignment="1">
      <alignment vertical="center"/>
    </xf>
    <xf numFmtId="0" fontId="3" fillId="0" borderId="13" xfId="0" applyFont="1" applyBorder="1" applyAlignment="1">
      <alignment vertical="center"/>
    </xf>
    <xf numFmtId="0" fontId="3" fillId="0" borderId="14" xfId="0" applyFont="1" applyBorder="1" applyAlignment="1">
      <alignment vertical="center"/>
    </xf>
    <xf numFmtId="0" fontId="2" fillId="0" borderId="8" xfId="0" applyFont="1" applyBorder="1" applyAlignment="1">
      <alignment vertical="center" wrapText="1"/>
    </xf>
    <xf numFmtId="0" fontId="3" fillId="0" borderId="8" xfId="0" applyFont="1" applyBorder="1" applyAlignment="1">
      <alignment vertical="center" wrapText="1"/>
    </xf>
    <xf numFmtId="0" fontId="3" fillId="0" borderId="10" xfId="0" applyFont="1" applyBorder="1" applyAlignment="1">
      <alignment vertical="center" wrapText="1"/>
    </xf>
    <xf numFmtId="0" fontId="2" fillId="0" borderId="17" xfId="0" applyFont="1" applyBorder="1" applyAlignment="1">
      <alignment vertical="center" wrapText="1"/>
    </xf>
    <xf numFmtId="0" fontId="2" fillId="0" borderId="18" xfId="0" applyFont="1" applyBorder="1" applyAlignment="1">
      <alignment vertical="center" wrapText="1"/>
    </xf>
    <xf numFmtId="0" fontId="1" fillId="0" borderId="19" xfId="0" applyFont="1" applyBorder="1" applyAlignment="1">
      <alignment horizontal="center" vertical="center" wrapText="1"/>
    </xf>
    <xf numFmtId="0" fontId="1" fillId="0" borderId="20" xfId="0" applyFont="1" applyBorder="1" applyAlignment="1">
      <alignment horizontal="center" vertical="center" wrapText="1"/>
    </xf>
    <xf numFmtId="0" fontId="2" fillId="0" borderId="21" xfId="0" applyFont="1" applyBorder="1" applyAlignment="1">
      <alignment vertical="center" wrapText="1"/>
    </xf>
    <xf numFmtId="0" fontId="2" fillId="0" borderId="13" xfId="0" applyFont="1" applyBorder="1" applyAlignment="1">
      <alignment vertical="center" wrapText="1"/>
    </xf>
    <xf numFmtId="0" fontId="3" fillId="0" borderId="13" xfId="0" applyFont="1" applyBorder="1" applyAlignment="1">
      <alignment vertical="center" wrapText="1"/>
    </xf>
    <xf numFmtId="0" fontId="3" fillId="0" borderId="14" xfId="0" applyFont="1" applyBorder="1" applyAlignment="1">
      <alignment vertical="center" wrapText="1"/>
    </xf>
    <xf numFmtId="0" fontId="1" fillId="0" borderId="22" xfId="0" applyFont="1" applyBorder="1" applyAlignment="1">
      <alignment horizontal="center" vertical="center"/>
    </xf>
    <xf numFmtId="0" fontId="2" fillId="0" borderId="23" xfId="0" applyFont="1" applyBorder="1" applyAlignment="1">
      <alignment vertical="center"/>
    </xf>
    <xf numFmtId="0" fontId="2" fillId="0" borderId="24" xfId="0" applyFont="1" applyBorder="1" applyAlignment="1">
      <alignment vertical="center"/>
    </xf>
    <xf numFmtId="0" fontId="3" fillId="0" borderId="24" xfId="0" applyFont="1" applyBorder="1" applyAlignment="1">
      <alignment vertical="center"/>
    </xf>
    <xf numFmtId="0" fontId="3" fillId="0" borderId="25" xfId="0" applyFont="1" applyBorder="1" applyAlignment="1">
      <alignment vertical="center"/>
    </xf>
    <xf numFmtId="0" fontId="2" fillId="0" borderId="26" xfId="0" applyFont="1" applyBorder="1" applyAlignment="1">
      <alignment vertical="center" wrapText="1"/>
    </xf>
    <xf numFmtId="0" fontId="2" fillId="0" borderId="27" xfId="0" applyFont="1" applyBorder="1" applyAlignment="1">
      <alignment vertical="center" wrapText="1"/>
    </xf>
    <xf numFmtId="0" fontId="3" fillId="0" borderId="27" xfId="0" applyFont="1" applyBorder="1" applyAlignment="1">
      <alignment vertical="center" wrapText="1"/>
    </xf>
    <xf numFmtId="0" fontId="3" fillId="0" borderId="28" xfId="0" applyFont="1" applyBorder="1" applyAlignment="1">
      <alignment vertical="center" wrapText="1"/>
    </xf>
    <xf numFmtId="0" fontId="2" fillId="0" borderId="31" xfId="0" applyFont="1" applyBorder="1" applyAlignment="1">
      <alignment vertical="center" wrapText="1"/>
    </xf>
    <xf numFmtId="0" fontId="1" fillId="0" borderId="19" xfId="0" applyFont="1" applyBorder="1" applyAlignment="1">
      <alignment horizontal="center" vertical="center"/>
    </xf>
    <xf numFmtId="0" fontId="1" fillId="0" borderId="32" xfId="0" applyFont="1" applyBorder="1" applyAlignment="1">
      <alignment horizontal="center" vertical="center"/>
    </xf>
    <xf numFmtId="0" fontId="1" fillId="0" borderId="32" xfId="0" applyFont="1" applyBorder="1" applyAlignment="1">
      <alignment horizontal="center" vertical="center" wrapText="1"/>
    </xf>
    <xf numFmtId="0" fontId="4" fillId="0" borderId="0" xfId="0" applyFont="1" applyAlignment="1">
      <alignment vertical="center"/>
    </xf>
    <xf numFmtId="0" fontId="0" fillId="0" borderId="33" xfId="0" applyBorder="1"/>
    <xf numFmtId="0" fontId="5" fillId="0" borderId="0" xfId="0" applyFont="1"/>
    <xf numFmtId="0" fontId="0" fillId="0" borderId="0" xfId="0" applyBorder="1"/>
    <xf numFmtId="0" fontId="3" fillId="0" borderId="27" xfId="0" applyFont="1" applyBorder="1" applyAlignment="1">
      <alignment vertical="center"/>
    </xf>
    <xf numFmtId="0" fontId="1" fillId="0" borderId="34" xfId="0" applyFont="1" applyBorder="1" applyAlignment="1">
      <alignment horizontal="center" vertical="center" wrapText="1"/>
    </xf>
    <xf numFmtId="0" fontId="1" fillId="0" borderId="35" xfId="0" applyFont="1" applyBorder="1" applyAlignment="1">
      <alignment horizontal="center" vertical="center"/>
    </xf>
    <xf numFmtId="0" fontId="1" fillId="0" borderId="35" xfId="0" applyFont="1" applyBorder="1" applyAlignment="1">
      <alignment horizontal="center" vertical="center" wrapText="1"/>
    </xf>
    <xf numFmtId="0" fontId="1" fillId="0" borderId="36" xfId="0" applyFont="1" applyBorder="1" applyAlignment="1">
      <alignment horizontal="center" vertical="center" wrapText="1"/>
    </xf>
    <xf numFmtId="0" fontId="1" fillId="0" borderId="34" xfId="0" applyFont="1" applyBorder="1" applyAlignment="1">
      <alignment horizontal="center" vertical="center"/>
    </xf>
    <xf numFmtId="0" fontId="1" fillId="0" borderId="37" xfId="0" applyFont="1" applyBorder="1" applyAlignment="1">
      <alignment horizontal="center" vertical="center" wrapText="1"/>
    </xf>
    <xf numFmtId="164" fontId="0" fillId="0" borderId="0" xfId="0" applyNumberFormat="1"/>
    <xf numFmtId="164" fontId="3" fillId="0" borderId="5" xfId="0" applyNumberFormat="1" applyFont="1" applyBorder="1" applyAlignment="1">
      <alignment vertical="center"/>
    </xf>
    <xf numFmtId="164" fontId="3" fillId="0" borderId="9" xfId="0" applyNumberFormat="1" applyFont="1" applyBorder="1" applyAlignment="1">
      <alignment vertical="center"/>
    </xf>
    <xf numFmtId="164" fontId="3" fillId="0" borderId="13" xfId="0" applyNumberFormat="1" applyFont="1" applyBorder="1" applyAlignment="1">
      <alignment vertical="center"/>
    </xf>
    <xf numFmtId="0" fontId="0" fillId="0" borderId="39" xfId="0" applyBorder="1"/>
    <xf numFmtId="0" fontId="0" fillId="0" borderId="40" xfId="0" applyBorder="1"/>
    <xf numFmtId="0" fontId="0" fillId="0" borderId="41" xfId="0" applyBorder="1"/>
    <xf numFmtId="0" fontId="0" fillId="0" borderId="42" xfId="0" applyBorder="1"/>
    <xf numFmtId="0" fontId="0" fillId="0" borderId="43" xfId="0" applyBorder="1"/>
    <xf numFmtId="0" fontId="0" fillId="0" borderId="44" xfId="0" applyBorder="1"/>
    <xf numFmtId="0" fontId="0" fillId="0" borderId="45" xfId="0" applyBorder="1"/>
    <xf numFmtId="0" fontId="0" fillId="0" borderId="46" xfId="0" applyBorder="1"/>
    <xf numFmtId="0" fontId="0" fillId="2" borderId="40" xfId="0" applyFill="1" applyBorder="1"/>
    <xf numFmtId="0" fontId="1" fillId="0" borderId="47" xfId="0" applyFont="1" applyBorder="1" applyAlignment="1">
      <alignment horizontal="center" vertical="center" wrapText="1"/>
    </xf>
    <xf numFmtId="0" fontId="2" fillId="0" borderId="38" xfId="0" applyFont="1" applyBorder="1" applyAlignment="1">
      <alignment vertical="center" wrapText="1"/>
    </xf>
    <xf numFmtId="0" fontId="1" fillId="0" borderId="48" xfId="0" applyFont="1" applyBorder="1" applyAlignment="1">
      <alignment horizontal="center" vertical="center"/>
    </xf>
    <xf numFmtId="0" fontId="0" fillId="0" borderId="49" xfId="0" applyBorder="1"/>
    <xf numFmtId="0" fontId="0" fillId="0" borderId="50" xfId="0" applyBorder="1"/>
    <xf numFmtId="0" fontId="0" fillId="0" borderId="51" xfId="0" applyBorder="1"/>
    <xf numFmtId="0" fontId="0" fillId="0" borderId="32" xfId="0" applyBorder="1"/>
    <xf numFmtId="0" fontId="0" fillId="0" borderId="52" xfId="0" applyBorder="1"/>
    <xf numFmtId="164" fontId="3" fillId="0" borderId="27" xfId="0" applyNumberFormat="1" applyFont="1" applyBorder="1" applyAlignment="1">
      <alignment vertical="center"/>
    </xf>
    <xf numFmtId="164" fontId="3" fillId="0" borderId="5" xfId="0" applyNumberFormat="1" applyFont="1" applyBorder="1" applyAlignment="1">
      <alignment vertical="center" wrapText="1"/>
    </xf>
    <xf numFmtId="164" fontId="3" fillId="0" borderId="27" xfId="0" applyNumberFormat="1" applyFont="1" applyBorder="1" applyAlignment="1">
      <alignment vertical="center" wrapText="1"/>
    </xf>
    <xf numFmtId="164" fontId="3" fillId="0" borderId="8" xfId="0" applyNumberFormat="1" applyFont="1" applyBorder="1" applyAlignment="1">
      <alignment vertical="center"/>
    </xf>
    <xf numFmtId="164" fontId="3" fillId="0" borderId="9" xfId="0" applyNumberFormat="1" applyFont="1" applyBorder="1" applyAlignment="1">
      <alignment vertical="center" wrapText="1"/>
    </xf>
    <xf numFmtId="164" fontId="0" fillId="0" borderId="42" xfId="0" applyNumberFormat="1" applyBorder="1"/>
    <xf numFmtId="164" fontId="0" fillId="0" borderId="49" xfId="0" applyNumberFormat="1" applyBorder="1"/>
    <xf numFmtId="164" fontId="0" fillId="0" borderId="43" xfId="0" applyNumberFormat="1" applyBorder="1"/>
    <xf numFmtId="2" fontId="0" fillId="0" borderId="0" xfId="0" applyNumberFormat="1"/>
    <xf numFmtId="0" fontId="0" fillId="0" borderId="0" xfId="0" applyFill="1" applyBorder="1"/>
    <xf numFmtId="0" fontId="1" fillId="0" borderId="53" xfId="0" applyFont="1" applyBorder="1" applyAlignment="1">
      <alignment horizontal="center" vertical="center" wrapText="1"/>
    </xf>
    <xf numFmtId="0" fontId="2" fillId="0" borderId="33" xfId="0" applyFont="1" applyBorder="1" applyAlignment="1">
      <alignment vertical="center" wrapText="1"/>
    </xf>
    <xf numFmtId="0" fontId="2" fillId="0" borderId="54" xfId="0" applyFont="1" applyBorder="1" applyAlignment="1">
      <alignment vertical="center" wrapText="1"/>
    </xf>
    <xf numFmtId="0" fontId="3" fillId="0" borderId="54" xfId="0" applyFont="1" applyBorder="1" applyAlignment="1">
      <alignment vertical="center" wrapText="1"/>
    </xf>
    <xf numFmtId="0" fontId="3" fillId="0" borderId="55" xfId="0" applyFont="1" applyBorder="1" applyAlignment="1">
      <alignment vertical="center" wrapText="1"/>
    </xf>
    <xf numFmtId="0" fontId="6" fillId="0" borderId="0" xfId="1"/>
    <xf numFmtId="0" fontId="8" fillId="0" borderId="0" xfId="1" applyFont="1"/>
    <xf numFmtId="0" fontId="6" fillId="0" borderId="0" xfId="1" applyAlignment="1">
      <alignment horizontal="center"/>
    </xf>
    <xf numFmtId="0" fontId="10" fillId="0" borderId="0" xfId="1" applyFont="1"/>
    <xf numFmtId="0" fontId="6" fillId="0" borderId="33" xfId="1" applyBorder="1"/>
    <xf numFmtId="0" fontId="9" fillId="0" borderId="57" xfId="1" applyFont="1" applyBorder="1"/>
    <xf numFmtId="0" fontId="9" fillId="0" borderId="58" xfId="1" applyFont="1" applyBorder="1"/>
    <xf numFmtId="0" fontId="9" fillId="0" borderId="27" xfId="1" applyFont="1" applyBorder="1" applyAlignment="1">
      <alignment horizontal="center" wrapText="1"/>
    </xf>
    <xf numFmtId="0" fontId="9" fillId="0" borderId="38" xfId="1" applyFont="1" applyBorder="1"/>
    <xf numFmtId="0" fontId="9" fillId="0" borderId="31" xfId="1" applyFont="1" applyBorder="1"/>
    <xf numFmtId="0" fontId="9" fillId="0" borderId="38" xfId="1" applyFont="1" applyBorder="1" applyAlignment="1">
      <alignment horizontal="center" wrapText="1"/>
    </xf>
    <xf numFmtId="0" fontId="9" fillId="0" borderId="5" xfId="1" applyFont="1" applyBorder="1" applyAlignment="1">
      <alignment horizontal="center" wrapText="1"/>
    </xf>
    <xf numFmtId="49" fontId="11" fillId="0" borderId="38" xfId="1" applyNumberFormat="1" applyFont="1" applyBorder="1" applyAlignment="1">
      <alignment horizontal="center" vertical="center" wrapText="1"/>
    </xf>
    <xf numFmtId="0" fontId="11" fillId="0" borderId="5" xfId="1" applyFont="1" applyBorder="1" applyAlignment="1">
      <alignment vertical="center" wrapText="1"/>
    </xf>
    <xf numFmtId="164" fontId="11" fillId="0" borderId="38" xfId="1" applyNumberFormat="1" applyFont="1" applyBorder="1" applyAlignment="1">
      <alignment horizontal="center" vertical="center" wrapText="1"/>
    </xf>
    <xf numFmtId="3" fontId="11" fillId="0" borderId="5" xfId="1" applyNumberFormat="1" applyFont="1" applyBorder="1" applyAlignment="1">
      <alignment vertical="center" wrapText="1"/>
    </xf>
    <xf numFmtId="1" fontId="11" fillId="0" borderId="5" xfId="1" applyNumberFormat="1" applyFont="1" applyBorder="1" applyAlignment="1">
      <alignment vertical="center" wrapText="1"/>
    </xf>
    <xf numFmtId="0" fontId="10" fillId="0" borderId="5" xfId="1" applyFont="1" applyBorder="1" applyAlignment="1">
      <alignment horizontal="center" vertical="center"/>
    </xf>
    <xf numFmtId="0" fontId="12" fillId="0" borderId="5" xfId="1" applyFont="1" applyBorder="1" applyAlignment="1">
      <alignment horizontal="center" vertical="center" wrapText="1"/>
    </xf>
    <xf numFmtId="0" fontId="10" fillId="0" borderId="33" xfId="1" applyFont="1" applyBorder="1"/>
    <xf numFmtId="0" fontId="10" fillId="0" borderId="56" xfId="1" applyFont="1" applyBorder="1"/>
    <xf numFmtId="0" fontId="6" fillId="3" borderId="0" xfId="1" applyFill="1"/>
    <xf numFmtId="0" fontId="11" fillId="0" borderId="0" xfId="1" applyFont="1"/>
    <xf numFmtId="1" fontId="11" fillId="0" borderId="5" xfId="1" applyNumberFormat="1" applyFont="1" applyBorder="1" applyAlignment="1">
      <alignment horizontal="right" vertical="center" wrapText="1"/>
    </xf>
    <xf numFmtId="0" fontId="0" fillId="0" borderId="57" xfId="0" applyBorder="1"/>
    <xf numFmtId="0" fontId="0" fillId="0" borderId="56" xfId="0" applyBorder="1"/>
    <xf numFmtId="0" fontId="0" fillId="0" borderId="59" xfId="0" applyBorder="1"/>
    <xf numFmtId="0" fontId="0" fillId="0" borderId="60" xfId="0" applyBorder="1"/>
    <xf numFmtId="0" fontId="0" fillId="0" borderId="61" xfId="0" applyBorder="1"/>
    <xf numFmtId="0" fontId="0" fillId="0" borderId="38" xfId="0" applyBorder="1"/>
    <xf numFmtId="0" fontId="0" fillId="0" borderId="21" xfId="0" applyBorder="1"/>
    <xf numFmtId="165" fontId="0" fillId="0" borderId="0" xfId="0" applyNumberFormat="1" applyBorder="1"/>
    <xf numFmtId="2" fontId="0" fillId="0" borderId="0" xfId="0" applyNumberFormat="1" applyBorder="1"/>
    <xf numFmtId="2" fontId="0" fillId="0" borderId="60" xfId="0" applyNumberFormat="1" applyBorder="1"/>
    <xf numFmtId="165" fontId="0" fillId="0" borderId="33" xfId="0" applyNumberFormat="1" applyBorder="1"/>
    <xf numFmtId="1" fontId="0" fillId="0" borderId="38" xfId="0" applyNumberFormat="1" applyBorder="1"/>
    <xf numFmtId="0" fontId="5" fillId="0" borderId="33" xfId="0" applyFont="1" applyBorder="1"/>
    <xf numFmtId="0" fontId="4" fillId="0" borderId="33" xfId="0" applyFont="1" applyBorder="1" applyAlignment="1">
      <alignment vertical="center"/>
    </xf>
    <xf numFmtId="0" fontId="2" fillId="0" borderId="23" xfId="0" applyFont="1" applyBorder="1" applyAlignment="1">
      <alignment horizontal="center" vertical="center"/>
    </xf>
    <xf numFmtId="0" fontId="2" fillId="0" borderId="62" xfId="0" applyFont="1" applyBorder="1" applyAlignment="1">
      <alignment vertical="center" wrapText="1"/>
    </xf>
    <xf numFmtId="0" fontId="2" fillId="0" borderId="24" xfId="0" applyFont="1" applyBorder="1" applyAlignment="1">
      <alignment horizontal="center" vertical="center"/>
    </xf>
    <xf numFmtId="0" fontId="2" fillId="0" borderId="63" xfId="0" applyFont="1" applyBorder="1" applyAlignment="1">
      <alignment horizontal="center" vertical="center"/>
    </xf>
    <xf numFmtId="0" fontId="2" fillId="0" borderId="59" xfId="0" applyFont="1" applyBorder="1" applyAlignment="1">
      <alignment vertical="center" wrapText="1"/>
    </xf>
    <xf numFmtId="0" fontId="2" fillId="0" borderId="57" xfId="0" applyFont="1" applyBorder="1" applyAlignment="1">
      <alignment vertical="center" wrapText="1"/>
    </xf>
    <xf numFmtId="0" fontId="2" fillId="0" borderId="64" xfId="0" applyFont="1" applyBorder="1" applyAlignment="1">
      <alignment vertical="center" wrapText="1"/>
    </xf>
    <xf numFmtId="0" fontId="2" fillId="0" borderId="65" xfId="0" applyFont="1" applyBorder="1" applyAlignment="1">
      <alignment vertical="center" wrapText="1"/>
    </xf>
    <xf numFmtId="0" fontId="2" fillId="0" borderId="67" xfId="0" applyFont="1" applyBorder="1" applyAlignment="1">
      <alignment vertical="center" wrapText="1"/>
    </xf>
    <xf numFmtId="164" fontId="0" fillId="0" borderId="60" xfId="0" applyNumberFormat="1" applyBorder="1"/>
    <xf numFmtId="164" fontId="0" fillId="0" borderId="0" xfId="0" applyNumberFormat="1" applyBorder="1"/>
    <xf numFmtId="164" fontId="0" fillId="0" borderId="61" xfId="0" applyNumberFormat="1" applyBorder="1"/>
    <xf numFmtId="0" fontId="0" fillId="0" borderId="0" xfId="0" applyNumberFormat="1" applyBorder="1"/>
    <xf numFmtId="164" fontId="0" fillId="0" borderId="38" xfId="0" applyNumberFormat="1" applyBorder="1"/>
    <xf numFmtId="164" fontId="0" fillId="0" borderId="33" xfId="0" applyNumberFormat="1" applyBorder="1"/>
    <xf numFmtId="2" fontId="0" fillId="0" borderId="33" xfId="0" applyNumberFormat="1" applyBorder="1"/>
    <xf numFmtId="2" fontId="0" fillId="0" borderId="21" xfId="0" applyNumberFormat="1" applyBorder="1"/>
    <xf numFmtId="0" fontId="6" fillId="0" borderId="0" xfId="1" applyBorder="1"/>
    <xf numFmtId="0" fontId="6" fillId="0" borderId="0" xfId="1" applyBorder="1" applyAlignment="1">
      <alignment horizontal="center"/>
    </xf>
    <xf numFmtId="164" fontId="6" fillId="0" borderId="0" xfId="1" applyNumberFormat="1" applyBorder="1"/>
    <xf numFmtId="0" fontId="6" fillId="0" borderId="57" xfId="1" applyBorder="1"/>
    <xf numFmtId="0" fontId="6" fillId="0" borderId="56" xfId="1" applyBorder="1"/>
    <xf numFmtId="0" fontId="6" fillId="0" borderId="59" xfId="1" applyBorder="1"/>
    <xf numFmtId="164" fontId="6" fillId="0" borderId="60" xfId="1" applyNumberFormat="1" applyBorder="1"/>
    <xf numFmtId="0" fontId="6" fillId="0" borderId="61" xfId="1" applyBorder="1"/>
    <xf numFmtId="0" fontId="6" fillId="0" borderId="60" xfId="1" applyBorder="1"/>
    <xf numFmtId="0" fontId="6" fillId="0" borderId="38" xfId="1" applyBorder="1"/>
    <xf numFmtId="0" fontId="6" fillId="0" borderId="21" xfId="1" applyBorder="1"/>
    <xf numFmtId="164" fontId="6" fillId="0" borderId="61" xfId="1" applyNumberFormat="1" applyBorder="1"/>
    <xf numFmtId="164" fontId="6" fillId="0" borderId="38" xfId="1" applyNumberFormat="1" applyBorder="1"/>
    <xf numFmtId="164" fontId="6" fillId="0" borderId="21" xfId="1" applyNumberFormat="1" applyBorder="1"/>
    <xf numFmtId="0" fontId="6" fillId="0" borderId="58" xfId="1" applyBorder="1"/>
    <xf numFmtId="0" fontId="6" fillId="0" borderId="49" xfId="1" applyBorder="1"/>
    <xf numFmtId="0" fontId="6" fillId="0" borderId="31" xfId="1" applyBorder="1"/>
    <xf numFmtId="165" fontId="6" fillId="0" borderId="60" xfId="1" applyNumberFormat="1" applyBorder="1"/>
    <xf numFmtId="165" fontId="6" fillId="0" borderId="61" xfId="1" applyNumberFormat="1" applyBorder="1"/>
    <xf numFmtId="165" fontId="6" fillId="0" borderId="38" xfId="1" applyNumberFormat="1" applyBorder="1"/>
    <xf numFmtId="165" fontId="6" fillId="0" borderId="21" xfId="1" applyNumberFormat="1" applyBorder="1"/>
    <xf numFmtId="0" fontId="2" fillId="0" borderId="10" xfId="0" applyFont="1" applyBorder="1" applyAlignment="1">
      <alignment vertical="center" wrapText="1"/>
    </xf>
    <xf numFmtId="0" fontId="2" fillId="0" borderId="11" xfId="0" applyFont="1" applyBorder="1" applyAlignment="1">
      <alignment vertical="center" wrapText="1"/>
    </xf>
    <xf numFmtId="0" fontId="2" fillId="0" borderId="12" xfId="0" applyFont="1" applyBorder="1" applyAlignment="1">
      <alignment vertical="center" wrapText="1"/>
    </xf>
    <xf numFmtId="2" fontId="2" fillId="0" borderId="11" xfId="0" applyNumberFormat="1" applyFont="1" applyBorder="1" applyAlignment="1">
      <alignment vertical="center" wrapText="1"/>
    </xf>
    <xf numFmtId="2" fontId="2" fillId="0" borderId="12" xfId="0" applyNumberFormat="1" applyFont="1" applyBorder="1" applyAlignment="1">
      <alignment vertical="center" wrapText="1"/>
    </xf>
    <xf numFmtId="2" fontId="2" fillId="0" borderId="10" xfId="0" applyNumberFormat="1" applyFont="1" applyBorder="1" applyAlignment="1">
      <alignment vertical="center" wrapText="1"/>
    </xf>
    <xf numFmtId="0" fontId="2" fillId="0" borderId="49" xfId="0" applyFont="1" applyBorder="1" applyAlignment="1">
      <alignment vertical="center" wrapText="1"/>
    </xf>
    <xf numFmtId="0" fontId="2" fillId="0" borderId="61" xfId="0" applyFont="1" applyBorder="1" applyAlignment="1">
      <alignment vertical="center" wrapText="1"/>
    </xf>
    <xf numFmtId="2" fontId="2" fillId="0" borderId="62" xfId="0" applyNumberFormat="1" applyFont="1" applyBorder="1" applyAlignment="1">
      <alignment vertical="center" wrapText="1"/>
    </xf>
    <xf numFmtId="2" fontId="2" fillId="0" borderId="6" xfId="0" applyNumberFormat="1" applyFont="1" applyBorder="1" applyAlignment="1">
      <alignment vertical="center" wrapText="1"/>
    </xf>
    <xf numFmtId="2" fontId="2" fillId="0" borderId="66" xfId="0" applyNumberFormat="1" applyFont="1" applyBorder="1" applyAlignment="1">
      <alignment vertical="center" wrapText="1"/>
    </xf>
    <xf numFmtId="2" fontId="2" fillId="0" borderId="7" xfId="0" applyNumberFormat="1" applyFont="1" applyBorder="1" applyAlignment="1">
      <alignment vertical="center" wrapText="1"/>
    </xf>
    <xf numFmtId="0" fontId="2" fillId="0" borderId="71" xfId="0" applyFont="1" applyBorder="1" applyAlignment="1">
      <alignment vertical="center" wrapText="1"/>
    </xf>
    <xf numFmtId="0" fontId="2" fillId="0" borderId="60" xfId="0" applyFont="1" applyBorder="1" applyAlignment="1">
      <alignment vertical="center" wrapText="1"/>
    </xf>
    <xf numFmtId="2" fontId="2" fillId="0" borderId="26" xfId="0" applyNumberFormat="1" applyFont="1" applyBorder="1" applyAlignment="1">
      <alignment vertical="center" wrapText="1"/>
    </xf>
    <xf numFmtId="0" fontId="2" fillId="0" borderId="0" xfId="0" applyFont="1" applyBorder="1" applyAlignment="1">
      <alignment vertical="center" wrapText="1"/>
    </xf>
    <xf numFmtId="2" fontId="2" fillId="0" borderId="69" xfId="0" applyNumberFormat="1" applyFont="1" applyBorder="1" applyAlignment="1">
      <alignment vertical="center" wrapText="1"/>
    </xf>
    <xf numFmtId="2" fontId="2" fillId="0" borderId="74" xfId="0" applyNumberFormat="1" applyFont="1" applyBorder="1" applyAlignment="1">
      <alignment vertical="center" wrapText="1"/>
    </xf>
    <xf numFmtId="2" fontId="2" fillId="0" borderId="50" xfId="0" applyNumberFormat="1" applyFont="1" applyBorder="1" applyAlignment="1">
      <alignment vertical="center" wrapText="1"/>
    </xf>
    <xf numFmtId="2" fontId="2" fillId="0" borderId="75" xfId="0" applyNumberFormat="1" applyFont="1" applyBorder="1" applyAlignment="1">
      <alignment vertical="center" wrapText="1"/>
    </xf>
    <xf numFmtId="2" fontId="2" fillId="0" borderId="76" xfId="0" applyNumberFormat="1" applyFont="1" applyBorder="1" applyAlignment="1">
      <alignment vertical="center" wrapText="1"/>
    </xf>
    <xf numFmtId="2" fontId="2" fillId="0" borderId="77" xfId="0" applyNumberFormat="1" applyFont="1" applyBorder="1" applyAlignment="1">
      <alignment vertical="center" wrapText="1"/>
    </xf>
    <xf numFmtId="2" fontId="2" fillId="0" borderId="45" xfId="0" applyNumberFormat="1" applyFont="1" applyBorder="1" applyAlignment="1">
      <alignment vertical="center" wrapText="1"/>
    </xf>
    <xf numFmtId="2" fontId="2" fillId="0" borderId="19" xfId="0" applyNumberFormat="1" applyFont="1" applyBorder="1" applyAlignment="1">
      <alignment vertical="center" wrapText="1"/>
    </xf>
    <xf numFmtId="2" fontId="2" fillId="0" borderId="32" xfId="0" applyNumberFormat="1" applyFont="1" applyBorder="1" applyAlignment="1">
      <alignment vertical="center" wrapText="1"/>
    </xf>
    <xf numFmtId="2" fontId="2" fillId="0" borderId="20" xfId="0" applyNumberFormat="1" applyFont="1" applyBorder="1" applyAlignment="1">
      <alignment vertical="center" wrapText="1"/>
    </xf>
    <xf numFmtId="0" fontId="1" fillId="0" borderId="29" xfId="0" applyFont="1" applyBorder="1" applyAlignment="1">
      <alignment horizontal="center" vertical="center" wrapText="1"/>
    </xf>
    <xf numFmtId="0" fontId="1" fillId="0" borderId="30" xfId="0" applyFont="1" applyBorder="1" applyAlignment="1">
      <alignment horizontal="center" vertical="center" wrapText="1"/>
    </xf>
    <xf numFmtId="0" fontId="1" fillId="0" borderId="16" xfId="0" applyFont="1" applyBorder="1" applyAlignment="1">
      <alignment horizontal="center" vertical="center" wrapText="1"/>
    </xf>
    <xf numFmtId="0" fontId="3" fillId="0" borderId="68" xfId="0" applyFont="1" applyBorder="1" applyAlignment="1">
      <alignment horizontal="left" vertical="center"/>
    </xf>
    <xf numFmtId="0" fontId="3" fillId="0" borderId="69" xfId="0" applyFont="1" applyBorder="1" applyAlignment="1">
      <alignment horizontal="left" vertical="center"/>
    </xf>
    <xf numFmtId="0" fontId="3" fillId="0" borderId="70" xfId="0" applyFont="1" applyBorder="1" applyAlignment="1">
      <alignment horizontal="left" vertical="center"/>
    </xf>
    <xf numFmtId="0" fontId="3" fillId="0" borderId="72" xfId="0" applyFont="1" applyBorder="1" applyAlignment="1">
      <alignment horizontal="left" vertical="center"/>
    </xf>
    <xf numFmtId="0" fontId="3" fillId="0" borderId="55" xfId="0" applyFont="1" applyBorder="1" applyAlignment="1">
      <alignment horizontal="left" vertical="center"/>
    </xf>
    <xf numFmtId="0" fontId="3" fillId="0" borderId="73" xfId="0" applyFont="1" applyBorder="1" applyAlignment="1">
      <alignment horizontal="left" vertical="center"/>
    </xf>
    <xf numFmtId="0" fontId="1" fillId="0" borderId="15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29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1" fillId="0" borderId="16" xfId="0" applyFont="1" applyBorder="1" applyAlignment="1">
      <alignment horizontal="center" vertical="center"/>
    </xf>
    <xf numFmtId="0" fontId="10" fillId="0" borderId="33" xfId="1" applyFont="1" applyBorder="1" applyAlignment="1">
      <alignment horizontal="center"/>
    </xf>
    <xf numFmtId="0" fontId="10" fillId="0" borderId="54" xfId="1" applyFont="1" applyBorder="1" applyAlignment="1">
      <alignment horizontal="center"/>
    </xf>
    <xf numFmtId="0" fontId="10" fillId="3" borderId="54" xfId="1" applyFont="1" applyFill="1" applyBorder="1" applyAlignment="1">
      <alignment horizontal="center"/>
    </xf>
    <xf numFmtId="0" fontId="11" fillId="0" borderId="33" xfId="1" applyFont="1" applyBorder="1" applyAlignment="1">
      <alignment horizontal="center"/>
    </xf>
    <xf numFmtId="0" fontId="6" fillId="0" borderId="33" xfId="1" applyBorder="1" applyAlignment="1">
      <alignment horizontal="center"/>
    </xf>
    <xf numFmtId="0" fontId="10" fillId="0" borderId="56" xfId="1" applyFont="1" applyBorder="1" applyAlignment="1">
      <alignment horizontal="center"/>
    </xf>
    <xf numFmtId="9" fontId="6" fillId="0" borderId="0" xfId="1" applyNumberFormat="1" applyAlignment="1">
      <alignment horizontal="center"/>
    </xf>
    <xf numFmtId="0" fontId="6" fillId="0" borderId="0" xfId="1" applyAlignment="1">
      <alignment horizontal="center"/>
    </xf>
    <xf numFmtId="0" fontId="10" fillId="3" borderId="33" xfId="1" applyFont="1" applyFill="1" applyBorder="1" applyAlignment="1">
      <alignment horizontal="center"/>
    </xf>
    <xf numFmtId="0" fontId="10" fillId="0" borderId="0" xfId="1" applyFont="1" applyAlignment="1">
      <alignment horizontal="center"/>
    </xf>
    <xf numFmtId="0" fontId="11" fillId="0" borderId="58" xfId="1" applyFont="1" applyBorder="1" applyAlignment="1">
      <alignment horizontal="center" vertical="center"/>
    </xf>
    <xf numFmtId="0" fontId="11" fillId="0" borderId="49" xfId="1" applyFont="1" applyBorder="1" applyAlignment="1">
      <alignment horizontal="center" vertical="center"/>
    </xf>
    <xf numFmtId="164" fontId="11" fillId="0" borderId="58" xfId="1" applyNumberFormat="1" applyFont="1" applyBorder="1" applyAlignment="1">
      <alignment horizontal="center" vertical="center" wrapText="1"/>
    </xf>
    <xf numFmtId="164" fontId="11" fillId="0" borderId="49" xfId="1" applyNumberFormat="1" applyFont="1" applyBorder="1" applyAlignment="1">
      <alignment horizontal="center" vertical="center" wrapText="1"/>
    </xf>
    <xf numFmtId="164" fontId="11" fillId="0" borderId="31" xfId="1" applyNumberFormat="1" applyFont="1" applyBorder="1" applyAlignment="1">
      <alignment horizontal="center" vertical="center" wrapText="1"/>
    </xf>
    <xf numFmtId="0" fontId="9" fillId="0" borderId="27" xfId="1" applyFont="1" applyBorder="1" applyAlignment="1">
      <alignment horizontal="center" wrapText="1"/>
    </xf>
    <xf numFmtId="0" fontId="9" fillId="0" borderId="54" xfId="1" applyFont="1" applyBorder="1" applyAlignment="1">
      <alignment horizontal="center" wrapText="1"/>
    </xf>
    <xf numFmtId="0" fontId="9" fillId="0" borderId="5" xfId="1" applyFont="1" applyBorder="1" applyAlignment="1">
      <alignment horizontal="center" wrapText="1"/>
    </xf>
    <xf numFmtId="0" fontId="7" fillId="0" borderId="0" xfId="1" applyFont="1" applyAlignment="1">
      <alignment horizontal="center"/>
    </xf>
    <xf numFmtId="0" fontId="8" fillId="0" borderId="33" xfId="1" applyFont="1" applyBorder="1" applyAlignment="1">
      <alignment horizontal="center"/>
    </xf>
    <xf numFmtId="0" fontId="9" fillId="0" borderId="56" xfId="1" applyFont="1" applyBorder="1" applyAlignment="1">
      <alignment horizontal="center"/>
    </xf>
    <xf numFmtId="0" fontId="1" fillId="0" borderId="51" xfId="0" applyFont="1" applyBorder="1" applyAlignment="1">
      <alignment horizontal="center" vertical="center"/>
    </xf>
    <xf numFmtId="0" fontId="1" fillId="0" borderId="53" xfId="0" applyFont="1" applyBorder="1" applyAlignment="1">
      <alignment horizontal="center" vertical="center"/>
    </xf>
    <xf numFmtId="0" fontId="1" fillId="0" borderId="5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</cellXfs>
  <cellStyles count="2">
    <cellStyle name="Обычный" xfId="0" builtinId="0"/>
    <cellStyle name="Обычный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BL77"/>
  <sheetViews>
    <sheetView zoomScale="80" zoomScaleNormal="80" workbookViewId="0">
      <pane xSplit="18" ySplit="19" topLeftCell="U20" activePane="bottomRight" state="frozen"/>
      <selection pane="topRight" activeCell="Q1" sqref="Q1"/>
      <selection pane="bottomLeft" activeCell="A11" sqref="A11"/>
      <selection pane="bottomRight" activeCell="Y16" sqref="Y16"/>
    </sheetView>
  </sheetViews>
  <sheetFormatPr defaultRowHeight="14.4" x14ac:dyDescent="0.3"/>
  <cols>
    <col min="2" max="2" width="16.109375" hidden="1" customWidth="1"/>
    <col min="3" max="3" width="17.5546875" hidden="1" customWidth="1"/>
    <col min="4" max="11" width="12.88671875" hidden="1" customWidth="1"/>
    <col min="18" max="18" width="11" customWidth="1"/>
    <col min="21" max="21" width="9" customWidth="1"/>
    <col min="34" max="56" width="9.88671875" bestFit="1" customWidth="1"/>
  </cols>
  <sheetData>
    <row r="1" spans="14:39" ht="15" thickBot="1" x14ac:dyDescent="0.35"/>
    <row r="2" spans="14:39" x14ac:dyDescent="0.3">
      <c r="V2" s="59"/>
      <c r="W2" s="67" t="s">
        <v>38</v>
      </c>
      <c r="X2" s="67"/>
      <c r="Y2" s="60"/>
      <c r="Z2" s="60"/>
      <c r="AA2" s="60"/>
      <c r="AB2" s="60"/>
      <c r="AC2" s="60"/>
      <c r="AD2" s="60"/>
      <c r="AE2" s="60">
        <v>8</v>
      </c>
      <c r="AF2" s="60" t="s">
        <v>142</v>
      </c>
      <c r="AG2" s="60"/>
      <c r="AH2" s="60"/>
      <c r="AI2" s="60"/>
      <c r="AJ2" s="60"/>
      <c r="AK2" s="60"/>
      <c r="AL2" s="60"/>
      <c r="AM2" s="61"/>
    </row>
    <row r="3" spans="14:39" x14ac:dyDescent="0.3">
      <c r="V3" s="62">
        <v>1</v>
      </c>
      <c r="W3" s="47" t="s">
        <v>158</v>
      </c>
      <c r="X3" s="47"/>
      <c r="Y3" s="47"/>
      <c r="Z3" s="47"/>
      <c r="AA3" s="47"/>
      <c r="AB3" s="47"/>
      <c r="AC3" s="47"/>
      <c r="AD3" s="47"/>
      <c r="AE3" s="47">
        <v>9</v>
      </c>
      <c r="AF3" s="47" t="s">
        <v>156</v>
      </c>
      <c r="AG3" s="47"/>
      <c r="AH3" s="47"/>
      <c r="AI3" s="47"/>
      <c r="AJ3" s="47"/>
      <c r="AK3" s="47"/>
      <c r="AL3" s="47"/>
      <c r="AM3" s="63"/>
    </row>
    <row r="4" spans="14:39" x14ac:dyDescent="0.3">
      <c r="V4" s="62">
        <v>2</v>
      </c>
      <c r="W4" s="47" t="s">
        <v>159</v>
      </c>
      <c r="X4" s="47"/>
      <c r="Y4" s="47"/>
      <c r="Z4" s="47"/>
      <c r="AA4" s="47"/>
      <c r="AB4" s="47"/>
      <c r="AC4" s="47"/>
      <c r="AD4" s="47"/>
      <c r="AE4" s="47">
        <v>10</v>
      </c>
      <c r="AF4" s="47" t="s">
        <v>157</v>
      </c>
      <c r="AG4" s="47"/>
      <c r="AH4" s="47"/>
      <c r="AI4" s="47"/>
      <c r="AJ4" s="47"/>
      <c r="AK4" s="47"/>
      <c r="AL4" s="47"/>
      <c r="AM4" s="63"/>
    </row>
    <row r="5" spans="14:39" x14ac:dyDescent="0.3">
      <c r="V5" s="62">
        <v>3</v>
      </c>
      <c r="W5" s="47" t="s">
        <v>34</v>
      </c>
      <c r="X5" s="47"/>
      <c r="Y5" s="47"/>
      <c r="Z5" s="47"/>
      <c r="AA5" s="47"/>
      <c r="AB5" s="47"/>
      <c r="AC5" s="47"/>
      <c r="AD5" s="47"/>
      <c r="AE5" s="47">
        <v>11</v>
      </c>
      <c r="AF5" s="47" t="s">
        <v>39</v>
      </c>
      <c r="AG5" s="47"/>
      <c r="AH5" s="47"/>
      <c r="AI5" s="47"/>
      <c r="AJ5" s="47"/>
      <c r="AK5" s="47"/>
      <c r="AL5" s="47"/>
      <c r="AM5" s="63"/>
    </row>
    <row r="6" spans="14:39" x14ac:dyDescent="0.3">
      <c r="V6" s="62">
        <v>4</v>
      </c>
      <c r="W6" s="47" t="s">
        <v>35</v>
      </c>
      <c r="X6" s="47"/>
      <c r="Y6" s="47"/>
      <c r="Z6" s="47"/>
      <c r="AA6" s="47"/>
      <c r="AB6" s="47"/>
      <c r="AC6" s="47"/>
      <c r="AD6" s="47"/>
      <c r="AE6" s="47">
        <v>12</v>
      </c>
      <c r="AF6" s="47" t="s">
        <v>40</v>
      </c>
      <c r="AG6" s="47"/>
      <c r="AH6" s="47"/>
      <c r="AI6" s="47"/>
      <c r="AJ6" s="47"/>
      <c r="AK6" s="47"/>
      <c r="AL6" s="47"/>
      <c r="AM6" s="63"/>
    </row>
    <row r="7" spans="14:39" x14ac:dyDescent="0.3">
      <c r="V7" s="62">
        <v>5</v>
      </c>
      <c r="W7" s="47" t="s">
        <v>36</v>
      </c>
      <c r="X7" s="47"/>
      <c r="Y7" s="47"/>
      <c r="Z7" s="47"/>
      <c r="AA7" s="47"/>
      <c r="AB7" s="47"/>
      <c r="AC7" s="47"/>
      <c r="AD7" s="47"/>
      <c r="AE7" s="47">
        <v>13</v>
      </c>
      <c r="AF7" s="47" t="s">
        <v>41</v>
      </c>
      <c r="AG7" s="47"/>
      <c r="AH7" s="47"/>
      <c r="AI7" s="47"/>
      <c r="AJ7" s="47"/>
      <c r="AK7" s="47"/>
      <c r="AL7" s="47"/>
      <c r="AM7" s="63"/>
    </row>
    <row r="8" spans="14:39" x14ac:dyDescent="0.3">
      <c r="V8" s="62">
        <v>6</v>
      </c>
      <c r="W8" s="47" t="s">
        <v>141</v>
      </c>
      <c r="X8" s="47"/>
      <c r="Y8" s="47"/>
      <c r="Z8" s="47"/>
      <c r="AA8" s="47"/>
      <c r="AB8" s="47"/>
      <c r="AC8" s="47"/>
      <c r="AD8" s="47"/>
      <c r="AE8" s="47">
        <v>14</v>
      </c>
      <c r="AF8" s="47"/>
      <c r="AG8" s="47"/>
      <c r="AH8" s="47"/>
      <c r="AI8" s="47"/>
      <c r="AJ8" s="47"/>
      <c r="AK8" s="47"/>
      <c r="AL8" s="47"/>
      <c r="AM8" s="63"/>
    </row>
    <row r="9" spans="14:39" ht="15" thickBot="1" x14ac:dyDescent="0.35">
      <c r="V9" s="64">
        <v>7</v>
      </c>
      <c r="W9" s="65" t="s">
        <v>37</v>
      </c>
      <c r="X9" s="65"/>
      <c r="Y9" s="65"/>
      <c r="Z9" s="65"/>
      <c r="AA9" s="65"/>
      <c r="AB9" s="65"/>
      <c r="AC9" s="65"/>
      <c r="AD9" s="65"/>
      <c r="AE9" s="65">
        <v>15</v>
      </c>
      <c r="AF9" s="65"/>
      <c r="AG9" s="65"/>
      <c r="AH9" s="65"/>
      <c r="AI9" s="65"/>
      <c r="AJ9" s="65"/>
      <c r="AK9" s="65"/>
      <c r="AL9" s="65"/>
      <c r="AM9" s="66"/>
    </row>
    <row r="13" spans="14:39" x14ac:dyDescent="0.3">
      <c r="N13" t="s">
        <v>32</v>
      </c>
      <c r="T13" s="45"/>
    </row>
    <row r="16" spans="14:39" x14ac:dyDescent="0.3">
      <c r="N16" s="46" t="s">
        <v>13</v>
      </c>
      <c r="S16">
        <v>1</v>
      </c>
      <c r="U16" s="45" t="s">
        <v>14</v>
      </c>
      <c r="V16" s="45">
        <v>208</v>
      </c>
      <c r="W16" s="45"/>
      <c r="X16" s="45" t="s">
        <v>15</v>
      </c>
      <c r="Y16" s="45">
        <v>1.1000000000000001</v>
      </c>
      <c r="Z16" s="45" t="s">
        <v>16</v>
      </c>
      <c r="AA16" s="45"/>
      <c r="AB16" s="47"/>
      <c r="AC16" s="85" t="s">
        <v>45</v>
      </c>
      <c r="AE16" s="45">
        <v>1.78</v>
      </c>
      <c r="AG16" s="44" t="s">
        <v>28</v>
      </c>
      <c r="AI16" s="44"/>
    </row>
    <row r="17" spans="2:64" ht="15" thickBot="1" x14ac:dyDescent="0.35"/>
    <row r="18" spans="2:64" ht="15.6" thickTop="1" thickBot="1" x14ac:dyDescent="0.35">
      <c r="B18" s="59" t="s">
        <v>31</v>
      </c>
      <c r="C18" s="60"/>
      <c r="D18" s="60"/>
      <c r="E18" s="60"/>
      <c r="F18" s="60"/>
      <c r="G18" s="60"/>
      <c r="H18" s="60"/>
      <c r="I18" s="60"/>
      <c r="J18" s="60"/>
      <c r="K18" s="61"/>
      <c r="N18" s="1" t="s">
        <v>0</v>
      </c>
      <c r="O18" s="202" t="s">
        <v>1</v>
      </c>
      <c r="P18" s="194"/>
      <c r="Q18" s="194"/>
      <c r="R18" s="195"/>
      <c r="S18" s="193" t="s">
        <v>43</v>
      </c>
      <c r="T18" s="194"/>
      <c r="U18" s="194"/>
      <c r="V18" s="194"/>
      <c r="W18" s="194"/>
      <c r="X18" s="195"/>
      <c r="Y18" s="203" t="s">
        <v>17</v>
      </c>
      <c r="Z18" s="204"/>
      <c r="AA18" s="204"/>
      <c r="AB18" s="204"/>
      <c r="AC18" s="204"/>
      <c r="AD18" s="205"/>
      <c r="AE18" s="206" t="s">
        <v>18</v>
      </c>
      <c r="AF18" s="207"/>
      <c r="AG18" s="207"/>
      <c r="AH18" s="207"/>
      <c r="AI18" s="207"/>
      <c r="AJ18" s="208"/>
      <c r="AK18" s="193" t="s">
        <v>19</v>
      </c>
      <c r="AL18" s="194"/>
      <c r="AM18" s="194"/>
      <c r="AN18" s="195"/>
      <c r="AO18" s="193" t="s">
        <v>20</v>
      </c>
      <c r="AP18" s="194"/>
      <c r="AQ18" s="194"/>
      <c r="AR18" s="195"/>
      <c r="AS18" s="193" t="s">
        <v>21</v>
      </c>
      <c r="AT18" s="194"/>
      <c r="AU18" s="194"/>
      <c r="AV18" s="195"/>
      <c r="AW18" s="193" t="s">
        <v>26</v>
      </c>
      <c r="AX18" s="194"/>
      <c r="AY18" s="194"/>
      <c r="AZ18" s="195"/>
      <c r="BA18" s="193" t="s">
        <v>22</v>
      </c>
      <c r="BB18" s="194"/>
      <c r="BC18" s="194"/>
      <c r="BD18" s="195"/>
      <c r="BE18" s="193" t="s">
        <v>29</v>
      </c>
      <c r="BF18" s="194"/>
      <c r="BG18" s="194"/>
      <c r="BH18" s="195"/>
      <c r="BI18" s="193" t="s">
        <v>42</v>
      </c>
      <c r="BJ18" s="194"/>
      <c r="BK18" s="194"/>
      <c r="BL18" s="195"/>
    </row>
    <row r="19" spans="2:64" ht="21" thickBot="1" x14ac:dyDescent="0.35">
      <c r="B19" s="64" t="str">
        <f>Y18</f>
        <v>Ель из подроста</v>
      </c>
      <c r="C19" s="65" t="str">
        <f>AE18</f>
        <v>ЕЛЬ лесные культуры</v>
      </c>
      <c r="D19" s="65" t="str">
        <f>S18</f>
        <v>Сосна</v>
      </c>
      <c r="E19" s="65" t="str">
        <f>AK18</f>
        <v>Берёза</v>
      </c>
      <c r="F19" s="65" t="str">
        <f>AO18</f>
        <v>Осина</v>
      </c>
      <c r="G19" s="65" t="str">
        <f>AS18</f>
        <v>Ольха серая</v>
      </c>
      <c r="H19" s="65" t="str">
        <f>AW18</f>
        <v>Ива</v>
      </c>
      <c r="I19" s="65" t="str">
        <f>BA18</f>
        <v>Чёрёмуха</v>
      </c>
      <c r="J19" s="65" t="str">
        <f>BE18</f>
        <v>Дуб</v>
      </c>
      <c r="K19" s="66" t="str">
        <f>BI18</f>
        <v>Рябина</v>
      </c>
      <c r="L19" t="s">
        <v>46</v>
      </c>
      <c r="N19" s="31" t="s">
        <v>2</v>
      </c>
      <c r="O19" s="25" t="s">
        <v>3</v>
      </c>
      <c r="P19" s="86" t="s">
        <v>48</v>
      </c>
      <c r="Q19" s="86" t="s">
        <v>47</v>
      </c>
      <c r="R19" s="68" t="s">
        <v>4</v>
      </c>
      <c r="S19" s="41" t="s">
        <v>5</v>
      </c>
      <c r="T19" s="42" t="s">
        <v>6</v>
      </c>
      <c r="U19" s="42" t="s">
        <v>7</v>
      </c>
      <c r="V19" s="42" t="s">
        <v>23</v>
      </c>
      <c r="W19" s="43" t="s">
        <v>8</v>
      </c>
      <c r="X19" s="26" t="s">
        <v>9</v>
      </c>
      <c r="Y19" s="70" t="s">
        <v>5</v>
      </c>
      <c r="Z19" s="42" t="s">
        <v>6</v>
      </c>
      <c r="AA19" s="42" t="s">
        <v>7</v>
      </c>
      <c r="AB19" s="42" t="s">
        <v>23</v>
      </c>
      <c r="AC19" s="43" t="s">
        <v>8</v>
      </c>
      <c r="AD19" s="26" t="s">
        <v>9</v>
      </c>
      <c r="AE19" s="53" t="s">
        <v>5</v>
      </c>
      <c r="AF19" s="50" t="s">
        <v>6</v>
      </c>
      <c r="AG19" s="50" t="s">
        <v>7</v>
      </c>
      <c r="AH19" s="50" t="s">
        <v>23</v>
      </c>
      <c r="AI19" s="51" t="s">
        <v>8</v>
      </c>
      <c r="AJ19" s="54" t="s">
        <v>9</v>
      </c>
      <c r="AK19" s="49" t="s">
        <v>10</v>
      </c>
      <c r="AL19" s="50" t="s">
        <v>23</v>
      </c>
      <c r="AM19" s="51" t="s">
        <v>8</v>
      </c>
      <c r="AN19" s="52" t="s">
        <v>9</v>
      </c>
      <c r="AO19" s="25" t="s">
        <v>10</v>
      </c>
      <c r="AP19" s="42" t="s">
        <v>23</v>
      </c>
      <c r="AQ19" s="43" t="s">
        <v>8</v>
      </c>
      <c r="AR19" s="26" t="s">
        <v>9</v>
      </c>
      <c r="AS19" s="25" t="s">
        <v>10</v>
      </c>
      <c r="AT19" s="42" t="s">
        <v>23</v>
      </c>
      <c r="AU19" s="43" t="s">
        <v>8</v>
      </c>
      <c r="AV19" s="26" t="s">
        <v>9</v>
      </c>
      <c r="AW19" s="25" t="s">
        <v>10</v>
      </c>
      <c r="AX19" s="42" t="s">
        <v>23</v>
      </c>
      <c r="AY19" s="43" t="s">
        <v>8</v>
      </c>
      <c r="AZ19" s="26" t="s">
        <v>9</v>
      </c>
      <c r="BA19" s="25" t="s">
        <v>10</v>
      </c>
      <c r="BB19" s="42" t="s">
        <v>23</v>
      </c>
      <c r="BC19" s="43" t="s">
        <v>8</v>
      </c>
      <c r="BD19" s="26" t="s">
        <v>9</v>
      </c>
      <c r="BE19" s="25" t="s">
        <v>10</v>
      </c>
      <c r="BF19" s="42" t="s">
        <v>23</v>
      </c>
      <c r="BG19" s="43" t="s">
        <v>8</v>
      </c>
      <c r="BH19" s="26" t="s">
        <v>9</v>
      </c>
      <c r="BI19" s="25" t="s">
        <v>10</v>
      </c>
      <c r="BJ19" s="42" t="s">
        <v>23</v>
      </c>
      <c r="BK19" s="43" t="s">
        <v>8</v>
      </c>
      <c r="BL19" s="26" t="s">
        <v>9</v>
      </c>
    </row>
    <row r="20" spans="2:64" x14ac:dyDescent="0.3">
      <c r="B20" s="62">
        <f>AC20*AA20</f>
        <v>0</v>
      </c>
      <c r="C20" s="47">
        <f>AI20*AG20</f>
        <v>0</v>
      </c>
      <c r="D20" s="47">
        <f>W20*U20</f>
        <v>0</v>
      </c>
      <c r="E20" s="47">
        <f>AK20*AM20</f>
        <v>0</v>
      </c>
      <c r="F20" s="47">
        <f>AO20*AQ20</f>
        <v>64</v>
      </c>
      <c r="G20" s="47">
        <f>AS20*AU20</f>
        <v>0</v>
      </c>
      <c r="H20" s="47">
        <f>AW20*AY20</f>
        <v>0</v>
      </c>
      <c r="I20" s="47">
        <f>BA20*BC20</f>
        <v>0</v>
      </c>
      <c r="J20" s="47">
        <f>BE20*BG20</f>
        <v>0</v>
      </c>
      <c r="K20" s="63">
        <f>BI20*BK20</f>
        <v>60</v>
      </c>
      <c r="L20" s="55">
        <f>SUM(S20:U20,Y20:AA20,AE20:AG20,AK20,AO20,AS20,AW20,BA20,BE20,BI20)/($AE$16*$AE$16*3.15/10000*1000)</f>
        <v>9.017634457730404</v>
      </c>
      <c r="N20" s="32">
        <v>1</v>
      </c>
      <c r="O20" s="27">
        <v>965</v>
      </c>
      <c r="P20" s="87" t="s">
        <v>194</v>
      </c>
      <c r="Q20" s="87"/>
      <c r="R20" s="69"/>
      <c r="S20" s="40">
        <v>9.9999999999999995E-7</v>
      </c>
      <c r="T20" s="40">
        <v>9.9999999999999995E-7</v>
      </c>
      <c r="U20" s="40">
        <v>9.9999999999999995E-7</v>
      </c>
      <c r="V20" s="40"/>
      <c r="W20" s="40"/>
      <c r="X20" s="24"/>
      <c r="Y20" s="40">
        <v>9.9999999999999995E-7</v>
      </c>
      <c r="Z20" s="40">
        <v>9.9999999999999995E-7</v>
      </c>
      <c r="AA20" s="40">
        <v>9.9999999999999995E-7</v>
      </c>
      <c r="AB20" s="6"/>
      <c r="AC20" s="7"/>
      <c r="AD20" s="36"/>
      <c r="AE20" s="40">
        <v>9.9999999999999995E-7</v>
      </c>
      <c r="AF20" s="40">
        <v>9.9999999999999995E-7</v>
      </c>
      <c r="AG20" s="40">
        <v>9.9999999999999995E-7</v>
      </c>
      <c r="AH20" s="6"/>
      <c r="AI20" s="7"/>
      <c r="AJ20" s="8"/>
      <c r="AK20" s="40">
        <v>9.9999999999999995E-7</v>
      </c>
      <c r="AL20" s="7"/>
      <c r="AM20" s="7"/>
      <c r="AN20" s="8"/>
      <c r="AO20" s="40">
        <v>4</v>
      </c>
      <c r="AP20" s="27">
        <v>12</v>
      </c>
      <c r="AQ20" s="40">
        <v>16</v>
      </c>
      <c r="AR20" s="24">
        <v>25</v>
      </c>
      <c r="AS20" s="40">
        <v>9.9999999999999995E-7</v>
      </c>
      <c r="AT20" s="27"/>
      <c r="AU20" s="40"/>
      <c r="AV20" s="24"/>
      <c r="AW20" s="40">
        <v>9.9999999999999995E-7</v>
      </c>
      <c r="AX20" s="27"/>
      <c r="AY20" s="40"/>
      <c r="AZ20" s="24"/>
      <c r="BA20" s="40">
        <v>9.9999999999999995E-7</v>
      </c>
      <c r="BB20" s="27"/>
      <c r="BC20" s="40"/>
      <c r="BD20" s="24"/>
      <c r="BE20" s="40">
        <v>9.9999999999999995E-7</v>
      </c>
      <c r="BF20" s="27"/>
      <c r="BG20" s="40"/>
      <c r="BH20" s="24"/>
      <c r="BI20" s="40">
        <v>5</v>
      </c>
      <c r="BJ20" s="27">
        <v>7</v>
      </c>
      <c r="BK20" s="40">
        <v>12</v>
      </c>
      <c r="BL20" s="24">
        <v>24</v>
      </c>
    </row>
    <row r="21" spans="2:64" x14ac:dyDescent="0.3">
      <c r="B21" s="62">
        <f t="shared" ref="B21:B51" si="0">AC21*AA21</f>
        <v>0</v>
      </c>
      <c r="C21" s="47">
        <f t="shared" ref="C21:C51" si="1">AI21*AG21</f>
        <v>22</v>
      </c>
      <c r="D21" s="47">
        <f t="shared" ref="D21:D51" si="2">W21*U21</f>
        <v>0</v>
      </c>
      <c r="E21" s="47">
        <f t="shared" ref="E21:E51" si="3">AK21*AM21</f>
        <v>98</v>
      </c>
      <c r="F21" s="47">
        <f t="shared" ref="F21:F51" si="4">AO21*AQ21</f>
        <v>7</v>
      </c>
      <c r="G21" s="47">
        <f t="shared" ref="G21:G51" si="5">AS21*AU21</f>
        <v>0</v>
      </c>
      <c r="H21" s="47">
        <f t="shared" ref="H21:H51" si="6">AW21*AY21</f>
        <v>0</v>
      </c>
      <c r="I21" s="47">
        <f t="shared" ref="I21:I51" si="7">BA21*BC21</f>
        <v>0</v>
      </c>
      <c r="J21" s="47">
        <f t="shared" ref="J21:J51" si="8">BE21*BG21</f>
        <v>0</v>
      </c>
      <c r="K21" s="63">
        <f t="shared" ref="K21:K51" si="9">BI21*BK21</f>
        <v>0</v>
      </c>
      <c r="L21" s="55">
        <f t="shared" ref="L21:L51" si="10">SUM(S21:U21,Y21:AA21,AE21:AG21,AK21,AO21,AS21,AW21,BA21,BE21,BI21)/($AE$16*$AE$16*3.15/10000*1000)</f>
        <v>13.025451732685667</v>
      </c>
      <c r="N21" s="33">
        <v>2</v>
      </c>
      <c r="O21" s="28">
        <v>966</v>
      </c>
      <c r="P21" s="88" t="s">
        <v>194</v>
      </c>
      <c r="Q21" s="88"/>
      <c r="R21" s="37"/>
      <c r="S21" s="20"/>
      <c r="T21" s="3"/>
      <c r="U21" s="3"/>
      <c r="V21" s="3"/>
      <c r="W21" s="3"/>
      <c r="X21" s="10"/>
      <c r="Y21" s="17"/>
      <c r="Z21" s="2"/>
      <c r="AA21" s="2"/>
      <c r="AB21" s="2"/>
      <c r="AC21" s="3"/>
      <c r="AD21" s="37"/>
      <c r="AE21" s="9">
        <v>0</v>
      </c>
      <c r="AF21" s="2">
        <v>1</v>
      </c>
      <c r="AG21" s="2">
        <v>4</v>
      </c>
      <c r="AH21" s="2"/>
      <c r="AI21" s="3">
        <v>5.5</v>
      </c>
      <c r="AJ21" s="10">
        <v>23</v>
      </c>
      <c r="AK21" s="28">
        <v>7</v>
      </c>
      <c r="AL21" s="3">
        <v>9</v>
      </c>
      <c r="AM21" s="3">
        <v>14</v>
      </c>
      <c r="AN21" s="10">
        <v>24</v>
      </c>
      <c r="AO21" s="28">
        <v>1</v>
      </c>
      <c r="AP21" s="28">
        <v>4</v>
      </c>
      <c r="AQ21" s="3">
        <v>7</v>
      </c>
      <c r="AR21" s="10">
        <v>15</v>
      </c>
      <c r="AS21" s="20">
        <v>0</v>
      </c>
      <c r="AT21" s="28"/>
      <c r="AU21" s="3"/>
      <c r="AV21" s="10"/>
      <c r="AW21" s="20"/>
      <c r="AX21" s="28"/>
      <c r="AY21" s="3"/>
      <c r="AZ21" s="10"/>
      <c r="BA21" s="20"/>
      <c r="BB21" s="28"/>
      <c r="BC21" s="3"/>
      <c r="BD21" s="10"/>
      <c r="BE21" s="23"/>
      <c r="BF21" s="28"/>
      <c r="BG21" s="3"/>
      <c r="BH21" s="10"/>
      <c r="BI21" s="23">
        <v>0</v>
      </c>
      <c r="BJ21" s="28"/>
      <c r="BK21" s="3"/>
      <c r="BL21" s="10"/>
    </row>
    <row r="22" spans="2:64" x14ac:dyDescent="0.3">
      <c r="B22" s="62">
        <f t="shared" si="0"/>
        <v>0</v>
      </c>
      <c r="C22" s="47">
        <f t="shared" si="1"/>
        <v>58.5</v>
      </c>
      <c r="D22" s="47">
        <f t="shared" si="2"/>
        <v>0</v>
      </c>
      <c r="E22" s="47">
        <f t="shared" si="3"/>
        <v>6</v>
      </c>
      <c r="F22" s="47">
        <f t="shared" si="4"/>
        <v>0</v>
      </c>
      <c r="G22" s="47">
        <f t="shared" si="5"/>
        <v>0</v>
      </c>
      <c r="H22" s="47">
        <f t="shared" si="6"/>
        <v>0</v>
      </c>
      <c r="I22" s="47">
        <f t="shared" si="7"/>
        <v>0</v>
      </c>
      <c r="J22" s="47">
        <f t="shared" si="8"/>
        <v>0</v>
      </c>
      <c r="K22" s="63">
        <f t="shared" si="9"/>
        <v>0</v>
      </c>
      <c r="L22" s="55">
        <f t="shared" si="10"/>
        <v>17.033283035050488</v>
      </c>
      <c r="N22" s="33">
        <v>3</v>
      </c>
      <c r="O22" s="28">
        <v>967</v>
      </c>
      <c r="P22" s="88" t="s">
        <v>194</v>
      </c>
      <c r="Q22" s="88"/>
      <c r="R22" s="37"/>
      <c r="S22" s="20"/>
      <c r="T22" s="3"/>
      <c r="U22" s="3"/>
      <c r="V22" s="3"/>
      <c r="W22" s="3"/>
      <c r="X22" s="10"/>
      <c r="Y22" s="17"/>
      <c r="Z22" s="2"/>
      <c r="AA22" s="2"/>
      <c r="AB22" s="2"/>
      <c r="AC22" s="3"/>
      <c r="AD22" s="37"/>
      <c r="AE22" s="9">
        <v>0</v>
      </c>
      <c r="AF22" s="2">
        <v>6</v>
      </c>
      <c r="AG22" s="2">
        <v>9</v>
      </c>
      <c r="AH22" s="2"/>
      <c r="AI22" s="3">
        <v>6.5</v>
      </c>
      <c r="AJ22" s="10">
        <v>26</v>
      </c>
      <c r="AK22" s="28">
        <v>2</v>
      </c>
      <c r="AL22" s="3">
        <v>4</v>
      </c>
      <c r="AM22" s="3">
        <v>3</v>
      </c>
      <c r="AN22" s="10">
        <v>20</v>
      </c>
      <c r="AO22" s="28">
        <v>0</v>
      </c>
      <c r="AP22" s="28"/>
      <c r="AQ22" s="3"/>
      <c r="AR22" s="10"/>
      <c r="AS22" s="20">
        <v>0</v>
      </c>
      <c r="AT22" s="28"/>
      <c r="AU22" s="3"/>
      <c r="AV22" s="10"/>
      <c r="AW22" s="20"/>
      <c r="AX22" s="28"/>
      <c r="AY22" s="3"/>
      <c r="AZ22" s="10"/>
      <c r="BA22" s="20"/>
      <c r="BB22" s="28"/>
      <c r="BC22" s="3"/>
      <c r="BD22" s="10"/>
      <c r="BE22" s="23"/>
      <c r="BF22" s="28"/>
      <c r="BG22" s="3"/>
      <c r="BH22" s="10"/>
      <c r="BI22" s="23">
        <v>0</v>
      </c>
      <c r="BJ22" s="28"/>
      <c r="BK22" s="3"/>
      <c r="BL22" s="10"/>
    </row>
    <row r="23" spans="2:64" x14ac:dyDescent="0.3">
      <c r="B23" s="62">
        <f t="shared" si="0"/>
        <v>0</v>
      </c>
      <c r="C23" s="47">
        <f t="shared" si="1"/>
        <v>0</v>
      </c>
      <c r="D23" s="47">
        <f t="shared" si="2"/>
        <v>0</v>
      </c>
      <c r="E23" s="47">
        <f t="shared" si="3"/>
        <v>0</v>
      </c>
      <c r="F23" s="47">
        <f t="shared" si="4"/>
        <v>48</v>
      </c>
      <c r="G23" s="47">
        <f t="shared" si="5"/>
        <v>0</v>
      </c>
      <c r="H23" s="47">
        <f t="shared" si="6"/>
        <v>0</v>
      </c>
      <c r="I23" s="47">
        <f t="shared" si="7"/>
        <v>0</v>
      </c>
      <c r="J23" s="47">
        <f t="shared" si="8"/>
        <v>0</v>
      </c>
      <c r="K23" s="63">
        <f t="shared" si="9"/>
        <v>24</v>
      </c>
      <c r="L23" s="55">
        <f t="shared" si="10"/>
        <v>6.011746953547231</v>
      </c>
      <c r="N23" s="33">
        <v>4</v>
      </c>
      <c r="O23" s="27">
        <v>968</v>
      </c>
      <c r="P23" s="87" t="s">
        <v>194</v>
      </c>
      <c r="Q23" s="87"/>
      <c r="R23" s="37"/>
      <c r="S23" s="20"/>
      <c r="T23" s="3"/>
      <c r="U23" s="3"/>
      <c r="V23" s="3"/>
      <c r="W23" s="3"/>
      <c r="X23" s="10"/>
      <c r="Y23" s="17"/>
      <c r="Z23" s="2"/>
      <c r="AA23" s="2"/>
      <c r="AB23" s="2"/>
      <c r="AC23" s="3"/>
      <c r="AD23" s="37"/>
      <c r="AE23" s="9">
        <v>0</v>
      </c>
      <c r="AF23" s="2">
        <v>0</v>
      </c>
      <c r="AG23" s="2">
        <v>0</v>
      </c>
      <c r="AH23" s="2"/>
      <c r="AI23" s="3"/>
      <c r="AJ23" s="10"/>
      <c r="AK23" s="28">
        <v>0</v>
      </c>
      <c r="AL23" s="3"/>
      <c r="AM23" s="3"/>
      <c r="AN23" s="10"/>
      <c r="AO23" s="28">
        <v>4</v>
      </c>
      <c r="AP23" s="28">
        <v>9</v>
      </c>
      <c r="AQ23" s="3">
        <v>12</v>
      </c>
      <c r="AR23" s="10">
        <v>25</v>
      </c>
      <c r="AS23" s="20">
        <v>0</v>
      </c>
      <c r="AT23" s="28"/>
      <c r="AU23" s="3"/>
      <c r="AV23" s="10"/>
      <c r="AW23" s="20"/>
      <c r="AX23" s="28"/>
      <c r="AY23" s="3"/>
      <c r="AZ23" s="10"/>
      <c r="BA23" s="20"/>
      <c r="BB23" s="28"/>
      <c r="BC23" s="3"/>
      <c r="BD23" s="10"/>
      <c r="BE23" s="23"/>
      <c r="BF23" s="28"/>
      <c r="BG23" s="3"/>
      <c r="BH23" s="10"/>
      <c r="BI23" s="23">
        <v>2</v>
      </c>
      <c r="BJ23" s="28">
        <v>9</v>
      </c>
      <c r="BK23" s="3">
        <v>12</v>
      </c>
      <c r="BL23" s="10">
        <v>25</v>
      </c>
    </row>
    <row r="24" spans="2:64" x14ac:dyDescent="0.3">
      <c r="B24" s="62">
        <f t="shared" si="0"/>
        <v>0</v>
      </c>
      <c r="C24" s="47">
        <f t="shared" si="1"/>
        <v>0</v>
      </c>
      <c r="D24" s="47">
        <f t="shared" si="2"/>
        <v>0</v>
      </c>
      <c r="E24" s="47">
        <f t="shared" si="3"/>
        <v>0</v>
      </c>
      <c r="F24" s="47">
        <f t="shared" si="4"/>
        <v>0</v>
      </c>
      <c r="G24" s="47">
        <f t="shared" si="5"/>
        <v>0</v>
      </c>
      <c r="H24" s="47">
        <f t="shared" si="6"/>
        <v>0</v>
      </c>
      <c r="I24" s="47">
        <f t="shared" si="7"/>
        <v>0</v>
      </c>
      <c r="J24" s="47">
        <f t="shared" si="8"/>
        <v>0</v>
      </c>
      <c r="K24" s="63">
        <f t="shared" si="9"/>
        <v>99</v>
      </c>
      <c r="L24" s="55">
        <f t="shared" si="10"/>
        <v>9.0176204303208465</v>
      </c>
      <c r="N24" s="33">
        <v>5</v>
      </c>
      <c r="O24" s="28">
        <v>969</v>
      </c>
      <c r="P24" s="88" t="s">
        <v>194</v>
      </c>
      <c r="Q24" s="88"/>
      <c r="R24" s="37"/>
      <c r="S24" s="20"/>
      <c r="T24" s="3"/>
      <c r="U24" s="3"/>
      <c r="V24" s="3"/>
      <c r="W24" s="3"/>
      <c r="X24" s="10"/>
      <c r="Y24" s="17"/>
      <c r="Z24" s="2"/>
      <c r="AA24" s="2"/>
      <c r="AB24" s="2"/>
      <c r="AC24" s="3"/>
      <c r="AD24" s="37"/>
      <c r="AE24" s="9">
        <v>0</v>
      </c>
      <c r="AF24" s="2">
        <v>0</v>
      </c>
      <c r="AG24" s="2">
        <v>0</v>
      </c>
      <c r="AH24" s="2"/>
      <c r="AI24" s="3"/>
      <c r="AJ24" s="10"/>
      <c r="AK24" s="28">
        <v>0</v>
      </c>
      <c r="AL24" s="3"/>
      <c r="AM24" s="3"/>
      <c r="AN24" s="10"/>
      <c r="AO24" s="28">
        <v>0</v>
      </c>
      <c r="AP24" s="28"/>
      <c r="AQ24" s="3"/>
      <c r="AR24" s="10"/>
      <c r="AS24" s="20">
        <v>0</v>
      </c>
      <c r="AT24" s="28"/>
      <c r="AU24" s="3"/>
      <c r="AV24" s="10"/>
      <c r="AW24" s="20"/>
      <c r="AX24" s="28"/>
      <c r="AY24" s="3"/>
      <c r="AZ24" s="10"/>
      <c r="BA24" s="20"/>
      <c r="BB24" s="28"/>
      <c r="BC24" s="3"/>
      <c r="BD24" s="10"/>
      <c r="BE24" s="23"/>
      <c r="BF24" s="28"/>
      <c r="BG24" s="3"/>
      <c r="BH24" s="10"/>
      <c r="BI24" s="20">
        <v>9</v>
      </c>
      <c r="BJ24" s="28">
        <v>9</v>
      </c>
      <c r="BK24" s="3">
        <v>11</v>
      </c>
      <c r="BL24" s="10">
        <v>25</v>
      </c>
    </row>
    <row r="25" spans="2:64" x14ac:dyDescent="0.3">
      <c r="B25" s="62">
        <f t="shared" si="0"/>
        <v>0</v>
      </c>
      <c r="C25" s="47">
        <f t="shared" si="1"/>
        <v>0</v>
      </c>
      <c r="D25" s="47">
        <f t="shared" si="2"/>
        <v>0</v>
      </c>
      <c r="E25" s="47">
        <f t="shared" si="3"/>
        <v>45</v>
      </c>
      <c r="F25" s="47">
        <f t="shared" si="4"/>
        <v>0</v>
      </c>
      <c r="G25" s="47">
        <f t="shared" si="5"/>
        <v>0</v>
      </c>
      <c r="H25" s="47">
        <f t="shared" si="6"/>
        <v>0</v>
      </c>
      <c r="I25" s="47">
        <f t="shared" si="7"/>
        <v>0</v>
      </c>
      <c r="J25" s="47">
        <f t="shared" si="8"/>
        <v>0</v>
      </c>
      <c r="K25" s="63">
        <f t="shared" si="9"/>
        <v>0</v>
      </c>
      <c r="L25" s="55">
        <f t="shared" si="10"/>
        <v>3.0058734767736155</v>
      </c>
      <c r="N25" s="33">
        <v>6</v>
      </c>
      <c r="O25" s="28">
        <v>970</v>
      </c>
      <c r="P25" s="88" t="s">
        <v>194</v>
      </c>
      <c r="Q25" s="88"/>
      <c r="R25" s="37"/>
      <c r="S25" s="20"/>
      <c r="T25" s="3"/>
      <c r="U25" s="3"/>
      <c r="V25" s="3"/>
      <c r="W25" s="3"/>
      <c r="X25" s="10"/>
      <c r="Y25" s="17"/>
      <c r="Z25" s="2"/>
      <c r="AA25" s="2"/>
      <c r="AB25" s="2"/>
      <c r="AC25" s="3"/>
      <c r="AD25" s="37"/>
      <c r="AE25" s="9">
        <v>0</v>
      </c>
      <c r="AF25" s="2">
        <v>0</v>
      </c>
      <c r="AG25" s="2">
        <v>0</v>
      </c>
      <c r="AH25" s="2"/>
      <c r="AI25" s="3"/>
      <c r="AJ25" s="10"/>
      <c r="AK25" s="28">
        <v>3</v>
      </c>
      <c r="AL25" s="3">
        <v>13</v>
      </c>
      <c r="AM25" s="3">
        <v>15</v>
      </c>
      <c r="AN25" s="10">
        <v>25</v>
      </c>
      <c r="AO25" s="28">
        <v>0</v>
      </c>
      <c r="AP25" s="28"/>
      <c r="AQ25" s="3"/>
      <c r="AR25" s="10"/>
      <c r="AS25" s="20">
        <v>0</v>
      </c>
      <c r="AT25" s="28"/>
      <c r="AU25" s="3"/>
      <c r="AV25" s="10"/>
      <c r="AW25" s="20"/>
      <c r="AX25" s="28"/>
      <c r="AY25" s="3"/>
      <c r="AZ25" s="10"/>
      <c r="BA25" s="20"/>
      <c r="BB25" s="28"/>
      <c r="BC25" s="3"/>
      <c r="BD25" s="10"/>
      <c r="BE25" s="23"/>
      <c r="BF25" s="28"/>
      <c r="BG25" s="3"/>
      <c r="BH25" s="10"/>
      <c r="BI25" s="20">
        <v>0</v>
      </c>
      <c r="BJ25" s="28"/>
      <c r="BK25" s="3"/>
      <c r="BL25" s="10"/>
    </row>
    <row r="26" spans="2:64" x14ac:dyDescent="0.3">
      <c r="B26" s="62">
        <f t="shared" si="0"/>
        <v>0</v>
      </c>
      <c r="C26" s="47">
        <f t="shared" si="1"/>
        <v>0</v>
      </c>
      <c r="D26" s="47">
        <f t="shared" si="2"/>
        <v>0</v>
      </c>
      <c r="E26" s="47">
        <f t="shared" si="3"/>
        <v>0</v>
      </c>
      <c r="F26" s="47">
        <f t="shared" si="4"/>
        <v>28</v>
      </c>
      <c r="G26" s="47">
        <f t="shared" si="5"/>
        <v>0</v>
      </c>
      <c r="H26" s="47">
        <f t="shared" si="6"/>
        <v>0</v>
      </c>
      <c r="I26" s="47">
        <f t="shared" si="7"/>
        <v>0</v>
      </c>
      <c r="J26" s="47">
        <f t="shared" si="8"/>
        <v>0</v>
      </c>
      <c r="K26" s="63">
        <f t="shared" si="9"/>
        <v>130</v>
      </c>
      <c r="L26" s="55">
        <f t="shared" si="10"/>
        <v>12.023493907094462</v>
      </c>
      <c r="N26" s="33">
        <v>7</v>
      </c>
      <c r="O26" s="27">
        <v>971</v>
      </c>
      <c r="P26" s="87" t="s">
        <v>194</v>
      </c>
      <c r="Q26" s="87"/>
      <c r="R26" s="37"/>
      <c r="S26" s="20"/>
      <c r="T26" s="3"/>
      <c r="U26" s="3"/>
      <c r="V26" s="3"/>
      <c r="W26" s="3"/>
      <c r="X26" s="10"/>
      <c r="Y26" s="17"/>
      <c r="Z26" s="2"/>
      <c r="AA26" s="2"/>
      <c r="AB26" s="2"/>
      <c r="AC26" s="3"/>
      <c r="AD26" s="37"/>
      <c r="AE26" s="9">
        <v>0</v>
      </c>
      <c r="AF26" s="2">
        <v>0</v>
      </c>
      <c r="AG26" s="2">
        <v>0</v>
      </c>
      <c r="AH26" s="2"/>
      <c r="AI26" s="3"/>
      <c r="AJ26" s="10"/>
      <c r="AK26" s="28">
        <v>0</v>
      </c>
      <c r="AL26" s="3"/>
      <c r="AM26" s="3"/>
      <c r="AN26" s="10"/>
      <c r="AO26" s="28">
        <v>2</v>
      </c>
      <c r="AP26" s="28">
        <v>12</v>
      </c>
      <c r="AQ26" s="3">
        <v>14</v>
      </c>
      <c r="AR26" s="10">
        <v>25</v>
      </c>
      <c r="AS26" s="20">
        <v>0</v>
      </c>
      <c r="AT26" s="28"/>
      <c r="AU26" s="3"/>
      <c r="AV26" s="10"/>
      <c r="AW26" s="20"/>
      <c r="AX26" s="28"/>
      <c r="AY26" s="3"/>
      <c r="AZ26" s="10"/>
      <c r="BA26" s="20"/>
      <c r="BB26" s="28"/>
      <c r="BC26" s="3"/>
      <c r="BD26" s="10"/>
      <c r="BE26" s="23"/>
      <c r="BF26" s="28"/>
      <c r="BG26" s="3"/>
      <c r="BH26" s="10"/>
      <c r="BI26" s="20">
        <v>10</v>
      </c>
      <c r="BJ26" s="28">
        <v>7</v>
      </c>
      <c r="BK26" s="3">
        <v>13</v>
      </c>
      <c r="BL26" s="10">
        <v>23</v>
      </c>
    </row>
    <row r="27" spans="2:64" x14ac:dyDescent="0.3">
      <c r="B27" s="62">
        <f t="shared" si="0"/>
        <v>0</v>
      </c>
      <c r="C27" s="47">
        <f t="shared" si="1"/>
        <v>34.200000000000003</v>
      </c>
      <c r="D27" s="47">
        <f t="shared" si="2"/>
        <v>0</v>
      </c>
      <c r="E27" s="47">
        <f t="shared" si="3"/>
        <v>75</v>
      </c>
      <c r="F27" s="47">
        <f t="shared" si="4"/>
        <v>13</v>
      </c>
      <c r="G27" s="47">
        <f t="shared" si="5"/>
        <v>0</v>
      </c>
      <c r="H27" s="47">
        <f t="shared" si="6"/>
        <v>0</v>
      </c>
      <c r="I27" s="47">
        <f t="shared" si="7"/>
        <v>0</v>
      </c>
      <c r="J27" s="47">
        <f t="shared" si="8"/>
        <v>0</v>
      </c>
      <c r="K27" s="63">
        <f t="shared" si="9"/>
        <v>38.5</v>
      </c>
      <c r="L27" s="55">
        <f t="shared" si="10"/>
        <v>19.037198686232898</v>
      </c>
      <c r="N27" s="33">
        <v>8</v>
      </c>
      <c r="O27" s="28">
        <v>972</v>
      </c>
      <c r="P27" s="88" t="s">
        <v>194</v>
      </c>
      <c r="Q27" s="88"/>
      <c r="R27" s="37"/>
      <c r="S27" s="20"/>
      <c r="T27" s="3"/>
      <c r="U27" s="3"/>
      <c r="V27" s="3"/>
      <c r="W27" s="3"/>
      <c r="X27" s="10"/>
      <c r="Y27" s="17"/>
      <c r="Z27" s="2"/>
      <c r="AA27" s="2"/>
      <c r="AB27" s="2"/>
      <c r="AC27" s="3"/>
      <c r="AD27" s="37"/>
      <c r="AE27" s="9">
        <v>0</v>
      </c>
      <c r="AF27" s="2">
        <v>0</v>
      </c>
      <c r="AG27" s="2">
        <v>6</v>
      </c>
      <c r="AH27" s="2"/>
      <c r="AI27" s="3">
        <v>5.7</v>
      </c>
      <c r="AJ27" s="10">
        <v>25</v>
      </c>
      <c r="AK27" s="28">
        <v>5</v>
      </c>
      <c r="AL27" s="3">
        <v>11</v>
      </c>
      <c r="AM27" s="3">
        <v>15</v>
      </c>
      <c r="AN27" s="10">
        <v>25</v>
      </c>
      <c r="AO27" s="28">
        <v>1</v>
      </c>
      <c r="AP27" s="28">
        <v>8</v>
      </c>
      <c r="AQ27" s="3">
        <v>13</v>
      </c>
      <c r="AR27" s="10">
        <v>25</v>
      </c>
      <c r="AS27" s="20">
        <v>0</v>
      </c>
      <c r="AT27" s="28"/>
      <c r="AU27" s="3"/>
      <c r="AV27" s="10"/>
      <c r="AW27" s="20"/>
      <c r="AX27" s="28"/>
      <c r="AY27" s="3"/>
      <c r="AZ27" s="10"/>
      <c r="BA27" s="20"/>
      <c r="BB27" s="28"/>
      <c r="BC27" s="3"/>
      <c r="BD27" s="10"/>
      <c r="BE27" s="23"/>
      <c r="BF27" s="28"/>
      <c r="BG27" s="3"/>
      <c r="BH27" s="10"/>
      <c r="BI27" s="20">
        <v>7</v>
      </c>
      <c r="BJ27" s="28">
        <v>5</v>
      </c>
      <c r="BK27" s="3">
        <v>5.5</v>
      </c>
      <c r="BL27" s="10">
        <v>19</v>
      </c>
    </row>
    <row r="28" spans="2:64" x14ac:dyDescent="0.3">
      <c r="B28" s="62">
        <f t="shared" si="0"/>
        <v>0</v>
      </c>
      <c r="C28" s="47">
        <f t="shared" si="1"/>
        <v>0</v>
      </c>
      <c r="D28" s="47">
        <f t="shared" si="2"/>
        <v>0</v>
      </c>
      <c r="E28" s="47">
        <f t="shared" si="3"/>
        <v>0</v>
      </c>
      <c r="F28" s="47">
        <f t="shared" si="4"/>
        <v>42</v>
      </c>
      <c r="G28" s="47">
        <f t="shared" si="5"/>
        <v>16</v>
      </c>
      <c r="H28" s="47">
        <f t="shared" si="6"/>
        <v>0</v>
      </c>
      <c r="I28" s="47">
        <f t="shared" si="7"/>
        <v>0</v>
      </c>
      <c r="J28" s="47">
        <f t="shared" si="8"/>
        <v>0</v>
      </c>
      <c r="K28" s="63">
        <f t="shared" si="9"/>
        <v>0</v>
      </c>
      <c r="L28" s="55">
        <f t="shared" si="10"/>
        <v>4.0078313023648207</v>
      </c>
      <c r="N28" s="33">
        <v>9</v>
      </c>
      <c r="O28" s="28">
        <v>973</v>
      </c>
      <c r="P28" s="88" t="s">
        <v>194</v>
      </c>
      <c r="Q28" s="88"/>
      <c r="R28" s="37"/>
      <c r="S28" s="20"/>
      <c r="T28" s="3"/>
      <c r="U28" s="3"/>
      <c r="V28" s="3"/>
      <c r="W28" s="3"/>
      <c r="X28" s="10"/>
      <c r="Y28" s="17"/>
      <c r="Z28" s="2"/>
      <c r="AA28" s="2"/>
      <c r="AB28" s="2"/>
      <c r="AC28" s="3"/>
      <c r="AD28" s="37"/>
      <c r="AE28" s="9">
        <v>0</v>
      </c>
      <c r="AF28" s="2">
        <v>0</v>
      </c>
      <c r="AG28" s="2">
        <v>0</v>
      </c>
      <c r="AH28" s="2"/>
      <c r="AI28" s="3"/>
      <c r="AJ28" s="10"/>
      <c r="AK28" s="28">
        <v>0</v>
      </c>
      <c r="AL28" s="3"/>
      <c r="AM28" s="3"/>
      <c r="AN28" s="10"/>
      <c r="AO28" s="28">
        <v>3</v>
      </c>
      <c r="AP28" s="28">
        <v>12</v>
      </c>
      <c r="AQ28" s="3">
        <v>14</v>
      </c>
      <c r="AR28" s="10">
        <v>25</v>
      </c>
      <c r="AS28" s="20">
        <v>1</v>
      </c>
      <c r="AT28" s="28">
        <v>13</v>
      </c>
      <c r="AU28" s="3">
        <v>16</v>
      </c>
      <c r="AV28" s="10">
        <v>25</v>
      </c>
      <c r="AW28" s="20"/>
      <c r="AX28" s="28"/>
      <c r="AY28" s="3"/>
      <c r="AZ28" s="10"/>
      <c r="BA28" s="20"/>
      <c r="BB28" s="28"/>
      <c r="BC28" s="3"/>
      <c r="BD28" s="10"/>
      <c r="BE28" s="23"/>
      <c r="BF28" s="28"/>
      <c r="BG28" s="3"/>
      <c r="BH28" s="10"/>
      <c r="BI28" s="20">
        <v>0</v>
      </c>
      <c r="BJ28" s="28"/>
      <c r="BK28" s="3"/>
      <c r="BL28" s="10"/>
    </row>
    <row r="29" spans="2:64" x14ac:dyDescent="0.3">
      <c r="B29" s="62">
        <f t="shared" si="0"/>
        <v>0</v>
      </c>
      <c r="C29" s="47">
        <f t="shared" si="1"/>
        <v>5.6999999999999993</v>
      </c>
      <c r="D29" s="47">
        <f t="shared" si="2"/>
        <v>0</v>
      </c>
      <c r="E29" s="47">
        <f t="shared" si="3"/>
        <v>0</v>
      </c>
      <c r="F29" s="47">
        <f t="shared" si="4"/>
        <v>15</v>
      </c>
      <c r="G29" s="47">
        <f t="shared" si="5"/>
        <v>135</v>
      </c>
      <c r="H29" s="47">
        <f t="shared" si="6"/>
        <v>0</v>
      </c>
      <c r="I29" s="47">
        <f t="shared" si="7"/>
        <v>0</v>
      </c>
      <c r="J29" s="47">
        <f t="shared" si="8"/>
        <v>0</v>
      </c>
      <c r="K29" s="63">
        <f t="shared" si="9"/>
        <v>0</v>
      </c>
      <c r="L29" s="55">
        <f t="shared" si="10"/>
        <v>21.041114337415308</v>
      </c>
      <c r="N29" s="33">
        <v>10</v>
      </c>
      <c r="O29" s="27">
        <v>974</v>
      </c>
      <c r="P29" s="87" t="s">
        <v>194</v>
      </c>
      <c r="Q29" s="87"/>
      <c r="R29" s="37"/>
      <c r="S29" s="20"/>
      <c r="T29" s="3"/>
      <c r="U29" s="3"/>
      <c r="V29" s="3"/>
      <c r="W29" s="3"/>
      <c r="X29" s="10"/>
      <c r="Y29" s="17"/>
      <c r="Z29" s="2"/>
      <c r="AA29" s="2"/>
      <c r="AB29" s="2"/>
      <c r="AC29" s="3"/>
      <c r="AD29" s="37"/>
      <c r="AE29" s="9">
        <v>0</v>
      </c>
      <c r="AF29" s="2">
        <v>8</v>
      </c>
      <c r="AG29" s="2">
        <v>3</v>
      </c>
      <c r="AH29" s="2"/>
      <c r="AI29" s="3">
        <v>1.9</v>
      </c>
      <c r="AJ29" s="10">
        <v>20</v>
      </c>
      <c r="AK29" s="28">
        <v>0</v>
      </c>
      <c r="AL29" s="3"/>
      <c r="AM29" s="3"/>
      <c r="AN29" s="10"/>
      <c r="AO29" s="28">
        <v>1</v>
      </c>
      <c r="AP29" s="28">
        <v>11</v>
      </c>
      <c r="AQ29" s="3">
        <v>15</v>
      </c>
      <c r="AR29" s="10">
        <v>25</v>
      </c>
      <c r="AS29" s="20">
        <v>9</v>
      </c>
      <c r="AT29" s="28">
        <v>11</v>
      </c>
      <c r="AU29" s="3">
        <v>15</v>
      </c>
      <c r="AV29" s="10">
        <v>25</v>
      </c>
      <c r="AW29" s="20"/>
      <c r="AX29" s="28"/>
      <c r="AY29" s="3"/>
      <c r="AZ29" s="10"/>
      <c r="BA29" s="20"/>
      <c r="BB29" s="28"/>
      <c r="BC29" s="3"/>
      <c r="BD29" s="10"/>
      <c r="BE29" s="23"/>
      <c r="BF29" s="28"/>
      <c r="BG29" s="3"/>
      <c r="BH29" s="10"/>
      <c r="BI29" s="20">
        <v>0</v>
      </c>
      <c r="BJ29" s="28"/>
      <c r="BK29" s="3"/>
      <c r="BL29" s="10"/>
    </row>
    <row r="30" spans="2:64" x14ac:dyDescent="0.3">
      <c r="B30" s="62">
        <f t="shared" si="0"/>
        <v>0</v>
      </c>
      <c r="C30" s="47">
        <f t="shared" si="1"/>
        <v>2.7</v>
      </c>
      <c r="D30" s="47">
        <f t="shared" si="2"/>
        <v>0</v>
      </c>
      <c r="E30" s="47">
        <f t="shared" si="3"/>
        <v>0</v>
      </c>
      <c r="F30" s="47">
        <f t="shared" si="4"/>
        <v>80</v>
      </c>
      <c r="G30" s="47">
        <f t="shared" si="5"/>
        <v>0</v>
      </c>
      <c r="H30" s="47">
        <f t="shared" si="6"/>
        <v>0</v>
      </c>
      <c r="I30" s="47">
        <f t="shared" si="7"/>
        <v>0</v>
      </c>
      <c r="J30" s="47">
        <f t="shared" si="8"/>
        <v>0</v>
      </c>
      <c r="K30" s="63">
        <f t="shared" si="9"/>
        <v>81</v>
      </c>
      <c r="L30" s="55">
        <f t="shared" si="10"/>
        <v>17.033283035050488</v>
      </c>
      <c r="N30" s="33">
        <v>11</v>
      </c>
      <c r="O30" s="28">
        <v>975</v>
      </c>
      <c r="P30" s="88" t="s">
        <v>194</v>
      </c>
      <c r="Q30" s="88"/>
      <c r="R30" s="37"/>
      <c r="S30" s="20"/>
      <c r="T30" s="3"/>
      <c r="U30" s="3"/>
      <c r="V30" s="3"/>
      <c r="W30" s="3"/>
      <c r="X30" s="10"/>
      <c r="Y30" s="17"/>
      <c r="Z30" s="2"/>
      <c r="AA30" s="2"/>
      <c r="AB30" s="2"/>
      <c r="AC30" s="3"/>
      <c r="AD30" s="37"/>
      <c r="AE30" s="9">
        <v>0</v>
      </c>
      <c r="AF30" s="2">
        <v>2</v>
      </c>
      <c r="AG30" s="2">
        <v>1</v>
      </c>
      <c r="AH30" s="2"/>
      <c r="AI30" s="3">
        <v>2.7</v>
      </c>
      <c r="AJ30" s="10">
        <v>20</v>
      </c>
      <c r="AK30" s="28">
        <v>0</v>
      </c>
      <c r="AL30" s="3"/>
      <c r="AM30" s="3"/>
      <c r="AN30" s="10"/>
      <c r="AO30" s="28">
        <v>5</v>
      </c>
      <c r="AP30" s="28">
        <v>12</v>
      </c>
      <c r="AQ30" s="3">
        <v>16</v>
      </c>
      <c r="AR30" s="10">
        <v>25</v>
      </c>
      <c r="AS30" s="20">
        <v>0</v>
      </c>
      <c r="AT30" s="28"/>
      <c r="AU30" s="3"/>
      <c r="AV30" s="10"/>
      <c r="AW30" s="20"/>
      <c r="AX30" s="28"/>
      <c r="AY30" s="3"/>
      <c r="AZ30" s="10"/>
      <c r="BA30" s="20"/>
      <c r="BB30" s="28"/>
      <c r="BC30" s="3"/>
      <c r="BD30" s="10"/>
      <c r="BE30" s="23"/>
      <c r="BF30" s="28"/>
      <c r="BG30" s="3"/>
      <c r="BH30" s="10"/>
      <c r="BI30" s="20">
        <v>9</v>
      </c>
      <c r="BJ30" s="28">
        <v>7</v>
      </c>
      <c r="BK30" s="3">
        <v>9</v>
      </c>
      <c r="BL30" s="10">
        <v>20</v>
      </c>
    </row>
    <row r="31" spans="2:64" x14ac:dyDescent="0.3">
      <c r="B31" s="62">
        <f t="shared" si="0"/>
        <v>0</v>
      </c>
      <c r="C31" s="47">
        <f t="shared" si="1"/>
        <v>0</v>
      </c>
      <c r="D31" s="47">
        <f t="shared" si="2"/>
        <v>0</v>
      </c>
      <c r="E31" s="47">
        <f t="shared" si="3"/>
        <v>0</v>
      </c>
      <c r="F31" s="47">
        <f t="shared" si="4"/>
        <v>0</v>
      </c>
      <c r="G31" s="47">
        <f t="shared" si="5"/>
        <v>0</v>
      </c>
      <c r="H31" s="47">
        <f t="shared" si="6"/>
        <v>0</v>
      </c>
      <c r="I31" s="47">
        <f t="shared" si="7"/>
        <v>0</v>
      </c>
      <c r="J31" s="47">
        <f t="shared" si="8"/>
        <v>0</v>
      </c>
      <c r="K31" s="63">
        <f t="shared" si="9"/>
        <v>0</v>
      </c>
      <c r="L31" s="55">
        <f t="shared" si="10"/>
        <v>0</v>
      </c>
      <c r="N31" s="33">
        <v>12</v>
      </c>
      <c r="O31" s="28"/>
      <c r="P31" s="88"/>
      <c r="Q31" s="88"/>
      <c r="R31" s="37"/>
      <c r="S31" s="20"/>
      <c r="T31" s="3"/>
      <c r="U31" s="3"/>
      <c r="V31" s="3"/>
      <c r="W31" s="3"/>
      <c r="X31" s="10"/>
      <c r="Y31" s="17"/>
      <c r="Z31" s="2"/>
      <c r="AA31" s="2"/>
      <c r="AB31" s="2"/>
      <c r="AC31" s="3"/>
      <c r="AD31" s="37"/>
      <c r="AE31" s="9"/>
      <c r="AF31" s="2"/>
      <c r="AG31" s="2"/>
      <c r="AH31" s="2"/>
      <c r="AI31" s="3"/>
      <c r="AJ31" s="10"/>
      <c r="AK31" s="28"/>
      <c r="AL31" s="3"/>
      <c r="AM31" s="3"/>
      <c r="AN31" s="10"/>
      <c r="AO31" s="28"/>
      <c r="AP31" s="28"/>
      <c r="AQ31" s="3"/>
      <c r="AR31" s="10"/>
      <c r="AS31" s="20"/>
      <c r="AT31" s="28"/>
      <c r="AU31" s="3"/>
      <c r="AV31" s="10"/>
      <c r="AW31" s="20"/>
      <c r="AX31" s="28"/>
      <c r="AY31" s="3"/>
      <c r="AZ31" s="10"/>
      <c r="BA31" s="20"/>
      <c r="BB31" s="28"/>
      <c r="BC31" s="3"/>
      <c r="BD31" s="10"/>
      <c r="BE31" s="23"/>
      <c r="BF31" s="28"/>
      <c r="BG31" s="3"/>
      <c r="BH31" s="10"/>
      <c r="BI31" s="20"/>
      <c r="BJ31" s="28"/>
      <c r="BK31" s="3"/>
      <c r="BL31" s="10"/>
    </row>
    <row r="32" spans="2:64" x14ac:dyDescent="0.3">
      <c r="B32" s="62">
        <f t="shared" si="0"/>
        <v>0</v>
      </c>
      <c r="C32" s="47">
        <f t="shared" si="1"/>
        <v>0</v>
      </c>
      <c r="D32" s="47">
        <f t="shared" si="2"/>
        <v>0</v>
      </c>
      <c r="E32" s="47">
        <f t="shared" si="3"/>
        <v>0</v>
      </c>
      <c r="F32" s="47">
        <f t="shared" si="4"/>
        <v>0</v>
      </c>
      <c r="G32" s="47">
        <f t="shared" si="5"/>
        <v>0</v>
      </c>
      <c r="H32" s="47">
        <f t="shared" si="6"/>
        <v>0</v>
      </c>
      <c r="I32" s="47">
        <f t="shared" si="7"/>
        <v>0</v>
      </c>
      <c r="J32" s="47">
        <f t="shared" si="8"/>
        <v>0</v>
      </c>
      <c r="K32" s="63">
        <f t="shared" si="9"/>
        <v>0</v>
      </c>
      <c r="L32" s="55">
        <f t="shared" si="10"/>
        <v>0</v>
      </c>
      <c r="N32" s="33">
        <v>13</v>
      </c>
      <c r="O32" s="28"/>
      <c r="P32" s="88"/>
      <c r="Q32" s="88"/>
      <c r="R32" s="37"/>
      <c r="S32" s="20"/>
      <c r="T32" s="3"/>
      <c r="U32" s="3"/>
      <c r="V32" s="3"/>
      <c r="W32" s="3"/>
      <c r="X32" s="10"/>
      <c r="Y32" s="17"/>
      <c r="Z32" s="2"/>
      <c r="AA32" s="2"/>
      <c r="AB32" s="2"/>
      <c r="AC32" s="3"/>
      <c r="AD32" s="37"/>
      <c r="AE32" s="9"/>
      <c r="AF32" s="2"/>
      <c r="AG32" s="2"/>
      <c r="AH32" s="2"/>
      <c r="AI32" s="3"/>
      <c r="AJ32" s="10"/>
      <c r="AK32" s="28"/>
      <c r="AL32" s="3"/>
      <c r="AM32" s="3"/>
      <c r="AN32" s="10"/>
      <c r="AO32" s="28"/>
      <c r="AP32" s="28"/>
      <c r="AQ32" s="3"/>
      <c r="AR32" s="10"/>
      <c r="AS32" s="20"/>
      <c r="AT32" s="28"/>
      <c r="AU32" s="3"/>
      <c r="AV32" s="10"/>
      <c r="AW32" s="20"/>
      <c r="AX32" s="28"/>
      <c r="AY32" s="3"/>
      <c r="AZ32" s="10"/>
      <c r="BA32" s="20"/>
      <c r="BB32" s="28"/>
      <c r="BC32" s="3"/>
      <c r="BD32" s="10"/>
      <c r="BE32" s="23"/>
      <c r="BF32" s="28"/>
      <c r="BG32" s="3"/>
      <c r="BH32" s="10"/>
      <c r="BI32" s="20"/>
      <c r="BJ32" s="28"/>
      <c r="BK32" s="3"/>
      <c r="BL32" s="10"/>
    </row>
    <row r="33" spans="2:64" x14ac:dyDescent="0.3">
      <c r="B33" s="62">
        <f t="shared" si="0"/>
        <v>0</v>
      </c>
      <c r="C33" s="47">
        <f t="shared" si="1"/>
        <v>0</v>
      </c>
      <c r="D33" s="47">
        <f t="shared" si="2"/>
        <v>0</v>
      </c>
      <c r="E33" s="47">
        <f t="shared" si="3"/>
        <v>0</v>
      </c>
      <c r="F33" s="47">
        <f t="shared" si="4"/>
        <v>0</v>
      </c>
      <c r="G33" s="47">
        <f t="shared" si="5"/>
        <v>0</v>
      </c>
      <c r="H33" s="47">
        <f t="shared" si="6"/>
        <v>0</v>
      </c>
      <c r="I33" s="47">
        <f t="shared" si="7"/>
        <v>0</v>
      </c>
      <c r="J33" s="47">
        <f t="shared" si="8"/>
        <v>0</v>
      </c>
      <c r="K33" s="63">
        <f t="shared" si="9"/>
        <v>0</v>
      </c>
      <c r="L33" s="55">
        <f t="shared" si="10"/>
        <v>0</v>
      </c>
      <c r="N33" s="33">
        <v>14</v>
      </c>
      <c r="O33" s="28"/>
      <c r="P33" s="88"/>
      <c r="Q33" s="88"/>
      <c r="R33" s="37"/>
      <c r="S33" s="20"/>
      <c r="T33" s="3"/>
      <c r="U33" s="3"/>
      <c r="V33" s="3"/>
      <c r="W33" s="3"/>
      <c r="X33" s="10"/>
      <c r="Y33" s="17"/>
      <c r="Z33" s="2"/>
      <c r="AA33" s="2"/>
      <c r="AB33" s="2"/>
      <c r="AC33" s="3"/>
      <c r="AD33" s="37"/>
      <c r="AE33" s="9"/>
      <c r="AF33" s="2"/>
      <c r="AG33" s="2"/>
      <c r="AH33" s="2"/>
      <c r="AI33" s="3"/>
      <c r="AJ33" s="10"/>
      <c r="AK33" s="28"/>
      <c r="AL33" s="3"/>
      <c r="AM33" s="3"/>
      <c r="AN33" s="10"/>
      <c r="AO33" s="28"/>
      <c r="AP33" s="28"/>
      <c r="AQ33" s="3"/>
      <c r="AR33" s="10"/>
      <c r="AS33" s="20"/>
      <c r="AT33" s="28"/>
      <c r="AU33" s="3"/>
      <c r="AV33" s="10"/>
      <c r="AW33" s="20"/>
      <c r="AX33" s="28"/>
      <c r="AY33" s="3"/>
      <c r="AZ33" s="10"/>
      <c r="BA33" s="20"/>
      <c r="BB33" s="28"/>
      <c r="BC33" s="3"/>
      <c r="BD33" s="10"/>
      <c r="BE33" s="23"/>
      <c r="BF33" s="28"/>
      <c r="BG33" s="3"/>
      <c r="BH33" s="10"/>
      <c r="BI33" s="20"/>
      <c r="BJ33" s="28"/>
      <c r="BK33" s="3"/>
      <c r="BL33" s="10"/>
    </row>
    <row r="34" spans="2:64" x14ac:dyDescent="0.3">
      <c r="B34" s="62">
        <f t="shared" si="0"/>
        <v>0</v>
      </c>
      <c r="C34" s="47">
        <f t="shared" si="1"/>
        <v>0</v>
      </c>
      <c r="D34" s="47">
        <f t="shared" si="2"/>
        <v>0</v>
      </c>
      <c r="E34" s="47">
        <f t="shared" si="3"/>
        <v>0</v>
      </c>
      <c r="F34" s="47">
        <f t="shared" si="4"/>
        <v>0</v>
      </c>
      <c r="G34" s="47">
        <f t="shared" si="5"/>
        <v>0</v>
      </c>
      <c r="H34" s="47">
        <f t="shared" si="6"/>
        <v>0</v>
      </c>
      <c r="I34" s="47">
        <f t="shared" si="7"/>
        <v>0</v>
      </c>
      <c r="J34" s="47">
        <f t="shared" si="8"/>
        <v>0</v>
      </c>
      <c r="K34" s="63">
        <f t="shared" si="9"/>
        <v>0</v>
      </c>
      <c r="L34" s="55">
        <f t="shared" si="10"/>
        <v>0</v>
      </c>
      <c r="N34" s="33">
        <v>15</v>
      </c>
      <c r="O34" s="28"/>
      <c r="P34" s="88"/>
      <c r="Q34" s="88"/>
      <c r="R34" s="37"/>
      <c r="S34" s="20"/>
      <c r="T34" s="3"/>
      <c r="U34" s="3"/>
      <c r="V34" s="3"/>
      <c r="W34" s="3"/>
      <c r="X34" s="10"/>
      <c r="Y34" s="17"/>
      <c r="Z34" s="2"/>
      <c r="AA34" s="2"/>
      <c r="AB34" s="2"/>
      <c r="AC34" s="3"/>
      <c r="AD34" s="37"/>
      <c r="AE34" s="9"/>
      <c r="AF34" s="2"/>
      <c r="AG34" s="2"/>
      <c r="AH34" s="2"/>
      <c r="AI34" s="3"/>
      <c r="AJ34" s="10"/>
      <c r="AK34" s="28"/>
      <c r="AL34" s="3"/>
      <c r="AM34" s="3"/>
      <c r="AN34" s="10"/>
      <c r="AO34" s="28"/>
      <c r="AP34" s="28"/>
      <c r="AQ34" s="3"/>
      <c r="AR34" s="10"/>
      <c r="AS34" s="20"/>
      <c r="AT34" s="28"/>
      <c r="AU34" s="3"/>
      <c r="AV34" s="10"/>
      <c r="AW34" s="20"/>
      <c r="AX34" s="28"/>
      <c r="AY34" s="3"/>
      <c r="AZ34" s="10"/>
      <c r="BA34" s="20"/>
      <c r="BB34" s="28"/>
      <c r="BC34" s="3"/>
      <c r="BD34" s="10"/>
      <c r="BE34" s="23"/>
      <c r="BF34" s="28"/>
      <c r="BG34" s="3"/>
      <c r="BH34" s="10"/>
      <c r="BI34" s="20"/>
      <c r="BJ34" s="28"/>
      <c r="BK34" s="3"/>
      <c r="BL34" s="10"/>
    </row>
    <row r="35" spans="2:64" x14ac:dyDescent="0.3">
      <c r="B35" s="62">
        <f t="shared" si="0"/>
        <v>0</v>
      </c>
      <c r="C35" s="47">
        <f t="shared" si="1"/>
        <v>0</v>
      </c>
      <c r="D35" s="47">
        <f t="shared" si="2"/>
        <v>0</v>
      </c>
      <c r="E35" s="47">
        <f t="shared" si="3"/>
        <v>0</v>
      </c>
      <c r="F35" s="47">
        <f t="shared" si="4"/>
        <v>0</v>
      </c>
      <c r="G35" s="47">
        <f t="shared" si="5"/>
        <v>0</v>
      </c>
      <c r="H35" s="47">
        <f t="shared" si="6"/>
        <v>0</v>
      </c>
      <c r="I35" s="47">
        <f t="shared" si="7"/>
        <v>0</v>
      </c>
      <c r="J35" s="47">
        <f t="shared" si="8"/>
        <v>0</v>
      </c>
      <c r="K35" s="63">
        <f t="shared" si="9"/>
        <v>0</v>
      </c>
      <c r="L35" s="55">
        <f t="shared" si="10"/>
        <v>0</v>
      </c>
      <c r="N35" s="33">
        <v>16</v>
      </c>
      <c r="O35" s="28"/>
      <c r="P35" s="88"/>
      <c r="Q35" s="88"/>
      <c r="R35" s="37"/>
      <c r="S35" s="20"/>
      <c r="T35" s="3"/>
      <c r="U35" s="3"/>
      <c r="V35" s="3"/>
      <c r="W35" s="3"/>
      <c r="X35" s="10"/>
      <c r="Y35" s="17"/>
      <c r="Z35" s="2"/>
      <c r="AA35" s="2"/>
      <c r="AB35" s="2"/>
      <c r="AC35" s="3"/>
      <c r="AD35" s="37"/>
      <c r="AE35" s="9"/>
      <c r="AF35" s="2"/>
      <c r="AG35" s="2"/>
      <c r="AH35" s="2"/>
      <c r="AI35" s="3"/>
      <c r="AJ35" s="10"/>
      <c r="AK35" s="28"/>
      <c r="AL35" s="3"/>
      <c r="AM35" s="3"/>
      <c r="AN35" s="10"/>
      <c r="AO35" s="28"/>
      <c r="AP35" s="28"/>
      <c r="AQ35" s="3"/>
      <c r="AR35" s="10"/>
      <c r="AS35" s="20"/>
      <c r="AT35" s="28"/>
      <c r="AU35" s="3"/>
      <c r="AV35" s="10"/>
      <c r="AW35" s="20"/>
      <c r="AX35" s="28"/>
      <c r="AY35" s="3"/>
      <c r="AZ35" s="10"/>
      <c r="BA35" s="20"/>
      <c r="BB35" s="28"/>
      <c r="BC35" s="3"/>
      <c r="BD35" s="10"/>
      <c r="BE35" s="23"/>
      <c r="BF35" s="28"/>
      <c r="BG35" s="3"/>
      <c r="BH35" s="10"/>
      <c r="BI35" s="20"/>
      <c r="BJ35" s="28"/>
      <c r="BK35" s="3"/>
      <c r="BL35" s="10"/>
    </row>
    <row r="36" spans="2:64" x14ac:dyDescent="0.3">
      <c r="B36" s="62">
        <f t="shared" si="0"/>
        <v>0</v>
      </c>
      <c r="C36" s="47">
        <f t="shared" si="1"/>
        <v>0</v>
      </c>
      <c r="D36" s="47">
        <f t="shared" si="2"/>
        <v>0</v>
      </c>
      <c r="E36" s="47">
        <f t="shared" si="3"/>
        <v>0</v>
      </c>
      <c r="F36" s="47">
        <f t="shared" si="4"/>
        <v>0</v>
      </c>
      <c r="G36" s="47">
        <f t="shared" si="5"/>
        <v>0</v>
      </c>
      <c r="H36" s="47">
        <f t="shared" si="6"/>
        <v>0</v>
      </c>
      <c r="I36" s="47">
        <f t="shared" si="7"/>
        <v>0</v>
      </c>
      <c r="J36" s="47">
        <f t="shared" si="8"/>
        <v>0</v>
      </c>
      <c r="K36" s="63">
        <f t="shared" si="9"/>
        <v>0</v>
      </c>
      <c r="L36" s="55">
        <f t="shared" si="10"/>
        <v>0</v>
      </c>
      <c r="N36" s="33">
        <v>17</v>
      </c>
      <c r="O36" s="28"/>
      <c r="P36" s="88"/>
      <c r="Q36" s="88"/>
      <c r="R36" s="37"/>
      <c r="S36" s="20"/>
      <c r="T36" s="3"/>
      <c r="U36" s="3"/>
      <c r="V36" s="3"/>
      <c r="W36" s="3"/>
      <c r="X36" s="10"/>
      <c r="Y36" s="17"/>
      <c r="Z36" s="2"/>
      <c r="AA36" s="2"/>
      <c r="AB36" s="2"/>
      <c r="AC36" s="3"/>
      <c r="AD36" s="37"/>
      <c r="AE36" s="9"/>
      <c r="AF36" s="2"/>
      <c r="AG36" s="2"/>
      <c r="AH36" s="2"/>
      <c r="AI36" s="3"/>
      <c r="AJ36" s="10"/>
      <c r="AK36" s="28"/>
      <c r="AL36" s="3"/>
      <c r="AM36" s="3"/>
      <c r="AN36" s="10"/>
      <c r="AO36" s="28"/>
      <c r="AP36" s="28"/>
      <c r="AQ36" s="3"/>
      <c r="AR36" s="10"/>
      <c r="AS36" s="20"/>
      <c r="AT36" s="28"/>
      <c r="AU36" s="3"/>
      <c r="AV36" s="10"/>
      <c r="AW36" s="20"/>
      <c r="AX36" s="28"/>
      <c r="AY36" s="3"/>
      <c r="AZ36" s="10"/>
      <c r="BA36" s="20"/>
      <c r="BB36" s="28"/>
      <c r="BC36" s="3"/>
      <c r="BD36" s="10"/>
      <c r="BE36" s="23"/>
      <c r="BF36" s="28"/>
      <c r="BG36" s="3"/>
      <c r="BH36" s="10"/>
      <c r="BI36" s="20"/>
      <c r="BJ36" s="28"/>
      <c r="BK36" s="3"/>
      <c r="BL36" s="10"/>
    </row>
    <row r="37" spans="2:64" x14ac:dyDescent="0.3">
      <c r="B37" s="62">
        <f t="shared" si="0"/>
        <v>0</v>
      </c>
      <c r="C37" s="47">
        <f t="shared" si="1"/>
        <v>0</v>
      </c>
      <c r="D37" s="47">
        <f t="shared" si="2"/>
        <v>0</v>
      </c>
      <c r="E37" s="47">
        <f t="shared" si="3"/>
        <v>0</v>
      </c>
      <c r="F37" s="47">
        <f t="shared" si="4"/>
        <v>0</v>
      </c>
      <c r="G37" s="47">
        <f t="shared" si="5"/>
        <v>0</v>
      </c>
      <c r="H37" s="47">
        <f t="shared" si="6"/>
        <v>0</v>
      </c>
      <c r="I37" s="47">
        <f t="shared" si="7"/>
        <v>0</v>
      </c>
      <c r="J37" s="47">
        <f t="shared" si="8"/>
        <v>0</v>
      </c>
      <c r="K37" s="63">
        <f t="shared" si="9"/>
        <v>0</v>
      </c>
      <c r="L37" s="55">
        <f t="shared" si="10"/>
        <v>0</v>
      </c>
      <c r="N37" s="33">
        <v>18</v>
      </c>
      <c r="O37" s="28"/>
      <c r="P37" s="88"/>
      <c r="Q37" s="88"/>
      <c r="R37" s="37"/>
      <c r="S37" s="20"/>
      <c r="T37" s="3"/>
      <c r="U37" s="3"/>
      <c r="V37" s="3"/>
      <c r="W37" s="3"/>
      <c r="X37" s="10"/>
      <c r="Y37" s="17"/>
      <c r="Z37" s="2"/>
      <c r="AA37" s="2"/>
      <c r="AB37" s="2"/>
      <c r="AC37" s="3"/>
      <c r="AD37" s="37"/>
      <c r="AE37" s="9"/>
      <c r="AF37" s="2"/>
      <c r="AG37" s="2"/>
      <c r="AH37" s="2"/>
      <c r="AI37" s="3"/>
      <c r="AJ37" s="10"/>
      <c r="AK37" s="28"/>
      <c r="AL37" s="3"/>
      <c r="AM37" s="3"/>
      <c r="AN37" s="10"/>
      <c r="AO37" s="28"/>
      <c r="AP37" s="28"/>
      <c r="AQ37" s="3"/>
      <c r="AR37" s="10"/>
      <c r="AS37" s="20"/>
      <c r="AT37" s="28"/>
      <c r="AU37" s="3"/>
      <c r="AV37" s="10"/>
      <c r="AW37" s="20"/>
      <c r="AX37" s="28"/>
      <c r="AY37" s="3"/>
      <c r="AZ37" s="10"/>
      <c r="BA37" s="20"/>
      <c r="BB37" s="28"/>
      <c r="BC37" s="3"/>
      <c r="BD37" s="10"/>
      <c r="BE37" s="23"/>
      <c r="BF37" s="28"/>
      <c r="BG37" s="3"/>
      <c r="BH37" s="10"/>
      <c r="BI37" s="20"/>
      <c r="BJ37" s="28"/>
      <c r="BK37" s="3"/>
      <c r="BL37" s="10"/>
    </row>
    <row r="38" spans="2:64" x14ac:dyDescent="0.3">
      <c r="B38" s="62">
        <f t="shared" si="0"/>
        <v>0</v>
      </c>
      <c r="C38" s="47">
        <f t="shared" si="1"/>
        <v>0</v>
      </c>
      <c r="D38" s="47">
        <f t="shared" si="2"/>
        <v>0</v>
      </c>
      <c r="E38" s="47">
        <f t="shared" si="3"/>
        <v>0</v>
      </c>
      <c r="F38" s="47">
        <f t="shared" si="4"/>
        <v>0</v>
      </c>
      <c r="G38" s="47">
        <f t="shared" si="5"/>
        <v>0</v>
      </c>
      <c r="H38" s="47">
        <f t="shared" si="6"/>
        <v>0</v>
      </c>
      <c r="I38" s="47">
        <f t="shared" si="7"/>
        <v>0</v>
      </c>
      <c r="J38" s="47">
        <f t="shared" si="8"/>
        <v>0</v>
      </c>
      <c r="K38" s="63">
        <f t="shared" si="9"/>
        <v>0</v>
      </c>
      <c r="L38" s="55">
        <f t="shared" si="10"/>
        <v>0</v>
      </c>
      <c r="N38" s="33">
        <v>19</v>
      </c>
      <c r="O38" s="28"/>
      <c r="P38" s="88"/>
      <c r="Q38" s="88"/>
      <c r="R38" s="37"/>
      <c r="S38" s="20"/>
      <c r="T38" s="3"/>
      <c r="U38" s="3"/>
      <c r="V38" s="3"/>
      <c r="W38" s="3"/>
      <c r="X38" s="10"/>
      <c r="Y38" s="17"/>
      <c r="Z38" s="2"/>
      <c r="AA38" s="2"/>
      <c r="AB38" s="2"/>
      <c r="AC38" s="3"/>
      <c r="AD38" s="37"/>
      <c r="AE38" s="9"/>
      <c r="AF38" s="2"/>
      <c r="AG38" s="2"/>
      <c r="AH38" s="2"/>
      <c r="AI38" s="3"/>
      <c r="AJ38" s="10"/>
      <c r="AK38" s="28"/>
      <c r="AL38" s="3"/>
      <c r="AM38" s="3"/>
      <c r="AN38" s="10"/>
      <c r="AO38" s="28"/>
      <c r="AP38" s="28"/>
      <c r="AQ38" s="3"/>
      <c r="AR38" s="10"/>
      <c r="AS38" s="20"/>
      <c r="AT38" s="28"/>
      <c r="AU38" s="3"/>
      <c r="AV38" s="10"/>
      <c r="AW38" s="20"/>
      <c r="AX38" s="28"/>
      <c r="AY38" s="3"/>
      <c r="AZ38" s="10"/>
      <c r="BA38" s="20"/>
      <c r="BB38" s="28"/>
      <c r="BC38" s="3"/>
      <c r="BD38" s="10"/>
      <c r="BE38" s="23"/>
      <c r="BF38" s="28"/>
      <c r="BG38" s="3"/>
      <c r="BH38" s="10"/>
      <c r="BI38" s="20"/>
      <c r="BJ38" s="28"/>
      <c r="BK38" s="3"/>
      <c r="BL38" s="10"/>
    </row>
    <row r="39" spans="2:64" x14ac:dyDescent="0.3">
      <c r="B39" s="62">
        <f t="shared" si="0"/>
        <v>0</v>
      </c>
      <c r="C39" s="47">
        <f t="shared" si="1"/>
        <v>0</v>
      </c>
      <c r="D39" s="47">
        <f t="shared" si="2"/>
        <v>0</v>
      </c>
      <c r="E39" s="47">
        <f t="shared" si="3"/>
        <v>0</v>
      </c>
      <c r="F39" s="47">
        <f t="shared" si="4"/>
        <v>0</v>
      </c>
      <c r="G39" s="47">
        <f t="shared" si="5"/>
        <v>0</v>
      </c>
      <c r="H39" s="47">
        <f t="shared" si="6"/>
        <v>0</v>
      </c>
      <c r="I39" s="47">
        <f t="shared" si="7"/>
        <v>0</v>
      </c>
      <c r="J39" s="47">
        <f t="shared" si="8"/>
        <v>0</v>
      </c>
      <c r="K39" s="63">
        <f t="shared" si="9"/>
        <v>0</v>
      </c>
      <c r="L39" s="55">
        <f t="shared" si="10"/>
        <v>0</v>
      </c>
      <c r="N39" s="33">
        <v>20</v>
      </c>
      <c r="O39" s="28"/>
      <c r="P39" s="88"/>
      <c r="Q39" s="88"/>
      <c r="R39" s="37"/>
      <c r="S39" s="20"/>
      <c r="T39" s="3"/>
      <c r="U39" s="3"/>
      <c r="V39" s="3"/>
      <c r="W39" s="3"/>
      <c r="X39" s="10"/>
      <c r="Y39" s="17"/>
      <c r="Z39" s="2"/>
      <c r="AA39" s="2"/>
      <c r="AB39" s="2"/>
      <c r="AC39" s="3"/>
      <c r="AD39" s="37"/>
      <c r="AE39" s="9"/>
      <c r="AF39" s="2"/>
      <c r="AG39" s="2"/>
      <c r="AH39" s="2"/>
      <c r="AI39" s="3"/>
      <c r="AJ39" s="10"/>
      <c r="AK39" s="28"/>
      <c r="AL39" s="3"/>
      <c r="AM39" s="3"/>
      <c r="AN39" s="10"/>
      <c r="AO39" s="28"/>
      <c r="AP39" s="28"/>
      <c r="AQ39" s="3"/>
      <c r="AR39" s="10"/>
      <c r="AS39" s="20"/>
      <c r="AT39" s="28"/>
      <c r="AU39" s="3"/>
      <c r="AV39" s="10"/>
      <c r="AW39" s="20"/>
      <c r="AX39" s="28"/>
      <c r="AY39" s="3"/>
      <c r="AZ39" s="10"/>
      <c r="BA39" s="20"/>
      <c r="BB39" s="28"/>
      <c r="BC39" s="3"/>
      <c r="BD39" s="10"/>
      <c r="BE39" s="23"/>
      <c r="BF39" s="28"/>
      <c r="BG39" s="3"/>
      <c r="BH39" s="10"/>
      <c r="BI39" s="20"/>
      <c r="BJ39" s="28"/>
      <c r="BK39" s="3"/>
      <c r="BL39" s="10"/>
    </row>
    <row r="40" spans="2:64" x14ac:dyDescent="0.3">
      <c r="B40" s="62">
        <f t="shared" si="0"/>
        <v>0</v>
      </c>
      <c r="C40" s="47">
        <f t="shared" si="1"/>
        <v>0</v>
      </c>
      <c r="D40" s="47">
        <f t="shared" si="2"/>
        <v>0</v>
      </c>
      <c r="E40" s="47">
        <f t="shared" si="3"/>
        <v>0</v>
      </c>
      <c r="F40" s="47">
        <f t="shared" si="4"/>
        <v>0</v>
      </c>
      <c r="G40" s="47">
        <f t="shared" si="5"/>
        <v>0</v>
      </c>
      <c r="H40" s="47">
        <f t="shared" si="6"/>
        <v>0</v>
      </c>
      <c r="I40" s="47">
        <f t="shared" si="7"/>
        <v>0</v>
      </c>
      <c r="J40" s="47">
        <f t="shared" si="8"/>
        <v>0</v>
      </c>
      <c r="K40" s="63">
        <f t="shared" si="9"/>
        <v>0</v>
      </c>
      <c r="L40" s="55">
        <f t="shared" si="10"/>
        <v>0</v>
      </c>
      <c r="N40" s="33">
        <v>21</v>
      </c>
      <c r="O40" s="28"/>
      <c r="P40" s="88"/>
      <c r="Q40" s="88"/>
      <c r="R40" s="37"/>
      <c r="S40" s="20"/>
      <c r="T40" s="3"/>
      <c r="U40" s="3"/>
      <c r="V40" s="3"/>
      <c r="W40" s="3"/>
      <c r="X40" s="10"/>
      <c r="Y40" s="17"/>
      <c r="Z40" s="2"/>
      <c r="AA40" s="2"/>
      <c r="AB40" s="2"/>
      <c r="AC40" s="3"/>
      <c r="AD40" s="37"/>
      <c r="AE40" s="9"/>
      <c r="AF40" s="2"/>
      <c r="AG40" s="2"/>
      <c r="AH40" s="2"/>
      <c r="AI40" s="3"/>
      <c r="AJ40" s="10"/>
      <c r="AK40" s="28"/>
      <c r="AL40" s="3"/>
      <c r="AM40" s="3"/>
      <c r="AN40" s="10"/>
      <c r="AO40" s="28"/>
      <c r="AP40" s="28"/>
      <c r="AQ40" s="3"/>
      <c r="AR40" s="10"/>
      <c r="AS40" s="20"/>
      <c r="AT40" s="28"/>
      <c r="AU40" s="3"/>
      <c r="AV40" s="10"/>
      <c r="AW40" s="20"/>
      <c r="AX40" s="28"/>
      <c r="AY40" s="3"/>
      <c r="AZ40" s="10"/>
      <c r="BA40" s="20"/>
      <c r="BB40" s="28"/>
      <c r="BC40" s="3"/>
      <c r="BD40" s="10"/>
      <c r="BE40" s="23"/>
      <c r="BF40" s="28"/>
      <c r="BG40" s="3"/>
      <c r="BH40" s="10"/>
      <c r="BI40" s="20"/>
      <c r="BJ40" s="28"/>
      <c r="BK40" s="3"/>
      <c r="BL40" s="10"/>
    </row>
    <row r="41" spans="2:64" x14ac:dyDescent="0.3">
      <c r="B41" s="62">
        <f t="shared" si="0"/>
        <v>0</v>
      </c>
      <c r="C41" s="47">
        <f t="shared" si="1"/>
        <v>0</v>
      </c>
      <c r="D41" s="47">
        <f t="shared" si="2"/>
        <v>0</v>
      </c>
      <c r="E41" s="47">
        <f t="shared" si="3"/>
        <v>0</v>
      </c>
      <c r="F41" s="47">
        <f t="shared" si="4"/>
        <v>0</v>
      </c>
      <c r="G41" s="47">
        <f t="shared" si="5"/>
        <v>0</v>
      </c>
      <c r="H41" s="47">
        <f t="shared" si="6"/>
        <v>0</v>
      </c>
      <c r="I41" s="47">
        <f t="shared" si="7"/>
        <v>0</v>
      </c>
      <c r="J41" s="47">
        <f t="shared" si="8"/>
        <v>0</v>
      </c>
      <c r="K41" s="63">
        <f t="shared" si="9"/>
        <v>0</v>
      </c>
      <c r="L41" s="55">
        <f t="shared" si="10"/>
        <v>0</v>
      </c>
      <c r="N41" s="33">
        <v>22</v>
      </c>
      <c r="O41" s="28"/>
      <c r="P41" s="88"/>
      <c r="Q41" s="88"/>
      <c r="R41" s="37"/>
      <c r="S41" s="20"/>
      <c r="T41" s="3"/>
      <c r="U41" s="3"/>
      <c r="V41" s="3"/>
      <c r="W41" s="3"/>
      <c r="X41" s="10"/>
      <c r="Y41" s="17"/>
      <c r="Z41" s="2"/>
      <c r="AA41" s="2"/>
      <c r="AB41" s="2"/>
      <c r="AC41" s="3"/>
      <c r="AD41" s="37"/>
      <c r="AE41" s="9"/>
      <c r="AF41" s="2"/>
      <c r="AG41" s="2"/>
      <c r="AH41" s="2"/>
      <c r="AI41" s="3"/>
      <c r="AJ41" s="10"/>
      <c r="AK41" s="28"/>
      <c r="AL41" s="3"/>
      <c r="AM41" s="3"/>
      <c r="AN41" s="10"/>
      <c r="AO41" s="28"/>
      <c r="AP41" s="28"/>
      <c r="AQ41" s="3"/>
      <c r="AR41" s="10"/>
      <c r="AS41" s="20"/>
      <c r="AT41" s="28"/>
      <c r="AU41" s="3"/>
      <c r="AV41" s="10"/>
      <c r="AW41" s="20"/>
      <c r="AX41" s="28"/>
      <c r="AY41" s="3"/>
      <c r="AZ41" s="10"/>
      <c r="BA41" s="20"/>
      <c r="BB41" s="28"/>
      <c r="BC41" s="3"/>
      <c r="BD41" s="10"/>
      <c r="BE41" s="23"/>
      <c r="BF41" s="28"/>
      <c r="BG41" s="3"/>
      <c r="BH41" s="10"/>
      <c r="BI41" s="20"/>
      <c r="BJ41" s="28"/>
      <c r="BK41" s="3"/>
      <c r="BL41" s="10"/>
    </row>
    <row r="42" spans="2:64" x14ac:dyDescent="0.3">
      <c r="B42" s="62">
        <f t="shared" si="0"/>
        <v>0</v>
      </c>
      <c r="C42" s="47">
        <f t="shared" si="1"/>
        <v>0</v>
      </c>
      <c r="D42" s="47">
        <f t="shared" si="2"/>
        <v>0</v>
      </c>
      <c r="E42" s="47">
        <f t="shared" si="3"/>
        <v>0</v>
      </c>
      <c r="F42" s="47">
        <f t="shared" si="4"/>
        <v>0</v>
      </c>
      <c r="G42" s="47">
        <f t="shared" si="5"/>
        <v>0</v>
      </c>
      <c r="H42" s="47">
        <f t="shared" si="6"/>
        <v>0</v>
      </c>
      <c r="I42" s="47">
        <f t="shared" si="7"/>
        <v>0</v>
      </c>
      <c r="J42" s="47">
        <f t="shared" si="8"/>
        <v>0</v>
      </c>
      <c r="K42" s="63">
        <f t="shared" si="9"/>
        <v>0</v>
      </c>
      <c r="L42" s="55">
        <f t="shared" si="10"/>
        <v>0</v>
      </c>
      <c r="N42" s="33">
        <v>23</v>
      </c>
      <c r="O42" s="28"/>
      <c r="P42" s="88"/>
      <c r="Q42" s="88"/>
      <c r="R42" s="37"/>
      <c r="S42" s="20"/>
      <c r="T42" s="3"/>
      <c r="U42" s="3"/>
      <c r="V42" s="3"/>
      <c r="W42" s="3"/>
      <c r="X42" s="10"/>
      <c r="Y42" s="17"/>
      <c r="Z42" s="2"/>
      <c r="AA42" s="2"/>
      <c r="AB42" s="2"/>
      <c r="AC42" s="3"/>
      <c r="AD42" s="37"/>
      <c r="AE42" s="9"/>
      <c r="AF42" s="2"/>
      <c r="AG42" s="2"/>
      <c r="AH42" s="2"/>
      <c r="AI42" s="3"/>
      <c r="AJ42" s="10"/>
      <c r="AK42" s="28"/>
      <c r="AL42" s="3"/>
      <c r="AM42" s="3"/>
      <c r="AN42" s="10"/>
      <c r="AO42" s="28"/>
      <c r="AP42" s="28"/>
      <c r="AQ42" s="3"/>
      <c r="AR42" s="10"/>
      <c r="AS42" s="20"/>
      <c r="AT42" s="28"/>
      <c r="AU42" s="3"/>
      <c r="AV42" s="10"/>
      <c r="AW42" s="20"/>
      <c r="AX42" s="28"/>
      <c r="AY42" s="3"/>
      <c r="AZ42" s="10"/>
      <c r="BA42" s="20"/>
      <c r="BB42" s="28"/>
      <c r="BC42" s="3"/>
      <c r="BD42" s="10"/>
      <c r="BE42" s="23"/>
      <c r="BF42" s="28"/>
      <c r="BG42" s="3"/>
      <c r="BH42" s="10"/>
      <c r="BI42" s="20"/>
      <c r="BJ42" s="28"/>
      <c r="BK42" s="3"/>
      <c r="BL42" s="10"/>
    </row>
    <row r="43" spans="2:64" x14ac:dyDescent="0.3">
      <c r="B43" s="62">
        <f t="shared" si="0"/>
        <v>0</v>
      </c>
      <c r="C43" s="47">
        <f t="shared" si="1"/>
        <v>0</v>
      </c>
      <c r="D43" s="47">
        <f t="shared" si="2"/>
        <v>0</v>
      </c>
      <c r="E43" s="47">
        <f t="shared" si="3"/>
        <v>0</v>
      </c>
      <c r="F43" s="47">
        <f t="shared" si="4"/>
        <v>0</v>
      </c>
      <c r="G43" s="47">
        <f t="shared" si="5"/>
        <v>0</v>
      </c>
      <c r="H43" s="47">
        <f t="shared" si="6"/>
        <v>0</v>
      </c>
      <c r="I43" s="47">
        <f t="shared" si="7"/>
        <v>0</v>
      </c>
      <c r="J43" s="47">
        <f t="shared" si="8"/>
        <v>0</v>
      </c>
      <c r="K43" s="63">
        <f t="shared" si="9"/>
        <v>0</v>
      </c>
      <c r="L43" s="55">
        <f t="shared" si="10"/>
        <v>0</v>
      </c>
      <c r="N43" s="33">
        <v>24</v>
      </c>
      <c r="O43" s="28"/>
      <c r="P43" s="88"/>
      <c r="Q43" s="88"/>
      <c r="R43" s="37"/>
      <c r="S43" s="20"/>
      <c r="T43" s="3"/>
      <c r="U43" s="3"/>
      <c r="V43" s="3"/>
      <c r="W43" s="3"/>
      <c r="X43" s="10"/>
      <c r="Y43" s="17"/>
      <c r="Z43" s="2"/>
      <c r="AA43" s="2"/>
      <c r="AB43" s="2"/>
      <c r="AC43" s="3"/>
      <c r="AD43" s="37"/>
      <c r="AE43" s="9"/>
      <c r="AF43" s="2"/>
      <c r="AG43" s="2"/>
      <c r="AH43" s="2"/>
      <c r="AI43" s="3"/>
      <c r="AJ43" s="10"/>
      <c r="AK43" s="28"/>
      <c r="AL43" s="3"/>
      <c r="AM43" s="3"/>
      <c r="AN43" s="10"/>
      <c r="AO43" s="28"/>
      <c r="AP43" s="28"/>
      <c r="AQ43" s="3"/>
      <c r="AR43" s="10"/>
      <c r="AS43" s="20"/>
      <c r="AT43" s="28"/>
      <c r="AU43" s="3"/>
      <c r="AV43" s="10"/>
      <c r="AW43" s="20"/>
      <c r="AX43" s="28"/>
      <c r="AY43" s="3"/>
      <c r="AZ43" s="10"/>
      <c r="BA43" s="20"/>
      <c r="BB43" s="28"/>
      <c r="BC43" s="3"/>
      <c r="BD43" s="10"/>
      <c r="BE43" s="23"/>
      <c r="BF43" s="28"/>
      <c r="BG43" s="3"/>
      <c r="BH43" s="10"/>
      <c r="BI43" s="20"/>
      <c r="BJ43" s="28"/>
      <c r="BK43" s="3"/>
      <c r="BL43" s="10"/>
    </row>
    <row r="44" spans="2:64" x14ac:dyDescent="0.3">
      <c r="B44" s="62">
        <f t="shared" si="0"/>
        <v>0</v>
      </c>
      <c r="C44" s="47">
        <f t="shared" si="1"/>
        <v>0</v>
      </c>
      <c r="D44" s="47">
        <f t="shared" si="2"/>
        <v>0</v>
      </c>
      <c r="E44" s="47">
        <f t="shared" si="3"/>
        <v>0</v>
      </c>
      <c r="F44" s="47">
        <f t="shared" si="4"/>
        <v>0</v>
      </c>
      <c r="G44" s="47">
        <f t="shared" si="5"/>
        <v>0</v>
      </c>
      <c r="H44" s="47">
        <f t="shared" si="6"/>
        <v>0</v>
      </c>
      <c r="I44" s="47">
        <f t="shared" si="7"/>
        <v>0</v>
      </c>
      <c r="J44" s="47">
        <f t="shared" si="8"/>
        <v>0</v>
      </c>
      <c r="K44" s="63">
        <f t="shared" si="9"/>
        <v>0</v>
      </c>
      <c r="L44" s="55">
        <f t="shared" si="10"/>
        <v>0</v>
      </c>
      <c r="N44" s="33">
        <v>25</v>
      </c>
      <c r="O44" s="28"/>
      <c r="P44" s="88"/>
      <c r="Q44" s="88"/>
      <c r="R44" s="37"/>
      <c r="S44" s="20"/>
      <c r="T44" s="3"/>
      <c r="U44" s="3"/>
      <c r="V44" s="3"/>
      <c r="W44" s="3"/>
      <c r="X44" s="10"/>
      <c r="Y44" s="17"/>
      <c r="Z44" s="2"/>
      <c r="AA44" s="2"/>
      <c r="AB44" s="2"/>
      <c r="AC44" s="3"/>
      <c r="AD44" s="37"/>
      <c r="AE44" s="9"/>
      <c r="AF44" s="2"/>
      <c r="AG44" s="2"/>
      <c r="AH44" s="2"/>
      <c r="AI44" s="3"/>
      <c r="AJ44" s="10"/>
      <c r="AK44" s="28"/>
      <c r="AL44" s="3"/>
      <c r="AM44" s="3"/>
      <c r="AN44" s="10"/>
      <c r="AO44" s="28"/>
      <c r="AP44" s="28"/>
      <c r="AQ44" s="3"/>
      <c r="AR44" s="10"/>
      <c r="AS44" s="20"/>
      <c r="AT44" s="28"/>
      <c r="AU44" s="3"/>
      <c r="AV44" s="10"/>
      <c r="AW44" s="20"/>
      <c r="AX44" s="28"/>
      <c r="AY44" s="3"/>
      <c r="AZ44" s="10"/>
      <c r="BA44" s="20"/>
      <c r="BB44" s="28"/>
      <c r="BC44" s="3"/>
      <c r="BD44" s="10"/>
      <c r="BE44" s="23"/>
      <c r="BF44" s="28"/>
      <c r="BG44" s="3"/>
      <c r="BH44" s="10"/>
      <c r="BI44" s="20"/>
      <c r="BJ44" s="28"/>
      <c r="BK44" s="3"/>
      <c r="BL44" s="10"/>
    </row>
    <row r="45" spans="2:64" x14ac:dyDescent="0.3">
      <c r="B45" s="62">
        <f t="shared" si="0"/>
        <v>0</v>
      </c>
      <c r="C45" s="47">
        <f t="shared" si="1"/>
        <v>0</v>
      </c>
      <c r="D45" s="47">
        <f t="shared" si="2"/>
        <v>0</v>
      </c>
      <c r="E45" s="47">
        <f t="shared" si="3"/>
        <v>0</v>
      </c>
      <c r="F45" s="47">
        <f t="shared" si="4"/>
        <v>0</v>
      </c>
      <c r="G45" s="47">
        <f t="shared" si="5"/>
        <v>0</v>
      </c>
      <c r="H45" s="47">
        <f t="shared" si="6"/>
        <v>0</v>
      </c>
      <c r="I45" s="47">
        <f t="shared" si="7"/>
        <v>0</v>
      </c>
      <c r="J45" s="47">
        <f t="shared" si="8"/>
        <v>0</v>
      </c>
      <c r="K45" s="63">
        <f t="shared" si="9"/>
        <v>0</v>
      </c>
      <c r="L45" s="55">
        <f t="shared" si="10"/>
        <v>0</v>
      </c>
      <c r="N45" s="33">
        <v>26</v>
      </c>
      <c r="O45" s="28"/>
      <c r="P45" s="88"/>
      <c r="Q45" s="88"/>
      <c r="R45" s="37"/>
      <c r="S45" s="20"/>
      <c r="T45" s="3"/>
      <c r="U45" s="3"/>
      <c r="V45" s="3"/>
      <c r="W45" s="3"/>
      <c r="X45" s="10"/>
      <c r="Y45" s="17"/>
      <c r="Z45" s="2"/>
      <c r="AA45" s="2"/>
      <c r="AB45" s="2"/>
      <c r="AC45" s="3"/>
      <c r="AD45" s="37"/>
      <c r="AE45" s="9"/>
      <c r="AF45" s="2"/>
      <c r="AG45" s="2"/>
      <c r="AH45" s="2"/>
      <c r="AI45" s="3"/>
      <c r="AJ45" s="10"/>
      <c r="AK45" s="28"/>
      <c r="AL45" s="3"/>
      <c r="AM45" s="3"/>
      <c r="AN45" s="10"/>
      <c r="AO45" s="28"/>
      <c r="AP45" s="28"/>
      <c r="AQ45" s="3"/>
      <c r="AR45" s="10"/>
      <c r="AS45" s="20"/>
      <c r="AT45" s="28"/>
      <c r="AU45" s="3"/>
      <c r="AV45" s="10"/>
      <c r="AW45" s="20"/>
      <c r="AX45" s="28"/>
      <c r="AY45" s="3"/>
      <c r="AZ45" s="10"/>
      <c r="BA45" s="20"/>
      <c r="BB45" s="28"/>
      <c r="BC45" s="3"/>
      <c r="BD45" s="10"/>
      <c r="BE45" s="23"/>
      <c r="BF45" s="28"/>
      <c r="BG45" s="3"/>
      <c r="BH45" s="10"/>
      <c r="BI45" s="20"/>
      <c r="BJ45" s="28"/>
      <c r="BK45" s="3"/>
      <c r="BL45" s="10"/>
    </row>
    <row r="46" spans="2:64" x14ac:dyDescent="0.3">
      <c r="B46" s="62">
        <f t="shared" si="0"/>
        <v>0</v>
      </c>
      <c r="C46" s="47">
        <f t="shared" si="1"/>
        <v>0</v>
      </c>
      <c r="D46" s="47">
        <f t="shared" si="2"/>
        <v>0</v>
      </c>
      <c r="E46" s="47">
        <f t="shared" si="3"/>
        <v>0</v>
      </c>
      <c r="F46" s="47">
        <f t="shared" si="4"/>
        <v>0</v>
      </c>
      <c r="G46" s="47">
        <f t="shared" si="5"/>
        <v>0</v>
      </c>
      <c r="H46" s="47">
        <f t="shared" si="6"/>
        <v>0</v>
      </c>
      <c r="I46" s="47">
        <f t="shared" si="7"/>
        <v>0</v>
      </c>
      <c r="J46" s="47">
        <f t="shared" si="8"/>
        <v>0</v>
      </c>
      <c r="K46" s="63">
        <f t="shared" si="9"/>
        <v>0</v>
      </c>
      <c r="L46" s="55">
        <f t="shared" si="10"/>
        <v>0</v>
      </c>
      <c r="N46" s="33">
        <v>27</v>
      </c>
      <c r="O46" s="28"/>
      <c r="P46" s="88"/>
      <c r="Q46" s="88"/>
      <c r="R46" s="37"/>
      <c r="S46" s="20"/>
      <c r="T46" s="3"/>
      <c r="U46" s="3"/>
      <c r="V46" s="3"/>
      <c r="W46" s="3"/>
      <c r="X46" s="10"/>
      <c r="Y46" s="17"/>
      <c r="Z46" s="2"/>
      <c r="AA46" s="2"/>
      <c r="AB46" s="2"/>
      <c r="AC46" s="3"/>
      <c r="AD46" s="37"/>
      <c r="AE46" s="9"/>
      <c r="AF46" s="2"/>
      <c r="AG46" s="2"/>
      <c r="AH46" s="2"/>
      <c r="AI46" s="3"/>
      <c r="AJ46" s="10"/>
      <c r="AK46" s="28"/>
      <c r="AL46" s="3"/>
      <c r="AM46" s="3"/>
      <c r="AN46" s="10"/>
      <c r="AO46" s="28"/>
      <c r="AP46" s="28"/>
      <c r="AQ46" s="3"/>
      <c r="AR46" s="10"/>
      <c r="AS46" s="20"/>
      <c r="AT46" s="28"/>
      <c r="AU46" s="3"/>
      <c r="AV46" s="10"/>
      <c r="AW46" s="20"/>
      <c r="AX46" s="28"/>
      <c r="AY46" s="3"/>
      <c r="AZ46" s="10"/>
      <c r="BA46" s="20"/>
      <c r="BB46" s="28"/>
      <c r="BC46" s="3"/>
      <c r="BD46" s="10"/>
      <c r="BE46" s="23"/>
      <c r="BF46" s="28"/>
      <c r="BG46" s="3"/>
      <c r="BH46" s="10"/>
      <c r="BI46" s="20"/>
      <c r="BJ46" s="28"/>
      <c r="BK46" s="3"/>
      <c r="BL46" s="10"/>
    </row>
    <row r="47" spans="2:64" x14ac:dyDescent="0.3">
      <c r="B47" s="62">
        <f t="shared" si="0"/>
        <v>0</v>
      </c>
      <c r="C47" s="47">
        <f t="shared" si="1"/>
        <v>0</v>
      </c>
      <c r="D47" s="47">
        <f t="shared" si="2"/>
        <v>0</v>
      </c>
      <c r="E47" s="47">
        <f t="shared" si="3"/>
        <v>0</v>
      </c>
      <c r="F47" s="47">
        <f t="shared" si="4"/>
        <v>0</v>
      </c>
      <c r="G47" s="47">
        <f t="shared" si="5"/>
        <v>0</v>
      </c>
      <c r="H47" s="47">
        <f t="shared" si="6"/>
        <v>0</v>
      </c>
      <c r="I47" s="47">
        <f t="shared" si="7"/>
        <v>0</v>
      </c>
      <c r="J47" s="47">
        <f t="shared" si="8"/>
        <v>0</v>
      </c>
      <c r="K47" s="63">
        <f t="shared" si="9"/>
        <v>0</v>
      </c>
      <c r="L47" s="55">
        <f t="shared" si="10"/>
        <v>0</v>
      </c>
      <c r="N47" s="33">
        <v>28</v>
      </c>
      <c r="O47" s="28"/>
      <c r="P47" s="88"/>
      <c r="Q47" s="88"/>
      <c r="R47" s="37"/>
      <c r="S47" s="20"/>
      <c r="T47" s="3"/>
      <c r="U47" s="3"/>
      <c r="V47" s="3"/>
      <c r="W47" s="3"/>
      <c r="X47" s="10"/>
      <c r="Y47" s="17"/>
      <c r="Z47" s="2"/>
      <c r="AA47" s="2"/>
      <c r="AB47" s="2"/>
      <c r="AC47" s="3"/>
      <c r="AD47" s="37"/>
      <c r="AE47" s="9"/>
      <c r="AF47" s="2"/>
      <c r="AG47" s="2"/>
      <c r="AH47" s="2"/>
      <c r="AI47" s="3"/>
      <c r="AJ47" s="10"/>
      <c r="AK47" s="28"/>
      <c r="AL47" s="3"/>
      <c r="AM47" s="3"/>
      <c r="AN47" s="10"/>
      <c r="AO47" s="28"/>
      <c r="AP47" s="28"/>
      <c r="AQ47" s="3"/>
      <c r="AR47" s="10"/>
      <c r="AS47" s="20"/>
      <c r="AT47" s="28"/>
      <c r="AU47" s="3"/>
      <c r="AV47" s="10"/>
      <c r="AW47" s="20"/>
      <c r="AX47" s="28"/>
      <c r="AY47" s="3"/>
      <c r="AZ47" s="10"/>
      <c r="BA47" s="20"/>
      <c r="BB47" s="28"/>
      <c r="BC47" s="3"/>
      <c r="BD47" s="10"/>
      <c r="BE47" s="23"/>
      <c r="BF47" s="28"/>
      <c r="BG47" s="3"/>
      <c r="BH47" s="10"/>
      <c r="BI47" s="20"/>
      <c r="BJ47" s="28"/>
      <c r="BK47" s="3"/>
      <c r="BL47" s="10"/>
    </row>
    <row r="48" spans="2:64" x14ac:dyDescent="0.3">
      <c r="B48" s="62">
        <f t="shared" si="0"/>
        <v>0</v>
      </c>
      <c r="C48" s="47">
        <f t="shared" si="1"/>
        <v>0</v>
      </c>
      <c r="D48" s="47">
        <f t="shared" si="2"/>
        <v>0</v>
      </c>
      <c r="E48" s="47">
        <f t="shared" si="3"/>
        <v>0</v>
      </c>
      <c r="F48" s="47">
        <f t="shared" si="4"/>
        <v>0</v>
      </c>
      <c r="G48" s="47">
        <f t="shared" si="5"/>
        <v>0</v>
      </c>
      <c r="H48" s="47">
        <f t="shared" si="6"/>
        <v>0</v>
      </c>
      <c r="I48" s="47">
        <f t="shared" si="7"/>
        <v>0</v>
      </c>
      <c r="J48" s="47">
        <f t="shared" si="8"/>
        <v>0</v>
      </c>
      <c r="K48" s="63">
        <f t="shared" si="9"/>
        <v>0</v>
      </c>
      <c r="L48" s="55">
        <f t="shared" si="10"/>
        <v>0</v>
      </c>
      <c r="N48" s="33">
        <v>29</v>
      </c>
      <c r="O48" s="28"/>
      <c r="P48" s="88"/>
      <c r="Q48" s="88"/>
      <c r="R48" s="37"/>
      <c r="S48" s="20"/>
      <c r="T48" s="3"/>
      <c r="U48" s="3"/>
      <c r="V48" s="3"/>
      <c r="W48" s="3"/>
      <c r="X48" s="10"/>
      <c r="Y48" s="17"/>
      <c r="Z48" s="2"/>
      <c r="AA48" s="2"/>
      <c r="AB48" s="2"/>
      <c r="AC48" s="3"/>
      <c r="AD48" s="37"/>
      <c r="AE48" s="9"/>
      <c r="AF48" s="2"/>
      <c r="AG48" s="2"/>
      <c r="AH48" s="2"/>
      <c r="AI48" s="3"/>
      <c r="AJ48" s="10"/>
      <c r="AK48" s="28"/>
      <c r="AL48" s="3"/>
      <c r="AM48" s="3"/>
      <c r="AN48" s="10"/>
      <c r="AO48" s="28"/>
      <c r="AP48" s="28"/>
      <c r="AQ48" s="3"/>
      <c r="AR48" s="10"/>
      <c r="AS48" s="20"/>
      <c r="AT48" s="28"/>
      <c r="AU48" s="3"/>
      <c r="AV48" s="10"/>
      <c r="AW48" s="20"/>
      <c r="AX48" s="28"/>
      <c r="AY48" s="3"/>
      <c r="AZ48" s="10"/>
      <c r="BA48" s="20"/>
      <c r="BB48" s="28"/>
      <c r="BC48" s="3"/>
      <c r="BD48" s="10"/>
      <c r="BE48" s="23"/>
      <c r="BF48" s="28"/>
      <c r="BG48" s="3"/>
      <c r="BH48" s="10"/>
      <c r="BI48" s="20"/>
      <c r="BJ48" s="28"/>
      <c r="BK48" s="3"/>
      <c r="BL48" s="10"/>
    </row>
    <row r="49" spans="2:64" x14ac:dyDescent="0.3">
      <c r="B49" s="62">
        <f t="shared" si="0"/>
        <v>0</v>
      </c>
      <c r="C49" s="47">
        <f t="shared" si="1"/>
        <v>0</v>
      </c>
      <c r="D49" s="47">
        <f t="shared" si="2"/>
        <v>0</v>
      </c>
      <c r="E49" s="47">
        <f t="shared" si="3"/>
        <v>0</v>
      </c>
      <c r="F49" s="47">
        <f t="shared" si="4"/>
        <v>0</v>
      </c>
      <c r="G49" s="47">
        <f t="shared" si="5"/>
        <v>0</v>
      </c>
      <c r="H49" s="47">
        <f t="shared" si="6"/>
        <v>0</v>
      </c>
      <c r="I49" s="47">
        <f t="shared" si="7"/>
        <v>0</v>
      </c>
      <c r="J49" s="47">
        <f t="shared" si="8"/>
        <v>0</v>
      </c>
      <c r="K49" s="63">
        <f t="shared" si="9"/>
        <v>0</v>
      </c>
      <c r="L49" s="55">
        <f t="shared" si="10"/>
        <v>0</v>
      </c>
      <c r="N49" s="33">
        <v>30</v>
      </c>
      <c r="O49" s="28"/>
      <c r="P49" s="88"/>
      <c r="Q49" s="88"/>
      <c r="R49" s="37"/>
      <c r="S49" s="20"/>
      <c r="T49" s="3"/>
      <c r="U49" s="3"/>
      <c r="V49" s="3"/>
      <c r="W49" s="3"/>
      <c r="X49" s="10"/>
      <c r="Y49" s="17"/>
      <c r="Z49" s="2"/>
      <c r="AA49" s="2"/>
      <c r="AB49" s="2"/>
      <c r="AC49" s="3"/>
      <c r="AD49" s="37"/>
      <c r="AE49" s="9"/>
      <c r="AF49" s="2"/>
      <c r="AG49" s="2"/>
      <c r="AH49" s="2"/>
      <c r="AI49" s="3"/>
      <c r="AJ49" s="10"/>
      <c r="AK49" s="28"/>
      <c r="AL49" s="3"/>
      <c r="AM49" s="3"/>
      <c r="AN49" s="10"/>
      <c r="AO49" s="28"/>
      <c r="AP49" s="28"/>
      <c r="AQ49" s="3"/>
      <c r="AR49" s="10"/>
      <c r="AS49" s="20"/>
      <c r="AT49" s="28"/>
      <c r="AU49" s="3"/>
      <c r="AV49" s="10"/>
      <c r="AW49" s="20"/>
      <c r="AX49" s="28"/>
      <c r="AY49" s="3"/>
      <c r="AZ49" s="10"/>
      <c r="BA49" s="20"/>
      <c r="BB49" s="28"/>
      <c r="BC49" s="3"/>
      <c r="BD49" s="10"/>
      <c r="BE49" s="23"/>
      <c r="BF49" s="28"/>
      <c r="BG49" s="3"/>
      <c r="BH49" s="10"/>
      <c r="BI49" s="20"/>
      <c r="BJ49" s="28"/>
      <c r="BK49" s="3"/>
      <c r="BL49" s="10"/>
    </row>
    <row r="50" spans="2:64" x14ac:dyDescent="0.3">
      <c r="B50" s="62">
        <f t="shared" si="0"/>
        <v>0</v>
      </c>
      <c r="C50" s="47">
        <f t="shared" si="1"/>
        <v>0</v>
      </c>
      <c r="D50" s="47">
        <f t="shared" si="2"/>
        <v>0</v>
      </c>
      <c r="E50" s="47">
        <f t="shared" si="3"/>
        <v>0</v>
      </c>
      <c r="F50" s="47">
        <f t="shared" si="4"/>
        <v>0</v>
      </c>
      <c r="G50" s="47">
        <f t="shared" si="5"/>
        <v>0</v>
      </c>
      <c r="H50" s="47">
        <f t="shared" si="6"/>
        <v>0</v>
      </c>
      <c r="I50" s="47">
        <f t="shared" si="7"/>
        <v>0</v>
      </c>
      <c r="J50" s="47">
        <f t="shared" si="8"/>
        <v>0</v>
      </c>
      <c r="K50" s="63">
        <f t="shared" si="9"/>
        <v>0</v>
      </c>
      <c r="L50" s="55">
        <f t="shared" si="10"/>
        <v>0</v>
      </c>
      <c r="N50" s="33">
        <v>31</v>
      </c>
      <c r="O50" s="28"/>
      <c r="P50" s="88"/>
      <c r="Q50" s="88"/>
      <c r="R50" s="37"/>
      <c r="S50" s="20"/>
      <c r="T50" s="3"/>
      <c r="U50" s="3"/>
      <c r="V50" s="3"/>
      <c r="W50" s="3"/>
      <c r="X50" s="10"/>
      <c r="Y50" s="17"/>
      <c r="Z50" s="2"/>
      <c r="AA50" s="2"/>
      <c r="AB50" s="2"/>
      <c r="AC50" s="3"/>
      <c r="AD50" s="37"/>
      <c r="AE50" s="9"/>
      <c r="AF50" s="2"/>
      <c r="AG50" s="2"/>
      <c r="AH50" s="2"/>
      <c r="AI50" s="3"/>
      <c r="AJ50" s="10"/>
      <c r="AK50" s="28"/>
      <c r="AL50" s="3"/>
      <c r="AM50" s="3"/>
      <c r="AN50" s="10"/>
      <c r="AO50" s="28"/>
      <c r="AP50" s="28"/>
      <c r="AQ50" s="3"/>
      <c r="AR50" s="10"/>
      <c r="AS50" s="20"/>
      <c r="AT50" s="28"/>
      <c r="AU50" s="3"/>
      <c r="AV50" s="10"/>
      <c r="AW50" s="20"/>
      <c r="AX50" s="28"/>
      <c r="AY50" s="3"/>
      <c r="AZ50" s="10"/>
      <c r="BA50" s="20"/>
      <c r="BB50" s="28"/>
      <c r="BC50" s="3"/>
      <c r="BD50" s="10"/>
      <c r="BE50" s="23"/>
      <c r="BF50" s="28"/>
      <c r="BG50" s="3"/>
      <c r="BH50" s="10"/>
      <c r="BI50" s="20"/>
      <c r="BJ50" s="28"/>
      <c r="BK50" s="3"/>
      <c r="BL50" s="10"/>
    </row>
    <row r="51" spans="2:64" ht="15" thickBot="1" x14ac:dyDescent="0.35">
      <c r="B51" s="64">
        <f t="shared" si="0"/>
        <v>0</v>
      </c>
      <c r="C51" s="65">
        <f t="shared" si="1"/>
        <v>0</v>
      </c>
      <c r="D51" s="65">
        <f t="shared" si="2"/>
        <v>0</v>
      </c>
      <c r="E51" s="65">
        <f t="shared" si="3"/>
        <v>0</v>
      </c>
      <c r="F51" s="65">
        <f t="shared" si="4"/>
        <v>0</v>
      </c>
      <c r="G51" s="65">
        <f t="shared" si="5"/>
        <v>0</v>
      </c>
      <c r="H51" s="65">
        <f t="shared" si="6"/>
        <v>0</v>
      </c>
      <c r="I51" s="65">
        <f t="shared" si="7"/>
        <v>0</v>
      </c>
      <c r="J51" s="65">
        <f t="shared" si="8"/>
        <v>0</v>
      </c>
      <c r="K51" s="66">
        <f t="shared" si="9"/>
        <v>0</v>
      </c>
      <c r="L51" s="55">
        <f t="shared" si="10"/>
        <v>0</v>
      </c>
      <c r="N51" s="33">
        <v>32</v>
      </c>
      <c r="O51" s="28"/>
      <c r="P51" s="88"/>
      <c r="Q51" s="88"/>
      <c r="R51" s="37"/>
      <c r="S51" s="20"/>
      <c r="T51" s="3"/>
      <c r="U51" s="3"/>
      <c r="V51" s="3"/>
      <c r="W51" s="3"/>
      <c r="X51" s="10"/>
      <c r="Y51" s="17"/>
      <c r="Z51" s="2"/>
      <c r="AA51" s="2"/>
      <c r="AB51" s="2"/>
      <c r="AC51" s="3"/>
      <c r="AD51" s="37"/>
      <c r="AE51" s="9"/>
      <c r="AF51" s="2"/>
      <c r="AG51" s="2"/>
      <c r="AH51" s="2"/>
      <c r="AI51" s="3"/>
      <c r="AJ51" s="10"/>
      <c r="AK51" s="28"/>
      <c r="AL51" s="3"/>
      <c r="AM51" s="3"/>
      <c r="AN51" s="10"/>
      <c r="AO51" s="28"/>
      <c r="AP51" s="28"/>
      <c r="AQ51" s="3"/>
      <c r="AR51" s="10"/>
      <c r="AS51" s="20"/>
      <c r="AT51" s="28"/>
      <c r="AU51" s="3"/>
      <c r="AV51" s="10"/>
      <c r="AW51" s="20"/>
      <c r="AX51" s="28"/>
      <c r="AY51" s="3"/>
      <c r="AZ51" s="10"/>
      <c r="BA51" s="20"/>
      <c r="BB51" s="28"/>
      <c r="BC51" s="3"/>
      <c r="BD51" s="10"/>
      <c r="BE51" s="23"/>
      <c r="BF51" s="28"/>
      <c r="BG51" s="3"/>
      <c r="BH51" s="10"/>
      <c r="BI51" s="20"/>
      <c r="BJ51" s="28"/>
      <c r="BK51" s="3"/>
      <c r="BL51" s="10"/>
    </row>
    <row r="52" spans="2:64" x14ac:dyDescent="0.3">
      <c r="N52" s="34" t="s">
        <v>25</v>
      </c>
      <c r="O52" s="29"/>
      <c r="P52" s="89"/>
      <c r="Q52" s="89"/>
      <c r="R52" s="38"/>
      <c r="S52" s="18">
        <f>AVERAGE(S20:S51)</f>
        <v>9.9999999999999995E-7</v>
      </c>
      <c r="T52" s="4">
        <f>AVERAGE(T20:T51)</f>
        <v>9.9999999999999995E-7</v>
      </c>
      <c r="U52" s="4">
        <f>AVERAGE(U20:U51)</f>
        <v>9.9999999999999995E-7</v>
      </c>
      <c r="V52" s="4" t="e">
        <f>AVERAGE(V20:V51)</f>
        <v>#DIV/0!</v>
      </c>
      <c r="W52" s="4">
        <f>(SUM(D20:D51)+SUM(T20:T51)+SUM(S20:S51)*0.35)/SUM(S20:U51)</f>
        <v>0.45</v>
      </c>
      <c r="X52" s="48" t="e">
        <f>AVERAGE(X20:X51)</f>
        <v>#DIV/0!</v>
      </c>
      <c r="Y52" s="58">
        <f>AVERAGE(Y20:Y51)</f>
        <v>9.9999999999999995E-7</v>
      </c>
      <c r="Z52" s="56">
        <f>AVERAGE(Z20:Z51)</f>
        <v>9.9999999999999995E-7</v>
      </c>
      <c r="AA52" s="56">
        <f>AVERAGE(AA20:AA51)</f>
        <v>9.9999999999999995E-7</v>
      </c>
      <c r="AB52" s="56" t="e">
        <f>AVERAGE(AB20:AB51)</f>
        <v>#DIV/0!</v>
      </c>
      <c r="AC52" s="56">
        <f>(SUM(B20:B51)+SUM(Z20:Z51)+SUM(Y20:Y51)*0.35)/SUM(Y20:AA51)</f>
        <v>0.45</v>
      </c>
      <c r="AD52" s="76" t="e">
        <f>AVERAGE(AD20:AD51)</f>
        <v>#DIV/0!</v>
      </c>
      <c r="AE52" s="79">
        <f>AVERAGE(AE20:AE51)</f>
        <v>9.0909090909090901E-8</v>
      </c>
      <c r="AF52" s="56">
        <f>AVERAGE(AF20:AF51)</f>
        <v>1.5454546363636366</v>
      </c>
      <c r="AG52" s="56">
        <f>AVERAGE(AG20:AG51)</f>
        <v>2.0909091818181818</v>
      </c>
      <c r="AH52" s="56" t="e">
        <f>AVERAGE(AH20:AH51)</f>
        <v>#DIV/0!</v>
      </c>
      <c r="AI52" s="56">
        <f>(SUM(C20:C51)+SUM(AF20:AF51)+SUM(AE20:AE51)*0.35)/SUM(AE20:AG51)</f>
        <v>3.5024997710625176</v>
      </c>
      <c r="AJ52" s="57">
        <f>AVERAGE(AJ20:AJ51)</f>
        <v>22.8</v>
      </c>
      <c r="AK52" s="58">
        <f>AVERAGE(AK20:AK51)</f>
        <v>1.5454546363636366</v>
      </c>
      <c r="AL52" s="56">
        <f>AVERAGE(AL20:AL51)</f>
        <v>9.25</v>
      </c>
      <c r="AM52" s="56">
        <f>SUM(E20:E51)/SUM(AK20:AK51)</f>
        <v>13.176469813148834</v>
      </c>
      <c r="AN52" s="57">
        <f>AVERAGE(AN20:AN51)</f>
        <v>23.5</v>
      </c>
      <c r="AO52" s="58">
        <f>AVERAGE(AO20:AO51)</f>
        <v>1.9090909090909092</v>
      </c>
      <c r="AP52" s="56">
        <f>AVERAGE(AP20:AP51)</f>
        <v>10</v>
      </c>
      <c r="AQ52" s="56">
        <f>SUM(F20:F51)/SUM(AO20:AO51)</f>
        <v>14.142857142857142</v>
      </c>
      <c r="AR52" s="57">
        <f>AVERAGE(AR20:AR51)</f>
        <v>23.75</v>
      </c>
      <c r="AS52" s="58">
        <f>AVERAGE(AS20:AS51)</f>
        <v>0.90909099999999998</v>
      </c>
      <c r="AT52" s="56">
        <f>AVERAGE(AT20:AT51)</f>
        <v>12</v>
      </c>
      <c r="AU52" s="56">
        <f>SUM(G20:G51)/SUM(AS20:AS51)</f>
        <v>15.099998490000152</v>
      </c>
      <c r="AV52" s="57">
        <f>AVERAGE(AV20:AV51)</f>
        <v>25</v>
      </c>
      <c r="AW52" s="58">
        <f>AVERAGE(AW20:AW51)</f>
        <v>9.9999999999999995E-7</v>
      </c>
      <c r="AX52" s="56" t="e">
        <f>AVERAGE(AX20:AX51)</f>
        <v>#DIV/0!</v>
      </c>
      <c r="AY52" s="56">
        <f>SUM(H20:H51)/SUM(AW20:AW51)</f>
        <v>0</v>
      </c>
      <c r="AZ52" s="57" t="e">
        <f>AVERAGE(AZ20:AZ51)</f>
        <v>#DIV/0!</v>
      </c>
      <c r="BA52" s="58">
        <f>AVERAGE(BA20:BA51)</f>
        <v>9.9999999999999995E-7</v>
      </c>
      <c r="BB52" s="56" t="e">
        <f>AVERAGE(BB20:BB51)</f>
        <v>#DIV/0!</v>
      </c>
      <c r="BC52" s="56">
        <f>SUM(I20:I51)/SUM(BA20:BA51)</f>
        <v>0</v>
      </c>
      <c r="BD52" s="57" t="e">
        <f>AVERAGE(BD20:BD51)</f>
        <v>#DIV/0!</v>
      </c>
      <c r="BE52" s="58">
        <f>AVERAGE(BE20:BE51)</f>
        <v>9.9999999999999995E-7</v>
      </c>
      <c r="BF52" s="56" t="e">
        <f>AVERAGE(BF20:BF51)</f>
        <v>#DIV/0!</v>
      </c>
      <c r="BG52" s="56">
        <f>SUM(J20:J51)/SUM(BE20:BE51)</f>
        <v>0</v>
      </c>
      <c r="BH52" s="57" t="e">
        <f>AVERAGE(BH20:BH51)</f>
        <v>#DIV/0!</v>
      </c>
      <c r="BI52" s="58">
        <f>AVERAGE(BI20:BI51)</f>
        <v>3.8181818181818183</v>
      </c>
      <c r="BJ52" s="56">
        <f>AVERAGE(BJ20:BJ51)</f>
        <v>7.333333333333333</v>
      </c>
      <c r="BK52" s="56">
        <f>SUM(K20:K51)/SUM(BI20:BI51)</f>
        <v>10.297619047619047</v>
      </c>
      <c r="BL52" s="57">
        <f>AVERAGE(BL20:BL51)</f>
        <v>22.666666666666668</v>
      </c>
    </row>
    <row r="53" spans="2:64" x14ac:dyDescent="0.3">
      <c r="N53" s="34" t="s">
        <v>30</v>
      </c>
      <c r="O53" s="29"/>
      <c r="P53" s="89"/>
      <c r="Q53" s="89"/>
      <c r="R53" s="38"/>
      <c r="S53" s="18"/>
      <c r="T53" s="4"/>
      <c r="U53" s="4"/>
      <c r="V53" s="4"/>
      <c r="W53" s="5">
        <f>SUM(D20:D51)/SUM(U20:U51)</f>
        <v>0</v>
      </c>
      <c r="X53" s="38"/>
      <c r="Y53" s="58"/>
      <c r="Z53" s="56"/>
      <c r="AA53" s="56"/>
      <c r="AB53" s="56"/>
      <c r="AC53" s="77">
        <f>SUM(B20:B51)/SUM(AA20:AA51)</f>
        <v>0</v>
      </c>
      <c r="AD53" s="78"/>
      <c r="AE53" s="79"/>
      <c r="AF53" s="56"/>
      <c r="AG53" s="56"/>
      <c r="AH53" s="56"/>
      <c r="AI53" s="77">
        <f>SUM(C20:C51)/SUM(AG20:AG51)</f>
        <v>5.3521736803402753</v>
      </c>
      <c r="AJ53" s="80"/>
      <c r="AK53" s="29"/>
      <c r="AL53" s="5"/>
      <c r="AM53" s="5"/>
      <c r="AN53" s="12"/>
      <c r="AO53" s="29"/>
      <c r="AP53" s="29"/>
      <c r="AQ53" s="5"/>
      <c r="AR53" s="12"/>
      <c r="AS53" s="21"/>
      <c r="AT53" s="29"/>
      <c r="AU53" s="5"/>
      <c r="AV53" s="12"/>
      <c r="AW53" s="21"/>
      <c r="AX53" s="29"/>
      <c r="AY53" s="5"/>
      <c r="AZ53" s="12"/>
      <c r="BA53" s="21"/>
      <c r="BB53" s="29"/>
      <c r="BC53" s="5"/>
      <c r="BD53" s="12"/>
      <c r="BE53" s="21"/>
      <c r="BF53" s="29"/>
      <c r="BG53" s="5"/>
      <c r="BH53" s="12"/>
      <c r="BI53" s="21"/>
      <c r="BJ53" s="29"/>
      <c r="BK53" s="5"/>
      <c r="BL53" s="12"/>
    </row>
    <row r="54" spans="2:64" x14ac:dyDescent="0.3">
      <c r="N54" s="34" t="s">
        <v>11</v>
      </c>
      <c r="O54" s="29"/>
      <c r="P54" s="89"/>
      <c r="Q54" s="89"/>
      <c r="R54" s="38"/>
      <c r="S54" s="21"/>
      <c r="T54" s="5"/>
      <c r="U54" s="5"/>
      <c r="V54" s="5"/>
      <c r="W54" s="5"/>
      <c r="X54" s="12"/>
      <c r="Y54" s="18"/>
      <c r="Z54" s="4"/>
      <c r="AA54" s="4"/>
      <c r="AB54" s="4"/>
      <c r="AC54" s="5"/>
      <c r="AD54" s="38"/>
      <c r="AE54" s="11"/>
      <c r="AF54" s="4"/>
      <c r="AG54" s="4"/>
      <c r="AH54" s="4"/>
      <c r="AI54" s="5"/>
      <c r="AJ54" s="12"/>
      <c r="AK54" s="29"/>
      <c r="AL54" s="5"/>
      <c r="AM54" s="5"/>
      <c r="AN54" s="12"/>
      <c r="AO54" s="29"/>
      <c r="AP54" s="29"/>
      <c r="AQ54" s="5"/>
      <c r="AR54" s="12"/>
      <c r="AS54" s="21"/>
      <c r="AT54" s="29"/>
      <c r="AU54" s="5"/>
      <c r="AV54" s="12"/>
      <c r="AW54" s="21"/>
      <c r="AX54" s="29"/>
      <c r="AY54" s="5"/>
      <c r="AZ54" s="12"/>
      <c r="BA54" s="21"/>
      <c r="BB54" s="29"/>
      <c r="BC54" s="5"/>
      <c r="BD54" s="12"/>
      <c r="BE54" s="21"/>
      <c r="BF54" s="29"/>
      <c r="BG54" s="5"/>
      <c r="BH54" s="12"/>
      <c r="BI54" s="21"/>
      <c r="BJ54" s="29"/>
      <c r="BK54" s="5"/>
      <c r="BL54" s="12"/>
    </row>
    <row r="55" spans="2:64" ht="15" thickBot="1" x14ac:dyDescent="0.35">
      <c r="N55" s="35" t="s">
        <v>12</v>
      </c>
      <c r="O55" s="30"/>
      <c r="P55" s="90"/>
      <c r="Q55" s="90"/>
      <c r="R55" s="39"/>
      <c r="S55" s="22"/>
      <c r="T55" s="15"/>
      <c r="U55" s="15"/>
      <c r="V55" s="15"/>
      <c r="W55" s="15"/>
      <c r="X55" s="16"/>
      <c r="Y55" s="19"/>
      <c r="Z55" s="14"/>
      <c r="AA55" s="14"/>
      <c r="AB55" s="14"/>
      <c r="AC55" s="15"/>
      <c r="AD55" s="39"/>
      <c r="AE55" s="13"/>
      <c r="AF55" s="14"/>
      <c r="AG55" s="14"/>
      <c r="AH55" s="14"/>
      <c r="AI55" s="15"/>
      <c r="AJ55" s="16"/>
      <c r="AK55" s="30"/>
      <c r="AL55" s="15"/>
      <c r="AM55" s="15"/>
      <c r="AN55" s="16"/>
      <c r="AO55" s="30"/>
      <c r="AP55" s="30"/>
      <c r="AQ55" s="15"/>
      <c r="AR55" s="16"/>
      <c r="AS55" s="22"/>
      <c r="AT55" s="30"/>
      <c r="AU55" s="15"/>
      <c r="AV55" s="16"/>
      <c r="AW55" s="22"/>
      <c r="AX55" s="30"/>
      <c r="AY55" s="15"/>
      <c r="AZ55" s="16"/>
      <c r="BA55" s="22"/>
      <c r="BB55" s="30"/>
      <c r="BC55" s="15"/>
      <c r="BD55" s="16"/>
      <c r="BE55" s="22"/>
      <c r="BF55" s="30"/>
      <c r="BG55" s="15"/>
      <c r="BH55" s="16"/>
      <c r="BI55" s="22"/>
      <c r="BJ55" s="30"/>
      <c r="BK55" s="15"/>
      <c r="BL55" s="16"/>
    </row>
    <row r="60" spans="2:64" ht="15" thickBot="1" x14ac:dyDescent="0.35">
      <c r="U60">
        <f>T13</f>
        <v>0</v>
      </c>
      <c r="V60" t="s">
        <v>33</v>
      </c>
    </row>
    <row r="61" spans="2:64" ht="15" thickBot="1" x14ac:dyDescent="0.35">
      <c r="B61" s="59" t="s">
        <v>44</v>
      </c>
      <c r="C61" s="60"/>
      <c r="D61" s="61"/>
      <c r="E61" s="47"/>
      <c r="F61" s="47"/>
      <c r="I61" s="47"/>
      <c r="J61" s="47"/>
      <c r="K61" s="47"/>
      <c r="O61" t="s">
        <v>161</v>
      </c>
    </row>
    <row r="62" spans="2:64" ht="15" thickBot="1" x14ac:dyDescent="0.35">
      <c r="B62" s="73" t="str">
        <f>V62</f>
        <v>D, см</v>
      </c>
      <c r="C62" s="74" t="str">
        <f>W62</f>
        <v>h, м</v>
      </c>
      <c r="D62" s="75" t="str">
        <f>X62</f>
        <v>A, лет</v>
      </c>
      <c r="E62" s="47"/>
      <c r="F62" s="47"/>
      <c r="I62" s="47"/>
      <c r="J62" s="47"/>
      <c r="K62" s="47"/>
      <c r="O62" s="115"/>
      <c r="P62" s="116"/>
      <c r="Q62" s="116"/>
      <c r="R62" s="116"/>
      <c r="S62" s="116"/>
      <c r="T62" s="116"/>
      <c r="U62" s="116" t="s">
        <v>24</v>
      </c>
      <c r="V62" s="116" t="str">
        <f>AB19</f>
        <v>D, см</v>
      </c>
      <c r="W62" s="116" t="str">
        <f>AC19</f>
        <v>h, м</v>
      </c>
      <c r="X62" s="117" t="str">
        <f>AD19</f>
        <v>A, лет</v>
      </c>
    </row>
    <row r="63" spans="2:64" x14ac:dyDescent="0.3">
      <c r="B63" s="81" t="e">
        <f>V63*U63</f>
        <v>#DIV/0!</v>
      </c>
      <c r="C63" s="82">
        <f>W63*U63</f>
        <v>1.352643064548127E-6</v>
      </c>
      <c r="D63" s="83" t="e">
        <f>X63*U63</f>
        <v>#DIV/0!</v>
      </c>
      <c r="E63" s="47"/>
      <c r="F63" s="85"/>
      <c r="H63" s="47"/>
      <c r="I63" s="47"/>
      <c r="J63" s="47"/>
      <c r="K63" s="47"/>
      <c r="O63" s="138">
        <f t="shared" ref="O63:O72" si="11">U63/$U$75*10</f>
        <v>2.5384595076939327E-6</v>
      </c>
      <c r="P63" s="139"/>
      <c r="Q63" s="139"/>
      <c r="R63" s="47" t="str">
        <f>S18</f>
        <v>Сосна</v>
      </c>
      <c r="S63" s="47"/>
      <c r="T63" s="47"/>
      <c r="U63" s="123">
        <f>SUM(S52:U52)/(AE16*AE16*3.15/10000*1000)</f>
        <v>3.0058734767736153E-6</v>
      </c>
      <c r="V63" s="139" t="e">
        <f>V52</f>
        <v>#DIV/0!</v>
      </c>
      <c r="W63" s="139">
        <f>W52</f>
        <v>0.45</v>
      </c>
      <c r="X63" s="140" t="e">
        <f>X52</f>
        <v>#DIV/0!</v>
      </c>
      <c r="Y63" s="55"/>
    </row>
    <row r="64" spans="2:64" x14ac:dyDescent="0.3">
      <c r="B64" s="81" t="e">
        <f t="shared" ref="B64:B72" si="12">V64*U64</f>
        <v>#DIV/0!</v>
      </c>
      <c r="C64" s="82">
        <f t="shared" ref="C64:C72" si="13">W64*U64</f>
        <v>1.352643064548127E-6</v>
      </c>
      <c r="D64" s="83" t="e">
        <f t="shared" ref="D64:D72" si="14">X64*U64</f>
        <v>#DIV/0!</v>
      </c>
      <c r="E64" s="47"/>
      <c r="F64" s="85"/>
      <c r="H64" s="47"/>
      <c r="I64" s="47"/>
      <c r="J64" s="47"/>
      <c r="K64" s="47"/>
      <c r="O64" s="138">
        <f t="shared" si="11"/>
        <v>2.5384595076939327E-6</v>
      </c>
      <c r="P64" s="139"/>
      <c r="Q64" s="139"/>
      <c r="R64" s="47" t="str">
        <f>Y18</f>
        <v>Ель из подроста</v>
      </c>
      <c r="S64" s="47"/>
      <c r="T64" s="47"/>
      <c r="U64" s="123">
        <f>SUM(Y52:AA52)/(AE16*AE16*3.15/10000*1000)</f>
        <v>3.0058734767736153E-6</v>
      </c>
      <c r="V64" s="139" t="e">
        <f>AB52</f>
        <v>#DIV/0!</v>
      </c>
      <c r="W64" s="139">
        <f>AC52</f>
        <v>0.45</v>
      </c>
      <c r="X64" s="140" t="e">
        <f>AD52</f>
        <v>#DIV/0!</v>
      </c>
      <c r="Y64" s="55"/>
    </row>
    <row r="65" spans="2:25" x14ac:dyDescent="0.3">
      <c r="B65" s="81" t="e">
        <f t="shared" si="12"/>
        <v>#DIV/0!</v>
      </c>
      <c r="C65" s="82">
        <f t="shared" si="13"/>
        <v>12.761299337997357</v>
      </c>
      <c r="D65" s="83">
        <f t="shared" si="14"/>
        <v>83.071418679372215</v>
      </c>
      <c r="E65" s="47"/>
      <c r="F65" s="47"/>
      <c r="G65" s="47"/>
      <c r="H65" s="47"/>
      <c r="I65" s="47"/>
      <c r="J65" s="47"/>
      <c r="K65" s="47"/>
      <c r="O65" s="138">
        <f t="shared" si="11"/>
        <v>3.0769208461556312</v>
      </c>
      <c r="P65" s="139"/>
      <c r="Q65" s="139"/>
      <c r="R65" s="47" t="str">
        <f>AE18</f>
        <v>ЕЛЬ лесные культуры</v>
      </c>
      <c r="S65" s="47"/>
      <c r="T65" s="47"/>
      <c r="U65" s="123">
        <f>SUM(AE52:AG52)/(AE16*AE16*3.15/10000*1000)</f>
        <v>3.6434832754110622</v>
      </c>
      <c r="V65" s="139" t="e">
        <f>AH52</f>
        <v>#DIV/0!</v>
      </c>
      <c r="W65" s="139">
        <f>AI52</f>
        <v>3.5024997710625176</v>
      </c>
      <c r="X65" s="140">
        <f>AJ52</f>
        <v>22.8</v>
      </c>
      <c r="Y65" s="55"/>
    </row>
    <row r="66" spans="2:25" x14ac:dyDescent="0.3">
      <c r="B66" s="81">
        <f t="shared" si="12"/>
        <v>14.323443394756993</v>
      </c>
      <c r="C66" s="82">
        <f t="shared" si="13"/>
        <v>20.403504812039088</v>
      </c>
      <c r="D66" s="83">
        <f t="shared" si="14"/>
        <v>36.389288624517761</v>
      </c>
      <c r="E66" s="47"/>
      <c r="F66" s="47"/>
      <c r="G66" s="47"/>
      <c r="H66" s="47"/>
      <c r="I66" s="47"/>
      <c r="J66" s="47"/>
      <c r="K66" s="47"/>
      <c r="O66" s="138">
        <f t="shared" si="11"/>
        <v>1.3076913384623139</v>
      </c>
      <c r="P66" s="139"/>
      <c r="Q66" s="139"/>
      <c r="R66" s="47" t="str">
        <f>AK18</f>
        <v>Берёза</v>
      </c>
      <c r="S66" s="47"/>
      <c r="T66" s="47"/>
      <c r="U66" s="123">
        <f>AK52/(AE16*AE16*3.15/10000*1000)</f>
        <v>1.5484803670007559</v>
      </c>
      <c r="V66" s="139">
        <f>AL52</f>
        <v>9.25</v>
      </c>
      <c r="W66" s="139">
        <f>AM52</f>
        <v>13.176469813148834</v>
      </c>
      <c r="X66" s="140">
        <f>AN52</f>
        <v>23.5</v>
      </c>
      <c r="Y66" s="55"/>
    </row>
    <row r="67" spans="2:25" x14ac:dyDescent="0.3">
      <c r="B67" s="81">
        <f t="shared" si="12"/>
        <v>19.128285761286644</v>
      </c>
      <c r="C67" s="82">
        <f t="shared" si="13"/>
        <v>27.052861290962536</v>
      </c>
      <c r="D67" s="83">
        <f t="shared" si="14"/>
        <v>45.429678683055776</v>
      </c>
      <c r="E67" s="47"/>
      <c r="F67" s="47"/>
      <c r="G67" s="47"/>
      <c r="H67" s="47"/>
      <c r="I67" s="47"/>
      <c r="J67" s="47"/>
      <c r="K67" s="47"/>
      <c r="O67" s="138">
        <f t="shared" si="11"/>
        <v>1.6153833230779571</v>
      </c>
      <c r="P67" s="139"/>
      <c r="Q67" s="139"/>
      <c r="R67" s="47" t="str">
        <f>AO18</f>
        <v>Осина</v>
      </c>
      <c r="S67" s="47"/>
      <c r="T67" s="47"/>
      <c r="U67" s="123">
        <f>AO52/(AE16*AE16*3.15/10000*1000)</f>
        <v>1.9128285761286643</v>
      </c>
      <c r="V67" s="139">
        <f>AP52</f>
        <v>10</v>
      </c>
      <c r="W67" s="139">
        <f>AQ52</f>
        <v>14.142857142857142</v>
      </c>
      <c r="X67" s="140">
        <f>AR52</f>
        <v>23.75</v>
      </c>
      <c r="Y67" s="55"/>
    </row>
    <row r="68" spans="2:25" x14ac:dyDescent="0.3">
      <c r="B68" s="81">
        <f t="shared" si="12"/>
        <v>10.930450099494411</v>
      </c>
      <c r="C68" s="82">
        <f t="shared" si="13"/>
        <v>13.754148333115635</v>
      </c>
      <c r="D68" s="83">
        <f t="shared" si="14"/>
        <v>22.771771040613356</v>
      </c>
      <c r="E68" s="47"/>
      <c r="F68" s="47"/>
      <c r="G68" s="47"/>
      <c r="H68" s="47"/>
      <c r="I68" s="47"/>
      <c r="J68" s="47"/>
      <c r="K68" s="47"/>
      <c r="O68" s="138">
        <f t="shared" si="11"/>
        <v>0.76923023076966168</v>
      </c>
      <c r="P68" s="139"/>
      <c r="Q68" s="139"/>
      <c r="R68" s="47" t="str">
        <f>AS18</f>
        <v>Ольха серая</v>
      </c>
      <c r="S68" s="47"/>
      <c r="T68" s="47"/>
      <c r="U68" s="123">
        <f>AS52/(AE16*AE16*3.15/10000*1000)</f>
        <v>0.91087084162453424</v>
      </c>
      <c r="V68" s="139">
        <f>AT52</f>
        <v>12</v>
      </c>
      <c r="W68" s="139">
        <f>AU52</f>
        <v>15.099998490000152</v>
      </c>
      <c r="X68" s="140">
        <f>AV52</f>
        <v>25</v>
      </c>
      <c r="Y68" s="55"/>
    </row>
    <row r="69" spans="2:25" x14ac:dyDescent="0.3">
      <c r="B69" s="81" t="e">
        <f t="shared" si="12"/>
        <v>#DIV/0!</v>
      </c>
      <c r="C69" s="82">
        <f t="shared" si="13"/>
        <v>0</v>
      </c>
      <c r="D69" s="83" t="e">
        <f t="shared" si="14"/>
        <v>#DIV/0!</v>
      </c>
      <c r="E69" s="47"/>
      <c r="F69" s="47"/>
      <c r="G69" s="47"/>
      <c r="H69" s="47"/>
      <c r="I69" s="47"/>
      <c r="J69" s="47"/>
      <c r="K69" s="47"/>
      <c r="O69" s="138">
        <f t="shared" si="11"/>
        <v>8.4615316923131083E-7</v>
      </c>
      <c r="P69" s="139"/>
      <c r="Q69" s="139"/>
      <c r="R69" s="47" t="str">
        <f>AW18</f>
        <v>Ива</v>
      </c>
      <c r="S69" s="47"/>
      <c r="T69" s="47"/>
      <c r="U69" s="123">
        <f>AW52/(AE16*AE16*3.15/10000*1000)</f>
        <v>1.001957825591205E-6</v>
      </c>
      <c r="V69" s="139" t="e">
        <f>AX52</f>
        <v>#DIV/0!</v>
      </c>
      <c r="W69" s="139">
        <f>AY52</f>
        <v>0</v>
      </c>
      <c r="X69" s="140" t="e">
        <f>AZ52</f>
        <v>#DIV/0!</v>
      </c>
      <c r="Y69" s="55"/>
    </row>
    <row r="70" spans="2:25" x14ac:dyDescent="0.3">
      <c r="B70" s="81" t="e">
        <f t="shared" si="12"/>
        <v>#DIV/0!</v>
      </c>
      <c r="C70" s="82">
        <f t="shared" si="13"/>
        <v>0</v>
      </c>
      <c r="D70" s="83" t="e">
        <f t="shared" si="14"/>
        <v>#DIV/0!</v>
      </c>
      <c r="E70" s="47"/>
      <c r="F70" s="47"/>
      <c r="G70" s="47"/>
      <c r="H70" s="47"/>
      <c r="I70" s="47"/>
      <c r="J70" s="47"/>
      <c r="K70" s="47"/>
      <c r="O70" s="138">
        <f t="shared" si="11"/>
        <v>8.4615316923131083E-7</v>
      </c>
      <c r="P70" s="139"/>
      <c r="Q70" s="139"/>
      <c r="R70" s="47" t="str">
        <f>BA18</f>
        <v>Чёрёмуха</v>
      </c>
      <c r="S70" s="47"/>
      <c r="T70" s="47"/>
      <c r="U70" s="123">
        <f>BA52/(AE16*AE16*3.15/10000*1000)</f>
        <v>1.001957825591205E-6</v>
      </c>
      <c r="V70" s="139" t="e">
        <f>BB52</f>
        <v>#DIV/0!</v>
      </c>
      <c r="W70" s="139">
        <f>BC52</f>
        <v>0</v>
      </c>
      <c r="X70" s="140" t="e">
        <f>BD52</f>
        <v>#DIV/0!</v>
      </c>
      <c r="Y70" s="55"/>
    </row>
    <row r="71" spans="2:25" x14ac:dyDescent="0.3">
      <c r="B71" s="81" t="e">
        <f t="shared" si="12"/>
        <v>#DIV/0!</v>
      </c>
      <c r="C71" s="82">
        <f t="shared" si="13"/>
        <v>0</v>
      </c>
      <c r="D71" s="83" t="e">
        <f t="shared" si="14"/>
        <v>#DIV/0!</v>
      </c>
      <c r="E71" s="47"/>
      <c r="F71" s="47"/>
      <c r="G71" s="47"/>
      <c r="H71" s="47"/>
      <c r="I71" s="47"/>
      <c r="J71" s="47"/>
      <c r="K71" s="47"/>
      <c r="O71" s="138">
        <f t="shared" si="11"/>
        <v>8.4615316923131083E-7</v>
      </c>
      <c r="P71" s="139"/>
      <c r="Q71" s="139"/>
      <c r="R71" s="47" t="str">
        <f>BE18</f>
        <v>Дуб</v>
      </c>
      <c r="S71" s="47"/>
      <c r="T71" s="47"/>
      <c r="U71" s="123">
        <f>BE52/(AE16*AE16*3.15/10000*1000)</f>
        <v>1.001957825591205E-6</v>
      </c>
      <c r="V71" s="139" t="e">
        <f>BF52</f>
        <v>#DIV/0!</v>
      </c>
      <c r="W71" s="139">
        <f>BG52</f>
        <v>0</v>
      </c>
      <c r="X71" s="140" t="e">
        <f>BH52</f>
        <v>#DIV/0!</v>
      </c>
      <c r="Y71" s="55"/>
    </row>
    <row r="72" spans="2:25" x14ac:dyDescent="0.3">
      <c r="B72" s="81">
        <f t="shared" si="12"/>
        <v>28.054819116553741</v>
      </c>
      <c r="C72" s="82">
        <f t="shared" si="13"/>
        <v>39.395159960745112</v>
      </c>
      <c r="D72" s="83">
        <f t="shared" si="14"/>
        <v>86.714895451166115</v>
      </c>
      <c r="E72" s="47"/>
      <c r="F72" s="47"/>
      <c r="G72" s="47"/>
      <c r="H72" s="47"/>
      <c r="I72" s="47"/>
      <c r="J72" s="47"/>
      <c r="K72" s="47"/>
      <c r="O72" s="138">
        <f t="shared" si="11"/>
        <v>3.2307666461559141</v>
      </c>
      <c r="P72" s="139"/>
      <c r="Q72" s="139"/>
      <c r="R72" s="47" t="str">
        <f>BI18</f>
        <v>Рябина</v>
      </c>
      <c r="S72" s="47"/>
      <c r="T72" s="47"/>
      <c r="U72" s="123">
        <f>BI52/(AE16*AE16*3.15/10000*1000)</f>
        <v>3.8256571522573286</v>
      </c>
      <c r="V72" s="139">
        <f>BJ52</f>
        <v>7.333333333333333</v>
      </c>
      <c r="W72" s="139">
        <f>BK52</f>
        <v>10.297619047619047</v>
      </c>
      <c r="X72" s="140">
        <f>BL52</f>
        <v>22.666666666666668</v>
      </c>
      <c r="Y72" s="55"/>
    </row>
    <row r="73" spans="2:25" x14ac:dyDescent="0.3">
      <c r="B73" s="62">
        <f>AC72*AA72</f>
        <v>0</v>
      </c>
      <c r="C73" s="71">
        <f>AI72*AG72</f>
        <v>0</v>
      </c>
      <c r="D73" s="63"/>
      <c r="E73" s="47"/>
      <c r="F73" s="47"/>
      <c r="G73" s="47"/>
      <c r="H73" s="47"/>
      <c r="I73" s="47"/>
      <c r="J73" s="47"/>
      <c r="K73" s="47"/>
      <c r="O73" s="118"/>
      <c r="P73" s="47"/>
      <c r="Q73" s="47"/>
      <c r="R73" s="47"/>
      <c r="S73" s="47"/>
      <c r="T73" s="47"/>
      <c r="U73" s="141"/>
      <c r="V73" s="141"/>
      <c r="W73" s="141"/>
      <c r="X73" s="140"/>
      <c r="Y73" s="55"/>
    </row>
    <row r="74" spans="2:25" x14ac:dyDescent="0.3">
      <c r="B74" s="62">
        <f>AC73*AA73</f>
        <v>0</v>
      </c>
      <c r="C74" s="71">
        <f>AI73*AG73</f>
        <v>0</v>
      </c>
      <c r="D74" s="63">
        <f>W73*U73</f>
        <v>0</v>
      </c>
      <c r="E74" s="47"/>
      <c r="F74" s="47"/>
      <c r="G74" s="47"/>
      <c r="H74" s="47"/>
      <c r="I74" s="47"/>
      <c r="J74" s="47"/>
      <c r="K74" s="47"/>
      <c r="O74" s="118"/>
      <c r="P74" s="47"/>
      <c r="Q74" s="47"/>
      <c r="R74" s="47"/>
      <c r="S74" s="47"/>
      <c r="T74" s="47"/>
      <c r="U74" s="141"/>
      <c r="V74" s="141"/>
      <c r="W74" s="141"/>
      <c r="X74" s="140"/>
      <c r="Y74" s="55"/>
    </row>
    <row r="75" spans="2:25" x14ac:dyDescent="0.3">
      <c r="B75" s="62">
        <f>AC74*AA74</f>
        <v>0</v>
      </c>
      <c r="C75" s="71">
        <f>AI74*AG74</f>
        <v>0</v>
      </c>
      <c r="D75" s="63">
        <f>W74*U74</f>
        <v>0</v>
      </c>
      <c r="E75" s="47"/>
      <c r="F75" s="47"/>
      <c r="G75" s="47"/>
      <c r="H75" s="47"/>
      <c r="I75" s="47"/>
      <c r="J75" s="47"/>
      <c r="K75" s="47"/>
      <c r="O75" s="142">
        <f>SUM(O63:O72)</f>
        <v>10</v>
      </c>
      <c r="P75" s="143"/>
      <c r="Q75" s="143"/>
      <c r="R75" s="45" t="s">
        <v>27</v>
      </c>
      <c r="S75" s="45"/>
      <c r="T75" s="45"/>
      <c r="U75" s="144">
        <f>SUM(U63:U72)</f>
        <v>11.841329230042774</v>
      </c>
      <c r="V75" s="144" t="e">
        <f>SUM(B63:B72)/$U$75</f>
        <v>#DIV/0!</v>
      </c>
      <c r="W75" s="144">
        <f>SUM(C63:C72)/$U$75</f>
        <v>9.5738387336213222</v>
      </c>
      <c r="X75" s="145" t="e">
        <f>SUM(D63:D72)/$U$75</f>
        <v>#DIV/0!</v>
      </c>
      <c r="Y75" s="55"/>
    </row>
    <row r="76" spans="2:25" x14ac:dyDescent="0.3">
      <c r="B76" s="62">
        <f>AC75*AA75</f>
        <v>0</v>
      </c>
      <c r="C76" s="71">
        <f>AI75*AG75</f>
        <v>0</v>
      </c>
      <c r="D76" s="63"/>
      <c r="E76" s="47"/>
      <c r="F76" s="47"/>
      <c r="G76" s="47"/>
      <c r="H76" s="47"/>
      <c r="I76" s="47"/>
      <c r="J76" s="47"/>
      <c r="K76" s="47"/>
    </row>
    <row r="77" spans="2:25" ht="15" thickBot="1" x14ac:dyDescent="0.35">
      <c r="B77" s="64">
        <f>AC93*AA93</f>
        <v>0</v>
      </c>
      <c r="C77" s="72">
        <f>AI93*AG93</f>
        <v>0</v>
      </c>
      <c r="D77" s="66">
        <f>W93*U93</f>
        <v>0</v>
      </c>
      <c r="E77" s="47"/>
      <c r="F77" s="47"/>
      <c r="G77" s="47"/>
      <c r="H77" s="47"/>
      <c r="I77" s="47"/>
      <c r="J77" s="47"/>
      <c r="K77" s="47"/>
    </row>
  </sheetData>
  <mergeCells count="11">
    <mergeCell ref="AS18:AV18"/>
    <mergeCell ref="AW18:AZ18"/>
    <mergeCell ref="BA18:BD18"/>
    <mergeCell ref="BE18:BH18"/>
    <mergeCell ref="BI18:BL18"/>
    <mergeCell ref="O18:R18"/>
    <mergeCell ref="S18:X18"/>
    <mergeCell ref="Y18:AD18"/>
    <mergeCell ref="AE18:AJ18"/>
    <mergeCell ref="AK18:AN18"/>
    <mergeCell ref="AO18:AR1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6:X66"/>
  <sheetViews>
    <sheetView showZeros="0" topLeftCell="A16" zoomScale="70" zoomScaleNormal="70" workbookViewId="0">
      <selection activeCell="E25" sqref="E25"/>
    </sheetView>
  </sheetViews>
  <sheetFormatPr defaultRowHeight="14.4" x14ac:dyDescent="0.3"/>
  <cols>
    <col min="5" max="20" width="9.88671875" bestFit="1" customWidth="1"/>
  </cols>
  <sheetData>
    <row r="16" spans="2:21" ht="24.9" customHeight="1" x14ac:dyDescent="0.3">
      <c r="B16" s="127" t="s">
        <v>140</v>
      </c>
      <c r="C16" s="45"/>
      <c r="D16" s="45"/>
      <c r="E16" s="45"/>
      <c r="F16" s="45"/>
      <c r="G16" s="45"/>
      <c r="H16" s="45"/>
      <c r="I16" s="45"/>
      <c r="J16" s="45"/>
      <c r="K16" s="45"/>
      <c r="L16" s="45"/>
      <c r="M16" s="45"/>
      <c r="N16" s="45"/>
      <c r="O16" s="45"/>
      <c r="P16" s="45"/>
      <c r="Q16" s="45"/>
      <c r="R16" s="45"/>
      <c r="S16" s="45"/>
      <c r="T16" s="45"/>
      <c r="U16" s="45"/>
    </row>
    <row r="17" spans="2:24" ht="24.9" customHeight="1" thickBot="1" x14ac:dyDescent="0.3"/>
    <row r="18" spans="2:24" ht="24.9" customHeight="1" thickTop="1" thickBot="1" x14ac:dyDescent="0.35">
      <c r="B18" s="1" t="s">
        <v>0</v>
      </c>
      <c r="C18" s="202" t="s">
        <v>1</v>
      </c>
      <c r="D18" s="195"/>
      <c r="E18" s="193" t="s">
        <v>20</v>
      </c>
      <c r="F18" s="194"/>
      <c r="G18" s="194"/>
      <c r="H18" s="195"/>
      <c r="I18" s="193" t="s">
        <v>21</v>
      </c>
      <c r="J18" s="194"/>
      <c r="K18" s="194"/>
      <c r="L18" s="195"/>
      <c r="M18" s="193" t="s">
        <v>26</v>
      </c>
      <c r="N18" s="194"/>
      <c r="O18" s="194"/>
      <c r="P18" s="195"/>
      <c r="Q18" s="193" t="s">
        <v>162</v>
      </c>
      <c r="R18" s="194"/>
      <c r="S18" s="194"/>
      <c r="T18" s="195"/>
      <c r="U18" s="193" t="e">
        <f>#REF!</f>
        <v>#REF!</v>
      </c>
      <c r="V18" s="194"/>
      <c r="W18" s="194"/>
      <c r="X18" s="195"/>
    </row>
    <row r="19" spans="2:24" ht="24.9" customHeight="1" thickBot="1" x14ac:dyDescent="0.35">
      <c r="B19" s="31" t="s">
        <v>2</v>
      </c>
      <c r="C19" s="25" t="s">
        <v>3</v>
      </c>
      <c r="D19" s="68" t="s">
        <v>48</v>
      </c>
      <c r="E19" s="25" t="s">
        <v>10</v>
      </c>
      <c r="F19" s="42" t="s">
        <v>23</v>
      </c>
      <c r="G19" s="43" t="s">
        <v>8</v>
      </c>
      <c r="H19" s="26" t="s">
        <v>9</v>
      </c>
      <c r="I19" s="25" t="s">
        <v>10</v>
      </c>
      <c r="J19" s="42" t="s">
        <v>23</v>
      </c>
      <c r="K19" s="43" t="s">
        <v>8</v>
      </c>
      <c r="L19" s="26" t="s">
        <v>9</v>
      </c>
      <c r="M19" s="25" t="s">
        <v>10</v>
      </c>
      <c r="N19" s="42" t="s">
        <v>23</v>
      </c>
      <c r="O19" s="43" t="s">
        <v>8</v>
      </c>
      <c r="P19" s="26" t="s">
        <v>9</v>
      </c>
      <c r="Q19" s="25" t="s">
        <v>10</v>
      </c>
      <c r="R19" s="42" t="s">
        <v>23</v>
      </c>
      <c r="S19" s="43" t="s">
        <v>8</v>
      </c>
      <c r="T19" s="26" t="s">
        <v>9</v>
      </c>
      <c r="U19" s="25" t="s">
        <v>10</v>
      </c>
      <c r="V19" s="42" t="s">
        <v>23</v>
      </c>
      <c r="W19" s="43" t="s">
        <v>8</v>
      </c>
      <c r="X19" s="26" t="s">
        <v>9</v>
      </c>
    </row>
    <row r="20" spans="2:24" ht="24.9" customHeight="1" x14ac:dyDescent="0.3">
      <c r="B20" s="129">
        <v>1</v>
      </c>
      <c r="C20" s="130">
        <v>692</v>
      </c>
      <c r="D20" s="8" t="s">
        <v>63</v>
      </c>
      <c r="E20" s="130" t="e">
        <f>#REF!</f>
        <v>#REF!</v>
      </c>
      <c r="F20" s="7" t="e">
        <f>#REF!</f>
        <v>#REF!</v>
      </c>
      <c r="G20" s="7" t="e">
        <f>#REF!</f>
        <v>#REF!</v>
      </c>
      <c r="H20" s="8" t="e">
        <f>#REF!</f>
        <v>#REF!</v>
      </c>
      <c r="I20" s="27" t="e">
        <f>#REF!</f>
        <v>#REF!</v>
      </c>
      <c r="J20" s="40" t="e">
        <f>#REF!</f>
        <v>#REF!</v>
      </c>
      <c r="K20" s="40" t="e">
        <f>#REF!</f>
        <v>#REF!</v>
      </c>
      <c r="L20" s="69" t="e">
        <f>#REF!</f>
        <v>#REF!</v>
      </c>
      <c r="M20" s="130" t="e">
        <f>#REF!</f>
        <v>#REF!</v>
      </c>
      <c r="N20" s="7" t="e">
        <f>#REF!</f>
        <v>#REF!</v>
      </c>
      <c r="O20" s="7" t="e">
        <f>#REF!</f>
        <v>#REF!</v>
      </c>
      <c r="P20" s="8" t="e">
        <f>#REF!</f>
        <v>#REF!</v>
      </c>
      <c r="Q20" s="27" t="e">
        <f>#REF!+#REF!</f>
        <v>#REF!</v>
      </c>
      <c r="R20" s="27" t="e">
        <f>((IF(#REF!=0,#REF!,#REF!))+(IF(#REF!=0,#REF!,#REF!)))/2</f>
        <v>#REF!</v>
      </c>
      <c r="S20" s="27" t="e">
        <f>((IF(#REF!=0,#REF!,#REF!))+(IF(#REF!=0,#REF!,#REF!)))/2</f>
        <v>#REF!</v>
      </c>
      <c r="T20" s="87" t="e">
        <f>((IF(#REF!=0,#REF!,#REF!))+(IF(#REF!=0,#REF!,#REF!)))/2</f>
        <v>#REF!</v>
      </c>
      <c r="U20" s="130" t="e">
        <f>#REF!</f>
        <v>#REF!</v>
      </c>
      <c r="V20" s="7" t="e">
        <f>#REF!</f>
        <v>#REF!</v>
      </c>
      <c r="W20" s="7" t="e">
        <f>#REF!</f>
        <v>#REF!</v>
      </c>
      <c r="X20" s="8" t="e">
        <f>#REF!</f>
        <v>#REF!</v>
      </c>
    </row>
    <row r="21" spans="2:24" ht="24.9" customHeight="1" x14ac:dyDescent="0.3">
      <c r="B21" s="131">
        <v>2</v>
      </c>
      <c r="C21" s="20">
        <v>693</v>
      </c>
      <c r="D21" s="10" t="s">
        <v>63</v>
      </c>
      <c r="E21" s="23" t="e">
        <f>#REF!</f>
        <v>#REF!</v>
      </c>
      <c r="F21" s="40" t="e">
        <f>#REF!</f>
        <v>#REF!</v>
      </c>
      <c r="G21" s="40" t="e">
        <f>#REF!</f>
        <v>#REF!</v>
      </c>
      <c r="H21" s="24" t="e">
        <f>#REF!</f>
        <v>#REF!</v>
      </c>
      <c r="I21" s="27" t="e">
        <f>#REF!</f>
        <v>#REF!</v>
      </c>
      <c r="J21" s="40" t="e">
        <f>#REF!</f>
        <v>#REF!</v>
      </c>
      <c r="K21" s="40" t="e">
        <f>#REF!</f>
        <v>#REF!</v>
      </c>
      <c r="L21" s="69" t="e">
        <f>#REF!</f>
        <v>#REF!</v>
      </c>
      <c r="M21" s="23" t="e">
        <f>#REF!</f>
        <v>#REF!</v>
      </c>
      <c r="N21" s="40" t="e">
        <f>#REF!</f>
        <v>#REF!</v>
      </c>
      <c r="O21" s="40" t="e">
        <f>#REF!</f>
        <v>#REF!</v>
      </c>
      <c r="P21" s="24" t="e">
        <f>#REF!</f>
        <v>#REF!</v>
      </c>
      <c r="Q21" s="27" t="e">
        <f>#REF!+#REF!</f>
        <v>#REF!</v>
      </c>
      <c r="R21" s="27" t="e">
        <f>((IF(#REF!=0,#REF!,#REF!))+(IF(#REF!=0,#REF!,#REF!)))/2</f>
        <v>#REF!</v>
      </c>
      <c r="S21" s="27" t="e">
        <f>((IF(#REF!=0,#REF!,#REF!))+(IF(#REF!=0,#REF!,#REF!)))/2</f>
        <v>#REF!</v>
      </c>
      <c r="T21" s="87" t="e">
        <f>((IF(#REF!=0,#REF!,#REF!))+(IF(#REF!=0,#REF!,#REF!)))/2</f>
        <v>#REF!</v>
      </c>
      <c r="U21" s="23" t="e">
        <f>#REF!</f>
        <v>#REF!</v>
      </c>
      <c r="V21" s="40" t="e">
        <f>#REF!</f>
        <v>#REF!</v>
      </c>
      <c r="W21" s="40" t="e">
        <f>#REF!</f>
        <v>#REF!</v>
      </c>
      <c r="X21" s="24" t="e">
        <f>#REF!</f>
        <v>#REF!</v>
      </c>
    </row>
    <row r="22" spans="2:24" ht="24.9" customHeight="1" x14ac:dyDescent="0.3">
      <c r="B22" s="131">
        <v>3</v>
      </c>
      <c r="C22" s="20">
        <v>694</v>
      </c>
      <c r="D22" s="10" t="s">
        <v>63</v>
      </c>
      <c r="E22" s="23" t="e">
        <f>#REF!</f>
        <v>#REF!</v>
      </c>
      <c r="F22" s="40" t="e">
        <f>#REF!</f>
        <v>#REF!</v>
      </c>
      <c r="G22" s="40" t="e">
        <f>#REF!</f>
        <v>#REF!</v>
      </c>
      <c r="H22" s="24" t="e">
        <f>#REF!</f>
        <v>#REF!</v>
      </c>
      <c r="I22" s="27" t="e">
        <f>#REF!</f>
        <v>#REF!</v>
      </c>
      <c r="J22" s="40" t="e">
        <f>#REF!</f>
        <v>#REF!</v>
      </c>
      <c r="K22" s="40" t="e">
        <f>#REF!</f>
        <v>#REF!</v>
      </c>
      <c r="L22" s="69" t="e">
        <f>#REF!</f>
        <v>#REF!</v>
      </c>
      <c r="M22" s="23" t="e">
        <f>#REF!</f>
        <v>#REF!</v>
      </c>
      <c r="N22" s="40" t="e">
        <f>#REF!</f>
        <v>#REF!</v>
      </c>
      <c r="O22" s="40" t="e">
        <f>#REF!</f>
        <v>#REF!</v>
      </c>
      <c r="P22" s="24" t="e">
        <f>#REF!</f>
        <v>#REF!</v>
      </c>
      <c r="Q22" s="27" t="e">
        <f>#REF!+#REF!</f>
        <v>#REF!</v>
      </c>
      <c r="R22" s="27" t="e">
        <f>((IF(#REF!=0,#REF!,#REF!))+(IF(#REF!=0,#REF!,#REF!)))/2</f>
        <v>#REF!</v>
      </c>
      <c r="S22" s="27" t="e">
        <f>((IF(#REF!=0,#REF!,#REF!))+(IF(#REF!=0,#REF!,#REF!)))/2</f>
        <v>#REF!</v>
      </c>
      <c r="T22" s="87" t="e">
        <f>((IF(#REF!=0,#REF!,#REF!))+(IF(#REF!=0,#REF!,#REF!)))/2</f>
        <v>#REF!</v>
      </c>
      <c r="U22" s="23" t="e">
        <f>#REF!</f>
        <v>#REF!</v>
      </c>
      <c r="V22" s="40" t="e">
        <f>#REF!</f>
        <v>#REF!</v>
      </c>
      <c r="W22" s="40" t="e">
        <f>#REF!</f>
        <v>#REF!</v>
      </c>
      <c r="X22" s="24" t="e">
        <f>#REF!</f>
        <v>#REF!</v>
      </c>
    </row>
    <row r="23" spans="2:24" ht="24.9" customHeight="1" x14ac:dyDescent="0.3">
      <c r="B23" s="131">
        <v>4</v>
      </c>
      <c r="C23" s="23">
        <v>695</v>
      </c>
      <c r="D23" s="10" t="s">
        <v>63</v>
      </c>
      <c r="E23" s="23" t="e">
        <f>#REF!</f>
        <v>#REF!</v>
      </c>
      <c r="F23" s="40" t="e">
        <f>#REF!</f>
        <v>#REF!</v>
      </c>
      <c r="G23" s="40" t="e">
        <f>#REF!</f>
        <v>#REF!</v>
      </c>
      <c r="H23" s="24" t="e">
        <f>#REF!</f>
        <v>#REF!</v>
      </c>
      <c r="I23" s="27" t="e">
        <f>#REF!</f>
        <v>#REF!</v>
      </c>
      <c r="J23" s="40" t="e">
        <f>#REF!</f>
        <v>#REF!</v>
      </c>
      <c r="K23" s="40" t="e">
        <f>#REF!</f>
        <v>#REF!</v>
      </c>
      <c r="L23" s="69" t="e">
        <f>#REF!</f>
        <v>#REF!</v>
      </c>
      <c r="M23" s="23" t="e">
        <f>#REF!</f>
        <v>#REF!</v>
      </c>
      <c r="N23" s="40" t="e">
        <f>#REF!</f>
        <v>#REF!</v>
      </c>
      <c r="O23" s="40" t="e">
        <f>#REF!</f>
        <v>#REF!</v>
      </c>
      <c r="P23" s="24" t="e">
        <f>#REF!</f>
        <v>#REF!</v>
      </c>
      <c r="Q23" s="27" t="e">
        <f>#REF!+#REF!</f>
        <v>#REF!</v>
      </c>
      <c r="R23" s="27" t="e">
        <f>((IF(#REF!=0,#REF!,#REF!))+(IF(#REF!=0,#REF!,#REF!)))/2</f>
        <v>#REF!</v>
      </c>
      <c r="S23" s="27" t="e">
        <f>((IF(#REF!=0,#REF!,#REF!))+(IF(#REF!=0,#REF!,#REF!)))/2</f>
        <v>#REF!</v>
      </c>
      <c r="T23" s="87" t="e">
        <f>((IF(#REF!=0,#REF!,#REF!))+(IF(#REF!=0,#REF!,#REF!)))/2</f>
        <v>#REF!</v>
      </c>
      <c r="U23" s="23" t="e">
        <f>#REF!</f>
        <v>#REF!</v>
      </c>
      <c r="V23" s="40" t="e">
        <f>#REF!</f>
        <v>#REF!</v>
      </c>
      <c r="W23" s="40" t="e">
        <f>#REF!</f>
        <v>#REF!</v>
      </c>
      <c r="X23" s="24" t="e">
        <f>#REF!</f>
        <v>#REF!</v>
      </c>
    </row>
    <row r="24" spans="2:24" ht="24.9" customHeight="1" x14ac:dyDescent="0.3">
      <c r="B24" s="131">
        <v>5</v>
      </c>
      <c r="C24" s="20">
        <v>696</v>
      </c>
      <c r="D24" s="10" t="s">
        <v>64</v>
      </c>
      <c r="E24" s="23" t="e">
        <f>#REF!</f>
        <v>#REF!</v>
      </c>
      <c r="F24" s="40" t="e">
        <f>#REF!</f>
        <v>#REF!</v>
      </c>
      <c r="G24" s="40" t="e">
        <f>#REF!</f>
        <v>#REF!</v>
      </c>
      <c r="H24" s="24" t="e">
        <f>#REF!</f>
        <v>#REF!</v>
      </c>
      <c r="I24" s="27" t="e">
        <f>#REF!</f>
        <v>#REF!</v>
      </c>
      <c r="J24" s="40" t="e">
        <f>#REF!</f>
        <v>#REF!</v>
      </c>
      <c r="K24" s="40" t="e">
        <f>#REF!</f>
        <v>#REF!</v>
      </c>
      <c r="L24" s="69" t="e">
        <f>#REF!</f>
        <v>#REF!</v>
      </c>
      <c r="M24" s="23" t="e">
        <f>#REF!</f>
        <v>#REF!</v>
      </c>
      <c r="N24" s="40" t="e">
        <f>#REF!</f>
        <v>#REF!</v>
      </c>
      <c r="O24" s="40" t="e">
        <f>#REF!</f>
        <v>#REF!</v>
      </c>
      <c r="P24" s="24" t="e">
        <f>#REF!</f>
        <v>#REF!</v>
      </c>
      <c r="Q24" s="27" t="e">
        <f>#REF!+#REF!</f>
        <v>#REF!</v>
      </c>
      <c r="R24" s="27" t="e">
        <f>((IF(#REF!=0,#REF!,#REF!))+(IF(#REF!=0,#REF!,#REF!)))/2</f>
        <v>#REF!</v>
      </c>
      <c r="S24" s="27" t="e">
        <f>((IF(#REF!=0,#REF!,#REF!))+(IF(#REF!=0,#REF!,#REF!)))/2</f>
        <v>#REF!</v>
      </c>
      <c r="T24" s="87" t="e">
        <f>((IF(#REF!=0,#REF!,#REF!))+(IF(#REF!=0,#REF!,#REF!)))/2</f>
        <v>#REF!</v>
      </c>
      <c r="U24" s="23" t="e">
        <f>#REF!</f>
        <v>#REF!</v>
      </c>
      <c r="V24" s="40" t="e">
        <f>#REF!</f>
        <v>#REF!</v>
      </c>
      <c r="W24" s="40" t="e">
        <f>#REF!</f>
        <v>#REF!</v>
      </c>
      <c r="X24" s="24" t="e">
        <f>#REF!</f>
        <v>#REF!</v>
      </c>
    </row>
    <row r="25" spans="2:24" ht="24.9" customHeight="1" x14ac:dyDescent="0.3">
      <c r="B25" s="131">
        <v>6</v>
      </c>
      <c r="C25" s="20">
        <v>697</v>
      </c>
      <c r="D25" s="10" t="s">
        <v>63</v>
      </c>
      <c r="E25" s="23" t="e">
        <f>#REF!</f>
        <v>#REF!</v>
      </c>
      <c r="F25" s="40" t="e">
        <f>#REF!</f>
        <v>#REF!</v>
      </c>
      <c r="G25" s="40" t="e">
        <f>#REF!</f>
        <v>#REF!</v>
      </c>
      <c r="H25" s="24" t="e">
        <f>#REF!</f>
        <v>#REF!</v>
      </c>
      <c r="I25" s="27" t="e">
        <f>#REF!</f>
        <v>#REF!</v>
      </c>
      <c r="J25" s="40" t="e">
        <f>#REF!</f>
        <v>#REF!</v>
      </c>
      <c r="K25" s="40" t="e">
        <f>#REF!</f>
        <v>#REF!</v>
      </c>
      <c r="L25" s="69" t="e">
        <f>#REF!</f>
        <v>#REF!</v>
      </c>
      <c r="M25" s="23" t="e">
        <f>#REF!</f>
        <v>#REF!</v>
      </c>
      <c r="N25" s="40" t="e">
        <f>#REF!</f>
        <v>#REF!</v>
      </c>
      <c r="O25" s="40" t="e">
        <f>#REF!</f>
        <v>#REF!</v>
      </c>
      <c r="P25" s="24" t="e">
        <f>#REF!</f>
        <v>#REF!</v>
      </c>
      <c r="Q25" s="27" t="e">
        <f>#REF!+#REF!</f>
        <v>#REF!</v>
      </c>
      <c r="R25" s="27" t="e">
        <f>((IF(#REF!=0,#REF!,#REF!))+(IF(#REF!=0,#REF!,#REF!)))/2</f>
        <v>#REF!</v>
      </c>
      <c r="S25" s="27" t="e">
        <f>((IF(#REF!=0,#REF!,#REF!))+(IF(#REF!=0,#REF!,#REF!)))/2</f>
        <v>#REF!</v>
      </c>
      <c r="T25" s="87" t="e">
        <f>((IF(#REF!=0,#REF!,#REF!))+(IF(#REF!=0,#REF!,#REF!)))/2</f>
        <v>#REF!</v>
      </c>
      <c r="U25" s="23" t="e">
        <f>#REF!</f>
        <v>#REF!</v>
      </c>
      <c r="V25" s="40" t="e">
        <f>#REF!</f>
        <v>#REF!</v>
      </c>
      <c r="W25" s="40" t="e">
        <f>#REF!</f>
        <v>#REF!</v>
      </c>
      <c r="X25" s="24" t="e">
        <f>#REF!</f>
        <v>#REF!</v>
      </c>
    </row>
    <row r="26" spans="2:24" ht="24.9" customHeight="1" x14ac:dyDescent="0.3">
      <c r="B26" s="131">
        <v>7</v>
      </c>
      <c r="C26" s="23">
        <v>698</v>
      </c>
      <c r="D26" s="10" t="s">
        <v>63</v>
      </c>
      <c r="E26" s="23" t="e">
        <f>#REF!</f>
        <v>#REF!</v>
      </c>
      <c r="F26" s="40" t="e">
        <f>#REF!</f>
        <v>#REF!</v>
      </c>
      <c r="G26" s="40" t="e">
        <f>#REF!</f>
        <v>#REF!</v>
      </c>
      <c r="H26" s="24" t="e">
        <f>#REF!</f>
        <v>#REF!</v>
      </c>
      <c r="I26" s="27" t="e">
        <f>#REF!</f>
        <v>#REF!</v>
      </c>
      <c r="J26" s="40" t="e">
        <f>#REF!</f>
        <v>#REF!</v>
      </c>
      <c r="K26" s="40" t="e">
        <f>#REF!</f>
        <v>#REF!</v>
      </c>
      <c r="L26" s="69" t="e">
        <f>#REF!</f>
        <v>#REF!</v>
      </c>
      <c r="M26" s="23" t="e">
        <f>#REF!</f>
        <v>#REF!</v>
      </c>
      <c r="N26" s="40" t="e">
        <f>#REF!</f>
        <v>#REF!</v>
      </c>
      <c r="O26" s="40" t="e">
        <f>#REF!</f>
        <v>#REF!</v>
      </c>
      <c r="P26" s="24" t="e">
        <f>#REF!</f>
        <v>#REF!</v>
      </c>
      <c r="Q26" s="27" t="e">
        <f>#REF!+#REF!</f>
        <v>#REF!</v>
      </c>
      <c r="R26" s="27" t="e">
        <f>((IF(#REF!=0,#REF!,#REF!))+(IF(#REF!=0,#REF!,#REF!)))/2</f>
        <v>#REF!</v>
      </c>
      <c r="S26" s="27" t="e">
        <f>((IF(#REF!=0,#REF!,#REF!))+(IF(#REF!=0,#REF!,#REF!)))/2</f>
        <v>#REF!</v>
      </c>
      <c r="T26" s="87" t="e">
        <f>((IF(#REF!=0,#REF!,#REF!))+(IF(#REF!=0,#REF!,#REF!)))/2</f>
        <v>#REF!</v>
      </c>
      <c r="U26" s="23" t="e">
        <f>#REF!</f>
        <v>#REF!</v>
      </c>
      <c r="V26" s="40" t="e">
        <f>#REF!</f>
        <v>#REF!</v>
      </c>
      <c r="W26" s="40" t="e">
        <f>#REF!</f>
        <v>#REF!</v>
      </c>
      <c r="X26" s="24" t="e">
        <f>#REF!</f>
        <v>#REF!</v>
      </c>
    </row>
    <row r="27" spans="2:24" ht="24.9" customHeight="1" x14ac:dyDescent="0.3">
      <c r="B27" s="131">
        <v>8</v>
      </c>
      <c r="C27" s="20">
        <v>699</v>
      </c>
      <c r="D27" s="10" t="s">
        <v>63</v>
      </c>
      <c r="E27" s="23" t="e">
        <f>#REF!</f>
        <v>#REF!</v>
      </c>
      <c r="F27" s="40" t="e">
        <f>#REF!</f>
        <v>#REF!</v>
      </c>
      <c r="G27" s="40" t="e">
        <f>#REF!</f>
        <v>#REF!</v>
      </c>
      <c r="H27" s="24" t="e">
        <f>#REF!</f>
        <v>#REF!</v>
      </c>
      <c r="I27" s="27" t="e">
        <f>#REF!</f>
        <v>#REF!</v>
      </c>
      <c r="J27" s="40" t="e">
        <f>#REF!</f>
        <v>#REF!</v>
      </c>
      <c r="K27" s="40" t="e">
        <f>#REF!</f>
        <v>#REF!</v>
      </c>
      <c r="L27" s="69" t="e">
        <f>#REF!</f>
        <v>#REF!</v>
      </c>
      <c r="M27" s="23" t="e">
        <f>#REF!</f>
        <v>#REF!</v>
      </c>
      <c r="N27" s="40" t="e">
        <f>#REF!</f>
        <v>#REF!</v>
      </c>
      <c r="O27" s="40" t="e">
        <f>#REF!</f>
        <v>#REF!</v>
      </c>
      <c r="P27" s="24" t="e">
        <f>#REF!</f>
        <v>#REF!</v>
      </c>
      <c r="Q27" s="27" t="e">
        <f>#REF!+#REF!</f>
        <v>#REF!</v>
      </c>
      <c r="R27" s="27" t="e">
        <f>((IF(#REF!=0,#REF!,#REF!))+(IF(#REF!=0,#REF!,#REF!)))/2</f>
        <v>#REF!</v>
      </c>
      <c r="S27" s="27" t="e">
        <f>((IF(#REF!=0,#REF!,#REF!))+(IF(#REF!=0,#REF!,#REF!)))/2</f>
        <v>#REF!</v>
      </c>
      <c r="T27" s="87" t="e">
        <f>((IF(#REF!=0,#REF!,#REF!))+(IF(#REF!=0,#REF!,#REF!)))/2</f>
        <v>#REF!</v>
      </c>
      <c r="U27" s="23" t="e">
        <f>#REF!</f>
        <v>#REF!</v>
      </c>
      <c r="V27" s="40" t="e">
        <f>#REF!</f>
        <v>#REF!</v>
      </c>
      <c r="W27" s="40" t="e">
        <f>#REF!</f>
        <v>#REF!</v>
      </c>
      <c r="X27" s="24" t="e">
        <f>#REF!</f>
        <v>#REF!</v>
      </c>
    </row>
    <row r="28" spans="2:24" ht="24.9" customHeight="1" x14ac:dyDescent="0.3">
      <c r="B28" s="131">
        <v>9</v>
      </c>
      <c r="C28" s="20">
        <v>700</v>
      </c>
      <c r="D28" s="10" t="s">
        <v>63</v>
      </c>
      <c r="E28" s="23" t="e">
        <f>#REF!</f>
        <v>#REF!</v>
      </c>
      <c r="F28" s="40" t="e">
        <f>#REF!</f>
        <v>#REF!</v>
      </c>
      <c r="G28" s="40" t="e">
        <f>#REF!</f>
        <v>#REF!</v>
      </c>
      <c r="H28" s="24" t="e">
        <f>#REF!</f>
        <v>#REF!</v>
      </c>
      <c r="I28" s="27" t="e">
        <f>#REF!</f>
        <v>#REF!</v>
      </c>
      <c r="J28" s="40" t="e">
        <f>#REF!</f>
        <v>#REF!</v>
      </c>
      <c r="K28" s="40" t="e">
        <f>#REF!</f>
        <v>#REF!</v>
      </c>
      <c r="L28" s="69" t="e">
        <f>#REF!</f>
        <v>#REF!</v>
      </c>
      <c r="M28" s="23" t="e">
        <f>#REF!</f>
        <v>#REF!</v>
      </c>
      <c r="N28" s="40" t="e">
        <f>#REF!</f>
        <v>#REF!</v>
      </c>
      <c r="O28" s="40" t="e">
        <f>#REF!</f>
        <v>#REF!</v>
      </c>
      <c r="P28" s="24" t="e">
        <f>#REF!</f>
        <v>#REF!</v>
      </c>
      <c r="Q28" s="27" t="e">
        <f>#REF!+#REF!</f>
        <v>#REF!</v>
      </c>
      <c r="R28" s="27" t="e">
        <f>((IF(#REF!=0,#REF!,#REF!))+(IF(#REF!=0,#REF!,#REF!)))/2</f>
        <v>#REF!</v>
      </c>
      <c r="S28" s="27" t="e">
        <f>((IF(#REF!=0,#REF!,#REF!))+(IF(#REF!=0,#REF!,#REF!)))/2</f>
        <v>#REF!</v>
      </c>
      <c r="T28" s="87" t="e">
        <f>((IF(#REF!=0,#REF!,#REF!))+(IF(#REF!=0,#REF!,#REF!)))/2</f>
        <v>#REF!</v>
      </c>
      <c r="U28" s="23" t="e">
        <f>#REF!</f>
        <v>#REF!</v>
      </c>
      <c r="V28" s="40" t="e">
        <f>#REF!</f>
        <v>#REF!</v>
      </c>
      <c r="W28" s="40" t="e">
        <f>#REF!</f>
        <v>#REF!</v>
      </c>
      <c r="X28" s="24" t="e">
        <f>#REF!</f>
        <v>#REF!</v>
      </c>
    </row>
    <row r="29" spans="2:24" ht="24.9" customHeight="1" x14ac:dyDescent="0.3">
      <c r="B29" s="131">
        <v>10</v>
      </c>
      <c r="C29" s="23">
        <v>701</v>
      </c>
      <c r="D29" s="10" t="s">
        <v>63</v>
      </c>
      <c r="E29" s="23" t="e">
        <f>#REF!</f>
        <v>#REF!</v>
      </c>
      <c r="F29" s="40" t="e">
        <f>#REF!</f>
        <v>#REF!</v>
      </c>
      <c r="G29" s="40" t="e">
        <f>#REF!</f>
        <v>#REF!</v>
      </c>
      <c r="H29" s="24" t="e">
        <f>#REF!</f>
        <v>#REF!</v>
      </c>
      <c r="I29" s="27" t="e">
        <f>#REF!</f>
        <v>#REF!</v>
      </c>
      <c r="J29" s="40" t="e">
        <f>#REF!</f>
        <v>#REF!</v>
      </c>
      <c r="K29" s="40" t="e">
        <f>#REF!</f>
        <v>#REF!</v>
      </c>
      <c r="L29" s="69" t="e">
        <f>#REF!</f>
        <v>#REF!</v>
      </c>
      <c r="M29" s="23" t="e">
        <f>#REF!</f>
        <v>#REF!</v>
      </c>
      <c r="N29" s="40" t="e">
        <f>#REF!</f>
        <v>#REF!</v>
      </c>
      <c r="O29" s="40" t="e">
        <f>#REF!</f>
        <v>#REF!</v>
      </c>
      <c r="P29" s="24" t="e">
        <f>#REF!</f>
        <v>#REF!</v>
      </c>
      <c r="Q29" s="27" t="e">
        <f>#REF!+#REF!</f>
        <v>#REF!</v>
      </c>
      <c r="R29" s="27" t="e">
        <f>((IF(#REF!=0,#REF!,#REF!))+(IF(#REF!=0,#REF!,#REF!)))/2</f>
        <v>#REF!</v>
      </c>
      <c r="S29" s="27" t="e">
        <f>((IF(#REF!=0,#REF!,#REF!))+(IF(#REF!=0,#REF!,#REF!)))/2</f>
        <v>#REF!</v>
      </c>
      <c r="T29" s="87" t="e">
        <f>((IF(#REF!=0,#REF!,#REF!))+(IF(#REF!=0,#REF!,#REF!)))/2</f>
        <v>#REF!</v>
      </c>
      <c r="U29" s="23" t="e">
        <f>#REF!</f>
        <v>#REF!</v>
      </c>
      <c r="V29" s="40" t="e">
        <f>#REF!</f>
        <v>#REF!</v>
      </c>
      <c r="W29" s="40" t="e">
        <f>#REF!</f>
        <v>#REF!</v>
      </c>
      <c r="X29" s="24" t="e">
        <f>#REF!</f>
        <v>#REF!</v>
      </c>
    </row>
    <row r="30" spans="2:24" ht="24.9" customHeight="1" x14ac:dyDescent="0.3">
      <c r="B30" s="131">
        <v>11</v>
      </c>
      <c r="C30" s="20">
        <v>702</v>
      </c>
      <c r="D30" s="10" t="s">
        <v>63</v>
      </c>
      <c r="E30" s="23" t="e">
        <f>#REF!</f>
        <v>#REF!</v>
      </c>
      <c r="F30" s="40" t="e">
        <f>#REF!</f>
        <v>#REF!</v>
      </c>
      <c r="G30" s="40" t="e">
        <f>#REF!</f>
        <v>#REF!</v>
      </c>
      <c r="H30" s="24" t="e">
        <f>#REF!</f>
        <v>#REF!</v>
      </c>
      <c r="I30" s="27" t="e">
        <f>#REF!</f>
        <v>#REF!</v>
      </c>
      <c r="J30" s="40" t="e">
        <f>#REF!</f>
        <v>#REF!</v>
      </c>
      <c r="K30" s="40" t="e">
        <f>#REF!</f>
        <v>#REF!</v>
      </c>
      <c r="L30" s="69" t="e">
        <f>#REF!</f>
        <v>#REF!</v>
      </c>
      <c r="M30" s="23" t="e">
        <f>#REF!</f>
        <v>#REF!</v>
      </c>
      <c r="N30" s="40" t="e">
        <f>#REF!</f>
        <v>#REF!</v>
      </c>
      <c r="O30" s="40" t="e">
        <f>#REF!</f>
        <v>#REF!</v>
      </c>
      <c r="P30" s="24" t="e">
        <f>#REF!</f>
        <v>#REF!</v>
      </c>
      <c r="Q30" s="27" t="e">
        <f>#REF!+#REF!</f>
        <v>#REF!</v>
      </c>
      <c r="R30" s="27" t="e">
        <f>((IF(#REF!=0,#REF!,#REF!))+(IF(#REF!=0,#REF!,#REF!)))/2</f>
        <v>#REF!</v>
      </c>
      <c r="S30" s="27" t="e">
        <f>((IF(#REF!=0,#REF!,#REF!))+(IF(#REF!=0,#REF!,#REF!)))/2</f>
        <v>#REF!</v>
      </c>
      <c r="T30" s="87" t="e">
        <f>((IF(#REF!=0,#REF!,#REF!))+(IF(#REF!=0,#REF!,#REF!)))/2</f>
        <v>#REF!</v>
      </c>
      <c r="U30" s="23" t="e">
        <f>#REF!</f>
        <v>#REF!</v>
      </c>
      <c r="V30" s="40" t="e">
        <f>#REF!</f>
        <v>#REF!</v>
      </c>
      <c r="W30" s="40" t="e">
        <f>#REF!</f>
        <v>#REF!</v>
      </c>
      <c r="X30" s="24" t="e">
        <f>#REF!</f>
        <v>#REF!</v>
      </c>
    </row>
    <row r="31" spans="2:24" ht="24.9" customHeight="1" x14ac:dyDescent="0.3">
      <c r="B31" s="131">
        <v>12</v>
      </c>
      <c r="C31" s="20">
        <v>703</v>
      </c>
      <c r="D31" s="10" t="s">
        <v>63</v>
      </c>
      <c r="E31" s="23" t="e">
        <f>#REF!</f>
        <v>#REF!</v>
      </c>
      <c r="F31" s="40" t="e">
        <f>#REF!</f>
        <v>#REF!</v>
      </c>
      <c r="G31" s="40" t="e">
        <f>#REF!</f>
        <v>#REF!</v>
      </c>
      <c r="H31" s="24" t="e">
        <f>#REF!</f>
        <v>#REF!</v>
      </c>
      <c r="I31" s="27" t="e">
        <f>#REF!</f>
        <v>#REF!</v>
      </c>
      <c r="J31" s="40" t="e">
        <f>#REF!</f>
        <v>#REF!</v>
      </c>
      <c r="K31" s="40" t="e">
        <f>#REF!</f>
        <v>#REF!</v>
      </c>
      <c r="L31" s="69" t="e">
        <f>#REF!</f>
        <v>#REF!</v>
      </c>
      <c r="M31" s="23" t="e">
        <f>#REF!</f>
        <v>#REF!</v>
      </c>
      <c r="N31" s="40" t="e">
        <f>#REF!</f>
        <v>#REF!</v>
      </c>
      <c r="O31" s="40" t="e">
        <f>#REF!</f>
        <v>#REF!</v>
      </c>
      <c r="P31" s="24" t="e">
        <f>#REF!</f>
        <v>#REF!</v>
      </c>
      <c r="Q31" s="27" t="e">
        <f>#REF!+#REF!</f>
        <v>#REF!</v>
      </c>
      <c r="R31" s="27" t="e">
        <f>((IF(#REF!=0,#REF!,#REF!))+(IF(#REF!=0,#REF!,#REF!)))/2</f>
        <v>#REF!</v>
      </c>
      <c r="S31" s="27" t="e">
        <f>((IF(#REF!=0,#REF!,#REF!))+(IF(#REF!=0,#REF!,#REF!)))/2</f>
        <v>#REF!</v>
      </c>
      <c r="T31" s="87" t="e">
        <f>((IF(#REF!=0,#REF!,#REF!))+(IF(#REF!=0,#REF!,#REF!)))/2</f>
        <v>#REF!</v>
      </c>
      <c r="U31" s="23" t="e">
        <f>#REF!</f>
        <v>#REF!</v>
      </c>
      <c r="V31" s="40" t="e">
        <f>#REF!</f>
        <v>#REF!</v>
      </c>
      <c r="W31" s="40" t="e">
        <f>#REF!</f>
        <v>#REF!</v>
      </c>
      <c r="X31" s="24" t="e">
        <f>#REF!</f>
        <v>#REF!</v>
      </c>
    </row>
    <row r="32" spans="2:24" ht="24.9" customHeight="1" x14ac:dyDescent="0.3">
      <c r="B32" s="131">
        <v>13</v>
      </c>
      <c r="C32" s="20">
        <v>704</v>
      </c>
      <c r="D32" s="10" t="s">
        <v>63</v>
      </c>
      <c r="E32" s="23" t="e">
        <f>#REF!</f>
        <v>#REF!</v>
      </c>
      <c r="F32" s="40" t="e">
        <f>#REF!</f>
        <v>#REF!</v>
      </c>
      <c r="G32" s="40" t="e">
        <f>#REF!</f>
        <v>#REF!</v>
      </c>
      <c r="H32" s="24" t="e">
        <f>#REF!</f>
        <v>#REF!</v>
      </c>
      <c r="I32" s="27" t="e">
        <f>#REF!</f>
        <v>#REF!</v>
      </c>
      <c r="J32" s="40" t="e">
        <f>#REF!</f>
        <v>#REF!</v>
      </c>
      <c r="K32" s="40" t="e">
        <f>#REF!</f>
        <v>#REF!</v>
      </c>
      <c r="L32" s="69" t="e">
        <f>#REF!</f>
        <v>#REF!</v>
      </c>
      <c r="M32" s="23" t="e">
        <f>#REF!</f>
        <v>#REF!</v>
      </c>
      <c r="N32" s="40" t="e">
        <f>#REF!</f>
        <v>#REF!</v>
      </c>
      <c r="O32" s="40" t="e">
        <f>#REF!</f>
        <v>#REF!</v>
      </c>
      <c r="P32" s="24" t="e">
        <f>#REF!</f>
        <v>#REF!</v>
      </c>
      <c r="Q32" s="27" t="e">
        <f>#REF!+#REF!</f>
        <v>#REF!</v>
      </c>
      <c r="R32" s="27" t="e">
        <f>((IF(#REF!=0,#REF!,#REF!))+(IF(#REF!=0,#REF!,#REF!)))/2</f>
        <v>#REF!</v>
      </c>
      <c r="S32" s="27" t="e">
        <f>((IF(#REF!=0,#REF!,#REF!))+(IF(#REF!=0,#REF!,#REF!)))/2</f>
        <v>#REF!</v>
      </c>
      <c r="T32" s="87" t="e">
        <f>((IF(#REF!=0,#REF!,#REF!))+(IF(#REF!=0,#REF!,#REF!)))/2</f>
        <v>#REF!</v>
      </c>
      <c r="U32" s="23" t="e">
        <f>#REF!</f>
        <v>#REF!</v>
      </c>
      <c r="V32" s="40" t="e">
        <f>#REF!</f>
        <v>#REF!</v>
      </c>
      <c r="W32" s="40" t="e">
        <f>#REF!</f>
        <v>#REF!</v>
      </c>
      <c r="X32" s="24" t="e">
        <f>#REF!</f>
        <v>#REF!</v>
      </c>
    </row>
    <row r="33" spans="2:24" ht="24.9" customHeight="1" x14ac:dyDescent="0.3">
      <c r="B33" s="131">
        <v>14</v>
      </c>
      <c r="C33" s="20">
        <v>705</v>
      </c>
      <c r="D33" s="10" t="s">
        <v>63</v>
      </c>
      <c r="E33" s="23" t="e">
        <f>#REF!</f>
        <v>#REF!</v>
      </c>
      <c r="F33" s="40" t="e">
        <f>#REF!</f>
        <v>#REF!</v>
      </c>
      <c r="G33" s="40" t="e">
        <f>#REF!</f>
        <v>#REF!</v>
      </c>
      <c r="H33" s="24" t="e">
        <f>#REF!</f>
        <v>#REF!</v>
      </c>
      <c r="I33" s="27" t="e">
        <f>#REF!</f>
        <v>#REF!</v>
      </c>
      <c r="J33" s="40" t="e">
        <f>#REF!</f>
        <v>#REF!</v>
      </c>
      <c r="K33" s="40" t="e">
        <f>#REF!</f>
        <v>#REF!</v>
      </c>
      <c r="L33" s="69" t="e">
        <f>#REF!</f>
        <v>#REF!</v>
      </c>
      <c r="M33" s="23" t="e">
        <f>#REF!</f>
        <v>#REF!</v>
      </c>
      <c r="N33" s="40" t="e">
        <f>#REF!</f>
        <v>#REF!</v>
      </c>
      <c r="O33" s="40" t="e">
        <f>#REF!</f>
        <v>#REF!</v>
      </c>
      <c r="P33" s="24" t="e">
        <f>#REF!</f>
        <v>#REF!</v>
      </c>
      <c r="Q33" s="27" t="e">
        <f>#REF!+#REF!</f>
        <v>#REF!</v>
      </c>
      <c r="R33" s="27" t="e">
        <f>((IF(#REF!=0,#REF!,#REF!))+(IF(#REF!=0,#REF!,#REF!)))/2</f>
        <v>#REF!</v>
      </c>
      <c r="S33" s="27" t="e">
        <f>((IF(#REF!=0,#REF!,#REF!))+(IF(#REF!=0,#REF!,#REF!)))/2</f>
        <v>#REF!</v>
      </c>
      <c r="T33" s="87" t="e">
        <f>((IF(#REF!=0,#REF!,#REF!))+(IF(#REF!=0,#REF!,#REF!)))/2</f>
        <v>#REF!</v>
      </c>
      <c r="U33" s="23" t="e">
        <f>#REF!</f>
        <v>#REF!</v>
      </c>
      <c r="V33" s="40" t="e">
        <f>#REF!</f>
        <v>#REF!</v>
      </c>
      <c r="W33" s="40" t="e">
        <f>#REF!</f>
        <v>#REF!</v>
      </c>
      <c r="X33" s="24" t="e">
        <f>#REF!</f>
        <v>#REF!</v>
      </c>
    </row>
    <row r="34" spans="2:24" ht="24.9" customHeight="1" x14ac:dyDescent="0.3">
      <c r="B34" s="131">
        <v>15</v>
      </c>
      <c r="C34" s="20">
        <v>706</v>
      </c>
      <c r="D34" s="10" t="s">
        <v>63</v>
      </c>
      <c r="E34" s="23" t="e">
        <f>#REF!</f>
        <v>#REF!</v>
      </c>
      <c r="F34" s="40" t="e">
        <f>#REF!</f>
        <v>#REF!</v>
      </c>
      <c r="G34" s="40" t="e">
        <f>#REF!</f>
        <v>#REF!</v>
      </c>
      <c r="H34" s="24" t="e">
        <f>#REF!</f>
        <v>#REF!</v>
      </c>
      <c r="I34" s="27" t="e">
        <f>#REF!</f>
        <v>#REF!</v>
      </c>
      <c r="J34" s="40" t="e">
        <f>#REF!</f>
        <v>#REF!</v>
      </c>
      <c r="K34" s="40" t="e">
        <f>#REF!</f>
        <v>#REF!</v>
      </c>
      <c r="L34" s="69" t="e">
        <f>#REF!</f>
        <v>#REF!</v>
      </c>
      <c r="M34" s="23" t="e">
        <f>#REF!</f>
        <v>#REF!</v>
      </c>
      <c r="N34" s="40" t="e">
        <f>#REF!</f>
        <v>#REF!</v>
      </c>
      <c r="O34" s="40" t="e">
        <f>#REF!</f>
        <v>#REF!</v>
      </c>
      <c r="P34" s="24" t="e">
        <f>#REF!</f>
        <v>#REF!</v>
      </c>
      <c r="Q34" s="27" t="e">
        <f>#REF!+#REF!</f>
        <v>#REF!</v>
      </c>
      <c r="R34" s="27" t="e">
        <f>((IF(#REF!=0,#REF!,#REF!))+(IF(#REF!=0,#REF!,#REF!)))/2</f>
        <v>#REF!</v>
      </c>
      <c r="S34" s="27" t="e">
        <f>((IF(#REF!=0,#REF!,#REF!))+(IF(#REF!=0,#REF!,#REF!)))/2</f>
        <v>#REF!</v>
      </c>
      <c r="T34" s="87" t="e">
        <f>((IF(#REF!=0,#REF!,#REF!))+(IF(#REF!=0,#REF!,#REF!)))/2</f>
        <v>#REF!</v>
      </c>
      <c r="U34" s="23" t="e">
        <f>#REF!</f>
        <v>#REF!</v>
      </c>
      <c r="V34" s="40" t="e">
        <f>#REF!</f>
        <v>#REF!</v>
      </c>
      <c r="W34" s="40" t="e">
        <f>#REF!</f>
        <v>#REF!</v>
      </c>
      <c r="X34" s="24" t="e">
        <f>#REF!</f>
        <v>#REF!</v>
      </c>
    </row>
    <row r="35" spans="2:24" ht="24.9" customHeight="1" x14ac:dyDescent="0.25">
      <c r="B35" s="131">
        <v>16</v>
      </c>
      <c r="C35" s="20"/>
      <c r="D35" s="10"/>
      <c r="E35" s="23" t="e">
        <f>#REF!</f>
        <v>#REF!</v>
      </c>
      <c r="F35" s="40" t="e">
        <f>#REF!</f>
        <v>#REF!</v>
      </c>
      <c r="G35" s="40" t="e">
        <f>#REF!</f>
        <v>#REF!</v>
      </c>
      <c r="H35" s="24" t="e">
        <f>#REF!</f>
        <v>#REF!</v>
      </c>
      <c r="I35" s="27" t="e">
        <f>#REF!</f>
        <v>#REF!</v>
      </c>
      <c r="J35" s="40" t="e">
        <f>#REF!</f>
        <v>#REF!</v>
      </c>
      <c r="K35" s="40" t="e">
        <f>#REF!</f>
        <v>#REF!</v>
      </c>
      <c r="L35" s="69" t="e">
        <f>#REF!</f>
        <v>#REF!</v>
      </c>
      <c r="M35" s="23" t="e">
        <f>#REF!</f>
        <v>#REF!</v>
      </c>
      <c r="N35" s="40" t="e">
        <f>#REF!</f>
        <v>#REF!</v>
      </c>
      <c r="O35" s="40" t="e">
        <f>#REF!</f>
        <v>#REF!</v>
      </c>
      <c r="P35" s="24" t="e">
        <f>#REF!</f>
        <v>#REF!</v>
      </c>
      <c r="Q35" s="27" t="e">
        <f>#REF!+#REF!</f>
        <v>#REF!</v>
      </c>
      <c r="R35" s="27" t="e">
        <f>((IF(#REF!=0,#REF!,#REF!))+(IF(#REF!=0,#REF!,#REF!)))/2</f>
        <v>#REF!</v>
      </c>
      <c r="S35" s="27" t="e">
        <f>((IF(#REF!=0,#REF!,#REF!))+(IF(#REF!=0,#REF!,#REF!)))/2</f>
        <v>#REF!</v>
      </c>
      <c r="T35" s="87" t="e">
        <f>((IF(#REF!=0,#REF!,#REF!))+(IF(#REF!=0,#REF!,#REF!)))/2</f>
        <v>#REF!</v>
      </c>
      <c r="U35" s="23" t="e">
        <f>#REF!</f>
        <v>#REF!</v>
      </c>
      <c r="V35" s="40" t="e">
        <f>#REF!</f>
        <v>#REF!</v>
      </c>
      <c r="W35" s="40" t="e">
        <f>#REF!</f>
        <v>#REF!</v>
      </c>
      <c r="X35" s="24" t="e">
        <f>#REF!</f>
        <v>#REF!</v>
      </c>
    </row>
    <row r="36" spans="2:24" ht="24.9" customHeight="1" x14ac:dyDescent="0.3">
      <c r="B36" s="131">
        <v>17</v>
      </c>
      <c r="C36" s="20"/>
      <c r="D36" s="10"/>
      <c r="E36" s="23" t="e">
        <f>#REF!</f>
        <v>#REF!</v>
      </c>
      <c r="F36" s="40" t="e">
        <f>#REF!</f>
        <v>#REF!</v>
      </c>
      <c r="G36" s="40" t="e">
        <f>#REF!</f>
        <v>#REF!</v>
      </c>
      <c r="H36" s="24" t="e">
        <f>#REF!</f>
        <v>#REF!</v>
      </c>
      <c r="I36" s="27" t="e">
        <f>#REF!</f>
        <v>#REF!</v>
      </c>
      <c r="J36" s="40" t="e">
        <f>#REF!</f>
        <v>#REF!</v>
      </c>
      <c r="K36" s="40" t="e">
        <f>#REF!</f>
        <v>#REF!</v>
      </c>
      <c r="L36" s="69" t="e">
        <f>#REF!</f>
        <v>#REF!</v>
      </c>
      <c r="M36" s="23" t="e">
        <f>#REF!</f>
        <v>#REF!</v>
      </c>
      <c r="N36" s="40" t="e">
        <f>#REF!</f>
        <v>#REF!</v>
      </c>
      <c r="O36" s="40" t="e">
        <f>#REF!</f>
        <v>#REF!</v>
      </c>
      <c r="P36" s="24" t="e">
        <f>#REF!</f>
        <v>#REF!</v>
      </c>
      <c r="Q36" s="27" t="e">
        <f>#REF!+#REF!</f>
        <v>#REF!</v>
      </c>
      <c r="R36" s="27" t="e">
        <f>((IF(#REF!=0,#REF!,#REF!))+(IF(#REF!=0,#REF!,#REF!)))/2</f>
        <v>#REF!</v>
      </c>
      <c r="S36" s="27" t="e">
        <f>((IF(#REF!=0,#REF!,#REF!))+(IF(#REF!=0,#REF!,#REF!)))/2</f>
        <v>#REF!</v>
      </c>
      <c r="T36" s="87" t="e">
        <f>((IF(#REF!=0,#REF!,#REF!))+(IF(#REF!=0,#REF!,#REF!)))/2</f>
        <v>#REF!</v>
      </c>
      <c r="U36" s="23" t="e">
        <f>#REF!</f>
        <v>#REF!</v>
      </c>
      <c r="V36" s="40" t="e">
        <f>#REF!</f>
        <v>#REF!</v>
      </c>
      <c r="W36" s="40" t="e">
        <f>#REF!</f>
        <v>#REF!</v>
      </c>
      <c r="X36" s="24" t="e">
        <f>#REF!</f>
        <v>#REF!</v>
      </c>
    </row>
    <row r="37" spans="2:24" ht="24.9" customHeight="1" x14ac:dyDescent="0.3">
      <c r="B37" s="131">
        <v>18</v>
      </c>
      <c r="C37" s="20"/>
      <c r="D37" s="10"/>
      <c r="E37" s="23" t="e">
        <f>#REF!</f>
        <v>#REF!</v>
      </c>
      <c r="F37" s="40" t="e">
        <f>#REF!</f>
        <v>#REF!</v>
      </c>
      <c r="G37" s="40" t="e">
        <f>#REF!</f>
        <v>#REF!</v>
      </c>
      <c r="H37" s="24" t="e">
        <f>#REF!</f>
        <v>#REF!</v>
      </c>
      <c r="I37" s="27" t="e">
        <f>#REF!</f>
        <v>#REF!</v>
      </c>
      <c r="J37" s="40" t="e">
        <f>#REF!</f>
        <v>#REF!</v>
      </c>
      <c r="K37" s="40" t="e">
        <f>#REF!</f>
        <v>#REF!</v>
      </c>
      <c r="L37" s="69" t="e">
        <f>#REF!</f>
        <v>#REF!</v>
      </c>
      <c r="M37" s="23" t="e">
        <f>#REF!</f>
        <v>#REF!</v>
      </c>
      <c r="N37" s="40" t="e">
        <f>#REF!</f>
        <v>#REF!</v>
      </c>
      <c r="O37" s="40" t="e">
        <f>#REF!</f>
        <v>#REF!</v>
      </c>
      <c r="P37" s="24" t="e">
        <f>#REF!</f>
        <v>#REF!</v>
      </c>
      <c r="Q37" s="27" t="e">
        <f>#REF!+#REF!</f>
        <v>#REF!</v>
      </c>
      <c r="R37" s="27" t="e">
        <f>((IF(#REF!=0,#REF!,#REF!))+(IF(#REF!=0,#REF!,#REF!)))/2</f>
        <v>#REF!</v>
      </c>
      <c r="S37" s="27" t="e">
        <f>((IF(#REF!=0,#REF!,#REF!))+(IF(#REF!=0,#REF!,#REF!)))/2</f>
        <v>#REF!</v>
      </c>
      <c r="T37" s="87" t="e">
        <f>((IF(#REF!=0,#REF!,#REF!))+(IF(#REF!=0,#REF!,#REF!)))/2</f>
        <v>#REF!</v>
      </c>
      <c r="U37" s="23" t="e">
        <f>#REF!</f>
        <v>#REF!</v>
      </c>
      <c r="V37" s="40" t="e">
        <f>#REF!</f>
        <v>#REF!</v>
      </c>
      <c r="W37" s="40" t="e">
        <f>#REF!</f>
        <v>#REF!</v>
      </c>
      <c r="X37" s="24" t="e">
        <f>#REF!</f>
        <v>#REF!</v>
      </c>
    </row>
    <row r="38" spans="2:24" ht="24.9" customHeight="1" x14ac:dyDescent="0.3">
      <c r="B38" s="131">
        <v>19</v>
      </c>
      <c r="C38" s="20"/>
      <c r="D38" s="10"/>
      <c r="E38" s="23" t="e">
        <f>#REF!</f>
        <v>#REF!</v>
      </c>
      <c r="F38" s="40" t="e">
        <f>#REF!</f>
        <v>#REF!</v>
      </c>
      <c r="G38" s="40" t="e">
        <f>#REF!</f>
        <v>#REF!</v>
      </c>
      <c r="H38" s="24" t="e">
        <f>#REF!</f>
        <v>#REF!</v>
      </c>
      <c r="I38" s="27" t="e">
        <f>#REF!</f>
        <v>#REF!</v>
      </c>
      <c r="J38" s="40" t="e">
        <f>#REF!</f>
        <v>#REF!</v>
      </c>
      <c r="K38" s="40" t="e">
        <f>#REF!</f>
        <v>#REF!</v>
      </c>
      <c r="L38" s="69" t="e">
        <f>#REF!</f>
        <v>#REF!</v>
      </c>
      <c r="M38" s="23" t="e">
        <f>#REF!</f>
        <v>#REF!</v>
      </c>
      <c r="N38" s="40" t="e">
        <f>#REF!</f>
        <v>#REF!</v>
      </c>
      <c r="O38" s="40" t="e">
        <f>#REF!</f>
        <v>#REF!</v>
      </c>
      <c r="P38" s="24" t="e">
        <f>#REF!</f>
        <v>#REF!</v>
      </c>
      <c r="Q38" s="27" t="e">
        <f>#REF!+#REF!</f>
        <v>#REF!</v>
      </c>
      <c r="R38" s="27" t="e">
        <f>((IF(#REF!=0,#REF!,#REF!))+(IF(#REF!=0,#REF!,#REF!)))/2</f>
        <v>#REF!</v>
      </c>
      <c r="S38" s="27" t="e">
        <f>((IF(#REF!=0,#REF!,#REF!))+(IF(#REF!=0,#REF!,#REF!)))/2</f>
        <v>#REF!</v>
      </c>
      <c r="T38" s="87" t="e">
        <f>((IF(#REF!=0,#REF!,#REF!))+(IF(#REF!=0,#REF!,#REF!)))/2</f>
        <v>#REF!</v>
      </c>
      <c r="U38" s="23" t="e">
        <f>#REF!</f>
        <v>#REF!</v>
      </c>
      <c r="V38" s="40" t="e">
        <f>#REF!</f>
        <v>#REF!</v>
      </c>
      <c r="W38" s="40" t="e">
        <f>#REF!</f>
        <v>#REF!</v>
      </c>
      <c r="X38" s="24" t="e">
        <f>#REF!</f>
        <v>#REF!</v>
      </c>
    </row>
    <row r="39" spans="2:24" ht="24.9" customHeight="1" x14ac:dyDescent="0.3">
      <c r="B39" s="131">
        <v>20</v>
      </c>
      <c r="C39" s="20"/>
      <c r="D39" s="10"/>
      <c r="E39" s="23" t="e">
        <f>#REF!</f>
        <v>#REF!</v>
      </c>
      <c r="F39" s="40" t="e">
        <f>#REF!</f>
        <v>#REF!</v>
      </c>
      <c r="G39" s="40" t="e">
        <f>#REF!</f>
        <v>#REF!</v>
      </c>
      <c r="H39" s="24" t="e">
        <f>#REF!</f>
        <v>#REF!</v>
      </c>
      <c r="I39" s="27" t="e">
        <f>#REF!</f>
        <v>#REF!</v>
      </c>
      <c r="J39" s="40" t="e">
        <f>#REF!</f>
        <v>#REF!</v>
      </c>
      <c r="K39" s="40" t="e">
        <f>#REF!</f>
        <v>#REF!</v>
      </c>
      <c r="L39" s="69" t="e">
        <f>#REF!</f>
        <v>#REF!</v>
      </c>
      <c r="M39" s="23" t="e">
        <f>#REF!</f>
        <v>#REF!</v>
      </c>
      <c r="N39" s="40" t="e">
        <f>#REF!</f>
        <v>#REF!</v>
      </c>
      <c r="O39" s="40" t="e">
        <f>#REF!</f>
        <v>#REF!</v>
      </c>
      <c r="P39" s="24" t="e">
        <f>#REF!</f>
        <v>#REF!</v>
      </c>
      <c r="Q39" s="27" t="e">
        <f>#REF!+#REF!</f>
        <v>#REF!</v>
      </c>
      <c r="R39" s="27" t="e">
        <f>((IF(#REF!=0,#REF!,#REF!))+(IF(#REF!=0,#REF!,#REF!)))/2</f>
        <v>#REF!</v>
      </c>
      <c r="S39" s="27" t="e">
        <f>((IF(#REF!=0,#REF!,#REF!))+(IF(#REF!=0,#REF!,#REF!)))/2</f>
        <v>#REF!</v>
      </c>
      <c r="T39" s="87" t="e">
        <f>((IF(#REF!=0,#REF!,#REF!))+(IF(#REF!=0,#REF!,#REF!)))/2</f>
        <v>#REF!</v>
      </c>
      <c r="U39" s="23" t="e">
        <f>#REF!</f>
        <v>#REF!</v>
      </c>
      <c r="V39" s="40" t="e">
        <f>#REF!</f>
        <v>#REF!</v>
      </c>
      <c r="W39" s="40" t="e">
        <f>#REF!</f>
        <v>#REF!</v>
      </c>
      <c r="X39" s="24" t="e">
        <f>#REF!</f>
        <v>#REF!</v>
      </c>
    </row>
    <row r="40" spans="2:24" ht="24.9" customHeight="1" x14ac:dyDescent="0.3">
      <c r="B40" s="131">
        <v>21</v>
      </c>
      <c r="C40" s="20"/>
      <c r="D40" s="10"/>
      <c r="E40" s="23" t="e">
        <f>#REF!</f>
        <v>#REF!</v>
      </c>
      <c r="F40" s="40" t="e">
        <f>#REF!</f>
        <v>#REF!</v>
      </c>
      <c r="G40" s="40" t="e">
        <f>#REF!</f>
        <v>#REF!</v>
      </c>
      <c r="H40" s="24" t="e">
        <f>#REF!</f>
        <v>#REF!</v>
      </c>
      <c r="I40" s="27" t="e">
        <f>#REF!</f>
        <v>#REF!</v>
      </c>
      <c r="J40" s="40" t="e">
        <f>#REF!</f>
        <v>#REF!</v>
      </c>
      <c r="K40" s="40" t="e">
        <f>#REF!</f>
        <v>#REF!</v>
      </c>
      <c r="L40" s="69" t="e">
        <f>#REF!</f>
        <v>#REF!</v>
      </c>
      <c r="M40" s="23" t="e">
        <f>#REF!</f>
        <v>#REF!</v>
      </c>
      <c r="N40" s="40" t="e">
        <f>#REF!</f>
        <v>#REF!</v>
      </c>
      <c r="O40" s="40" t="e">
        <f>#REF!</f>
        <v>#REF!</v>
      </c>
      <c r="P40" s="24" t="e">
        <f>#REF!</f>
        <v>#REF!</v>
      </c>
      <c r="Q40" s="27" t="e">
        <f>#REF!+#REF!</f>
        <v>#REF!</v>
      </c>
      <c r="R40" s="27" t="e">
        <f>((IF(#REF!=0,#REF!,#REF!))+(IF(#REF!=0,#REF!,#REF!)))/2</f>
        <v>#REF!</v>
      </c>
      <c r="S40" s="27" t="e">
        <f>((IF(#REF!=0,#REF!,#REF!))+(IF(#REF!=0,#REF!,#REF!)))/2</f>
        <v>#REF!</v>
      </c>
      <c r="T40" s="87" t="e">
        <f>((IF(#REF!=0,#REF!,#REF!))+(IF(#REF!=0,#REF!,#REF!)))/2</f>
        <v>#REF!</v>
      </c>
      <c r="U40" s="23" t="e">
        <f>#REF!</f>
        <v>#REF!</v>
      </c>
      <c r="V40" s="40" t="e">
        <f>#REF!</f>
        <v>#REF!</v>
      </c>
      <c r="W40" s="40" t="e">
        <f>#REF!</f>
        <v>#REF!</v>
      </c>
      <c r="X40" s="24" t="e">
        <f>#REF!</f>
        <v>#REF!</v>
      </c>
    </row>
    <row r="41" spans="2:24" ht="24.9" customHeight="1" x14ac:dyDescent="0.3">
      <c r="B41" s="131">
        <v>22</v>
      </c>
      <c r="C41" s="20"/>
      <c r="D41" s="10"/>
      <c r="E41" s="23" t="e">
        <f>#REF!</f>
        <v>#REF!</v>
      </c>
      <c r="F41" s="40" t="e">
        <f>#REF!</f>
        <v>#REF!</v>
      </c>
      <c r="G41" s="40" t="e">
        <f>#REF!</f>
        <v>#REF!</v>
      </c>
      <c r="H41" s="24" t="e">
        <f>#REF!</f>
        <v>#REF!</v>
      </c>
      <c r="I41" s="27" t="e">
        <f>#REF!</f>
        <v>#REF!</v>
      </c>
      <c r="J41" s="40" t="e">
        <f>#REF!</f>
        <v>#REF!</v>
      </c>
      <c r="K41" s="40" t="e">
        <f>#REF!</f>
        <v>#REF!</v>
      </c>
      <c r="L41" s="69" t="e">
        <f>#REF!</f>
        <v>#REF!</v>
      </c>
      <c r="M41" s="23" t="e">
        <f>#REF!</f>
        <v>#REF!</v>
      </c>
      <c r="N41" s="40" t="e">
        <f>#REF!</f>
        <v>#REF!</v>
      </c>
      <c r="O41" s="40" t="e">
        <f>#REF!</f>
        <v>#REF!</v>
      </c>
      <c r="P41" s="24" t="e">
        <f>#REF!</f>
        <v>#REF!</v>
      </c>
      <c r="Q41" s="27" t="e">
        <f>#REF!+#REF!</f>
        <v>#REF!</v>
      </c>
      <c r="R41" s="27" t="e">
        <f>((IF(#REF!=0,#REF!,#REF!))+(IF(#REF!=0,#REF!,#REF!)))/2</f>
        <v>#REF!</v>
      </c>
      <c r="S41" s="27" t="e">
        <f>((IF(#REF!=0,#REF!,#REF!))+(IF(#REF!=0,#REF!,#REF!)))/2</f>
        <v>#REF!</v>
      </c>
      <c r="T41" s="87" t="e">
        <f>((IF(#REF!=0,#REF!,#REF!))+(IF(#REF!=0,#REF!,#REF!)))/2</f>
        <v>#REF!</v>
      </c>
      <c r="U41" s="23" t="e">
        <f>#REF!</f>
        <v>#REF!</v>
      </c>
      <c r="V41" s="40" t="e">
        <f>#REF!</f>
        <v>#REF!</v>
      </c>
      <c r="W41" s="40" t="e">
        <f>#REF!</f>
        <v>#REF!</v>
      </c>
      <c r="X41" s="24" t="e">
        <f>#REF!</f>
        <v>#REF!</v>
      </c>
    </row>
    <row r="42" spans="2:24" ht="24.9" customHeight="1" x14ac:dyDescent="0.3">
      <c r="B42" s="131">
        <v>23</v>
      </c>
      <c r="C42" s="20"/>
      <c r="D42" s="10"/>
      <c r="E42" s="23" t="e">
        <f>#REF!</f>
        <v>#REF!</v>
      </c>
      <c r="F42" s="40" t="e">
        <f>#REF!</f>
        <v>#REF!</v>
      </c>
      <c r="G42" s="40" t="e">
        <f>#REF!</f>
        <v>#REF!</v>
      </c>
      <c r="H42" s="24" t="e">
        <f>#REF!</f>
        <v>#REF!</v>
      </c>
      <c r="I42" s="27" t="e">
        <f>#REF!</f>
        <v>#REF!</v>
      </c>
      <c r="J42" s="40" t="e">
        <f>#REF!</f>
        <v>#REF!</v>
      </c>
      <c r="K42" s="40" t="e">
        <f>#REF!</f>
        <v>#REF!</v>
      </c>
      <c r="L42" s="69" t="e">
        <f>#REF!</f>
        <v>#REF!</v>
      </c>
      <c r="M42" s="23" t="e">
        <f>#REF!</f>
        <v>#REF!</v>
      </c>
      <c r="N42" s="40" t="e">
        <f>#REF!</f>
        <v>#REF!</v>
      </c>
      <c r="O42" s="40" t="e">
        <f>#REF!</f>
        <v>#REF!</v>
      </c>
      <c r="P42" s="24" t="e">
        <f>#REF!</f>
        <v>#REF!</v>
      </c>
      <c r="Q42" s="27" t="e">
        <f>#REF!+#REF!</f>
        <v>#REF!</v>
      </c>
      <c r="R42" s="27" t="e">
        <f>((IF(#REF!=0,#REF!,#REF!))+(IF(#REF!=0,#REF!,#REF!)))/2</f>
        <v>#REF!</v>
      </c>
      <c r="S42" s="27" t="e">
        <f>((IF(#REF!=0,#REF!,#REF!))+(IF(#REF!=0,#REF!,#REF!)))/2</f>
        <v>#REF!</v>
      </c>
      <c r="T42" s="87" t="e">
        <f>((IF(#REF!=0,#REF!,#REF!))+(IF(#REF!=0,#REF!,#REF!)))/2</f>
        <v>#REF!</v>
      </c>
      <c r="U42" s="23" t="e">
        <f>#REF!</f>
        <v>#REF!</v>
      </c>
      <c r="V42" s="40" t="e">
        <f>#REF!</f>
        <v>#REF!</v>
      </c>
      <c r="W42" s="40" t="e">
        <f>#REF!</f>
        <v>#REF!</v>
      </c>
      <c r="X42" s="24" t="e">
        <f>#REF!</f>
        <v>#REF!</v>
      </c>
    </row>
    <row r="43" spans="2:24" ht="24.9" customHeight="1" x14ac:dyDescent="0.3">
      <c r="B43" s="131">
        <v>24</v>
      </c>
      <c r="C43" s="20"/>
      <c r="D43" s="10"/>
      <c r="E43" s="23" t="e">
        <f>#REF!</f>
        <v>#REF!</v>
      </c>
      <c r="F43" s="40" t="e">
        <f>#REF!</f>
        <v>#REF!</v>
      </c>
      <c r="G43" s="40" t="e">
        <f>#REF!</f>
        <v>#REF!</v>
      </c>
      <c r="H43" s="24" t="e">
        <f>#REF!</f>
        <v>#REF!</v>
      </c>
      <c r="I43" s="27" t="e">
        <f>#REF!</f>
        <v>#REF!</v>
      </c>
      <c r="J43" s="40" t="e">
        <f>#REF!</f>
        <v>#REF!</v>
      </c>
      <c r="K43" s="40" t="e">
        <f>#REF!</f>
        <v>#REF!</v>
      </c>
      <c r="L43" s="69" t="e">
        <f>#REF!</f>
        <v>#REF!</v>
      </c>
      <c r="M43" s="23" t="e">
        <f>#REF!</f>
        <v>#REF!</v>
      </c>
      <c r="N43" s="40" t="e">
        <f>#REF!</f>
        <v>#REF!</v>
      </c>
      <c r="O43" s="40" t="e">
        <f>#REF!</f>
        <v>#REF!</v>
      </c>
      <c r="P43" s="24" t="e">
        <f>#REF!</f>
        <v>#REF!</v>
      </c>
      <c r="Q43" s="27" t="e">
        <f>#REF!+#REF!</f>
        <v>#REF!</v>
      </c>
      <c r="R43" s="27" t="e">
        <f>((IF(#REF!=0,#REF!,#REF!))+(IF(#REF!=0,#REF!,#REF!)))/2</f>
        <v>#REF!</v>
      </c>
      <c r="S43" s="27" t="e">
        <f>((IF(#REF!=0,#REF!,#REF!))+(IF(#REF!=0,#REF!,#REF!)))/2</f>
        <v>#REF!</v>
      </c>
      <c r="T43" s="87" t="e">
        <f>((IF(#REF!=0,#REF!,#REF!))+(IF(#REF!=0,#REF!,#REF!)))/2</f>
        <v>#REF!</v>
      </c>
      <c r="U43" s="23" t="e">
        <f>#REF!</f>
        <v>#REF!</v>
      </c>
      <c r="V43" s="40" t="e">
        <f>#REF!</f>
        <v>#REF!</v>
      </c>
      <c r="W43" s="40" t="e">
        <f>#REF!</f>
        <v>#REF!</v>
      </c>
      <c r="X43" s="24" t="e">
        <f>#REF!</f>
        <v>#REF!</v>
      </c>
    </row>
    <row r="44" spans="2:24" ht="24.9" customHeight="1" thickBot="1" x14ac:dyDescent="0.35">
      <c r="B44" s="132">
        <v>25</v>
      </c>
      <c r="C44" s="135"/>
      <c r="D44" s="136"/>
      <c r="E44" s="137" t="e">
        <f>#REF!</f>
        <v>#REF!</v>
      </c>
      <c r="F44" s="173" t="e">
        <f>#REF!</f>
        <v>#REF!</v>
      </c>
      <c r="G44" s="173" t="e">
        <f>#REF!</f>
        <v>#REF!</v>
      </c>
      <c r="H44" s="179" t="e">
        <f>#REF!</f>
        <v>#REF!</v>
      </c>
      <c r="I44" s="174" t="e">
        <f>#REF!</f>
        <v>#REF!</v>
      </c>
      <c r="J44" s="173" t="e">
        <f>#REF!</f>
        <v>#REF!</v>
      </c>
      <c r="K44" s="173" t="e">
        <f>#REF!</f>
        <v>#REF!</v>
      </c>
      <c r="L44" s="180" t="e">
        <f>#REF!</f>
        <v>#REF!</v>
      </c>
      <c r="M44" s="137" t="e">
        <f>#REF!</f>
        <v>#REF!</v>
      </c>
      <c r="N44" s="173" t="e">
        <f>#REF!</f>
        <v>#REF!</v>
      </c>
      <c r="O44" s="173" t="e">
        <f>#REF!</f>
        <v>#REF!</v>
      </c>
      <c r="P44" s="179" t="e">
        <f>#REF!</f>
        <v>#REF!</v>
      </c>
      <c r="Q44" s="174" t="e">
        <f>#REF!+#REF!</f>
        <v>#REF!</v>
      </c>
      <c r="R44" s="174" t="e">
        <f>((IF(#REF!=0,#REF!,#REF!))+(IF(#REF!=0,#REF!,#REF!)))/2</f>
        <v>#REF!</v>
      </c>
      <c r="S44" s="174" t="e">
        <f>((IF(#REF!=0,#REF!,#REF!))+(IF(#REF!=0,#REF!,#REF!)))/2</f>
        <v>#REF!</v>
      </c>
      <c r="T44" s="182" t="e">
        <f>((IF(#REF!=0,#REF!,#REF!))+(IF(#REF!=0,#REF!,#REF!)))/2</f>
        <v>#REF!</v>
      </c>
      <c r="U44" s="137" t="e">
        <f>#REF!</f>
        <v>#REF!</v>
      </c>
      <c r="V44" s="173" t="e">
        <f>#REF!</f>
        <v>#REF!</v>
      </c>
      <c r="W44" s="173" t="e">
        <f>#REF!</f>
        <v>#REF!</v>
      </c>
      <c r="X44" s="179" t="e">
        <f>#REF!</f>
        <v>#REF!</v>
      </c>
    </row>
    <row r="45" spans="2:24" ht="24.9" customHeight="1" x14ac:dyDescent="0.3">
      <c r="B45" s="196" t="s">
        <v>163</v>
      </c>
      <c r="C45" s="197"/>
      <c r="D45" s="198"/>
      <c r="E45" s="175" t="e">
        <f>#REF!</f>
        <v>#REF!</v>
      </c>
      <c r="F45" s="176" t="e">
        <f>#REF!</f>
        <v>#REF!</v>
      </c>
      <c r="G45" s="176" t="e">
        <f>#REF!</f>
        <v>#REF!</v>
      </c>
      <c r="H45" s="178" t="e">
        <f>#REF!</f>
        <v>#REF!</v>
      </c>
      <c r="I45" s="177" t="e">
        <f>#REF!</f>
        <v>#REF!</v>
      </c>
      <c r="J45" s="176" t="e">
        <f>#REF!</f>
        <v>#REF!</v>
      </c>
      <c r="K45" s="176" t="e">
        <f>#REF!</f>
        <v>#REF!</v>
      </c>
      <c r="L45" s="181" t="e">
        <f>#REF!</f>
        <v>#REF!</v>
      </c>
      <c r="M45" s="175" t="e">
        <f>#REF!</f>
        <v>#REF!</v>
      </c>
      <c r="N45" s="176" t="e">
        <f>#REF!</f>
        <v>#REF!</v>
      </c>
      <c r="O45" s="176" t="e">
        <f>#REF!</f>
        <v>#REF!</v>
      </c>
      <c r="P45" s="178" t="e">
        <f>#REF!</f>
        <v>#REF!</v>
      </c>
      <c r="Q45" s="177" t="e">
        <f>#REF!+#REF!</f>
        <v>#REF!</v>
      </c>
      <c r="R45" s="177" t="e">
        <f>((IF(#REF!=0,#REF!,#REF!))+(IF(#REF!=0,#REF!,#REF!)))/2</f>
        <v>#REF!</v>
      </c>
      <c r="S45" s="177" t="e">
        <f>((IF(#REF!=0,#REF!,#REF!))+(IF(#REF!=0,#REF!,#REF!)))/2</f>
        <v>#REF!</v>
      </c>
      <c r="T45" s="183" t="e">
        <f>((IF(#REF!=0,#REF!,#REF!))+(IF(#REF!=0,#REF!,#REF!)))/2</f>
        <v>#REF!</v>
      </c>
      <c r="U45" s="175" t="e">
        <f>#REF!</f>
        <v>#REF!</v>
      </c>
      <c r="V45" s="176" t="e">
        <f>#REF!</f>
        <v>#REF!</v>
      </c>
      <c r="W45" s="176" t="e">
        <f>#REF!</f>
        <v>#REF!</v>
      </c>
      <c r="X45" s="178" t="e">
        <f>#REF!</f>
        <v>#REF!</v>
      </c>
    </row>
    <row r="46" spans="2:24" ht="24.9" customHeight="1" thickBot="1" x14ac:dyDescent="0.35">
      <c r="B46" s="199" t="s">
        <v>164</v>
      </c>
      <c r="C46" s="200"/>
      <c r="D46" s="201"/>
      <c r="E46" s="184" t="e">
        <f>#REF!</f>
        <v>#REF!</v>
      </c>
      <c r="F46" s="185" t="e">
        <f>#REF!</f>
        <v>#REF!</v>
      </c>
      <c r="G46" s="185" t="e">
        <f>#REF!</f>
        <v>#REF!</v>
      </c>
      <c r="H46" s="186" t="e">
        <f>#REF!</f>
        <v>#REF!</v>
      </c>
      <c r="I46" s="187" t="e">
        <f>#REF!</f>
        <v>#REF!</v>
      </c>
      <c r="J46" s="185" t="e">
        <f>#REF!</f>
        <v>#REF!</v>
      </c>
      <c r="K46" s="185" t="e">
        <f>#REF!</f>
        <v>#REF!</v>
      </c>
      <c r="L46" s="188" t="e">
        <f>#REF!</f>
        <v>#REF!</v>
      </c>
      <c r="M46" s="184" t="e">
        <f>#REF!</f>
        <v>#REF!</v>
      </c>
      <c r="N46" s="185" t="e">
        <f>#REF!</f>
        <v>#REF!</v>
      </c>
      <c r="O46" s="185" t="e">
        <f>#REF!</f>
        <v>#REF!</v>
      </c>
      <c r="P46" s="186" t="e">
        <f>#REF!</f>
        <v>#REF!</v>
      </c>
      <c r="Q46" s="187" t="e">
        <f>#REF!+#REF!</f>
        <v>#REF!</v>
      </c>
      <c r="R46" s="187" t="e">
        <f>((IF(#REF!=0,#REF!,#REF!))+(IF(#REF!=0,#REF!,#REF!)))/2</f>
        <v>#REF!</v>
      </c>
      <c r="S46" s="187" t="e">
        <f>((IF(#REF!=0,#REF!,#REF!))+(IF(#REF!=0,#REF!,#REF!)))/2</f>
        <v>#REF!</v>
      </c>
      <c r="T46" s="189" t="e">
        <f>((IF(#REF!=0,#REF!,#REF!))+(IF(#REF!=0,#REF!,#REF!)))/2</f>
        <v>#REF!</v>
      </c>
      <c r="U46" s="184" t="e">
        <f>#REF!</f>
        <v>#REF!</v>
      </c>
      <c r="V46" s="185" t="e">
        <f>#REF!</f>
        <v>#REF!</v>
      </c>
      <c r="W46" s="185" t="e">
        <f>#REF!</f>
        <v>#REF!</v>
      </c>
      <c r="X46" s="186" t="e">
        <f>#REF!</f>
        <v>#REF!</v>
      </c>
    </row>
    <row r="47" spans="2:24" ht="24.9" customHeight="1" x14ac:dyDescent="0.3"/>
    <row r="48" spans="2:24" ht="24.9" customHeight="1" x14ac:dyDescent="0.3"/>
    <row r="54" spans="3:3" x14ac:dyDescent="0.3">
      <c r="C54" s="55"/>
    </row>
    <row r="55" spans="3:3" x14ac:dyDescent="0.3">
      <c r="C55" s="55"/>
    </row>
    <row r="56" spans="3:3" x14ac:dyDescent="0.3">
      <c r="C56" s="55"/>
    </row>
    <row r="57" spans="3:3" x14ac:dyDescent="0.3">
      <c r="C57" s="55"/>
    </row>
    <row r="58" spans="3:3" x14ac:dyDescent="0.3">
      <c r="C58" s="55"/>
    </row>
    <row r="59" spans="3:3" x14ac:dyDescent="0.3">
      <c r="C59" s="55"/>
    </row>
    <row r="60" spans="3:3" x14ac:dyDescent="0.3">
      <c r="C60" s="55"/>
    </row>
    <row r="61" spans="3:3" x14ac:dyDescent="0.3">
      <c r="C61" s="55"/>
    </row>
    <row r="62" spans="3:3" x14ac:dyDescent="0.3">
      <c r="C62" s="55"/>
    </row>
    <row r="63" spans="3:3" x14ac:dyDescent="0.3">
      <c r="C63" s="55"/>
    </row>
    <row r="66" spans="3:3" x14ac:dyDescent="0.3">
      <c r="C66" s="55"/>
    </row>
  </sheetData>
  <mergeCells count="8">
    <mergeCell ref="M18:P18"/>
    <mergeCell ref="Q18:T18"/>
    <mergeCell ref="U18:X18"/>
    <mergeCell ref="B45:D45"/>
    <mergeCell ref="B46:D46"/>
    <mergeCell ref="C18:D18"/>
    <mergeCell ref="E18:H18"/>
    <mergeCell ref="I18:L18"/>
  </mergeCells>
  <pageMargins left="0.23622047244094491" right="0.23622047244094491" top="0.55118110236220474" bottom="0.55118110236220474" header="0" footer="0"/>
  <pageSetup paperSize="9" scale="61" fitToHeight="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BL77"/>
  <sheetViews>
    <sheetView zoomScale="80" zoomScaleNormal="80" workbookViewId="0">
      <pane xSplit="18" ySplit="19" topLeftCell="S20" activePane="bottomRight" state="frozen"/>
      <selection pane="topRight" activeCell="Q1" sqref="Q1"/>
      <selection pane="bottomLeft" activeCell="A11" sqref="A11"/>
      <selection pane="bottomRight" activeCell="BM23" sqref="BM23"/>
    </sheetView>
  </sheetViews>
  <sheetFormatPr defaultRowHeight="14.4" x14ac:dyDescent="0.3"/>
  <cols>
    <col min="2" max="2" width="16.109375" hidden="1" customWidth="1"/>
    <col min="3" max="3" width="17.5546875" hidden="1" customWidth="1"/>
    <col min="4" max="11" width="12.88671875" hidden="1" customWidth="1"/>
    <col min="18" max="18" width="11" customWidth="1"/>
    <col min="21" max="21" width="9" customWidth="1"/>
    <col min="34" max="56" width="9.88671875" bestFit="1" customWidth="1"/>
  </cols>
  <sheetData>
    <row r="1" spans="14:39" ht="15" thickBot="1" x14ac:dyDescent="0.35"/>
    <row r="2" spans="14:39" x14ac:dyDescent="0.3">
      <c r="V2" s="59"/>
      <c r="W2" s="67" t="s">
        <v>38</v>
      </c>
      <c r="X2" s="67"/>
      <c r="Y2" s="60"/>
      <c r="Z2" s="60"/>
      <c r="AA2" s="60"/>
      <c r="AB2" s="60"/>
      <c r="AC2" s="60"/>
      <c r="AD2" s="60"/>
      <c r="AE2" s="60">
        <v>8</v>
      </c>
      <c r="AF2" s="60" t="s">
        <v>142</v>
      </c>
      <c r="AG2" s="60"/>
      <c r="AH2" s="60"/>
      <c r="AI2" s="60"/>
      <c r="AJ2" s="60"/>
      <c r="AK2" s="60"/>
      <c r="AL2" s="60"/>
      <c r="AM2" s="61"/>
    </row>
    <row r="3" spans="14:39" x14ac:dyDescent="0.3">
      <c r="V3" s="62">
        <v>1</v>
      </c>
      <c r="W3" s="47" t="s">
        <v>158</v>
      </c>
      <c r="X3" s="47"/>
      <c r="Y3" s="47"/>
      <c r="Z3" s="47"/>
      <c r="AA3" s="47"/>
      <c r="AB3" s="47"/>
      <c r="AC3" s="47"/>
      <c r="AD3" s="47"/>
      <c r="AE3" s="47">
        <v>9</v>
      </c>
      <c r="AF3" s="47" t="s">
        <v>156</v>
      </c>
      <c r="AG3" s="47"/>
      <c r="AH3" s="47"/>
      <c r="AI3" s="47"/>
      <c r="AJ3" s="47"/>
      <c r="AK3" s="47"/>
      <c r="AL3" s="47"/>
      <c r="AM3" s="63"/>
    </row>
    <row r="4" spans="14:39" x14ac:dyDescent="0.3">
      <c r="V4" s="62">
        <v>2</v>
      </c>
      <c r="W4" s="47" t="s">
        <v>159</v>
      </c>
      <c r="X4" s="47"/>
      <c r="Y4" s="47"/>
      <c r="Z4" s="47"/>
      <c r="AA4" s="47"/>
      <c r="AB4" s="47"/>
      <c r="AC4" s="47"/>
      <c r="AD4" s="47"/>
      <c r="AE4" s="47">
        <v>10</v>
      </c>
      <c r="AF4" s="47" t="s">
        <v>157</v>
      </c>
      <c r="AG4" s="47"/>
      <c r="AH4" s="47"/>
      <c r="AI4" s="47"/>
      <c r="AJ4" s="47"/>
      <c r="AK4" s="47"/>
      <c r="AL4" s="47"/>
      <c r="AM4" s="63"/>
    </row>
    <row r="5" spans="14:39" x14ac:dyDescent="0.3">
      <c r="V5" s="62">
        <v>3</v>
      </c>
      <c r="W5" s="47" t="s">
        <v>34</v>
      </c>
      <c r="X5" s="47"/>
      <c r="Y5" s="47"/>
      <c r="Z5" s="47"/>
      <c r="AA5" s="47"/>
      <c r="AB5" s="47"/>
      <c r="AC5" s="47"/>
      <c r="AD5" s="47"/>
      <c r="AE5" s="47">
        <v>11</v>
      </c>
      <c r="AF5" s="47" t="s">
        <v>39</v>
      </c>
      <c r="AG5" s="47"/>
      <c r="AH5" s="47"/>
      <c r="AI5" s="47"/>
      <c r="AJ5" s="47"/>
      <c r="AK5" s="47"/>
      <c r="AL5" s="47"/>
      <c r="AM5" s="63"/>
    </row>
    <row r="6" spans="14:39" x14ac:dyDescent="0.3">
      <c r="V6" s="62">
        <v>4</v>
      </c>
      <c r="W6" s="47" t="s">
        <v>35</v>
      </c>
      <c r="X6" s="47"/>
      <c r="Y6" s="47"/>
      <c r="Z6" s="47"/>
      <c r="AA6" s="47"/>
      <c r="AB6" s="47"/>
      <c r="AC6" s="47"/>
      <c r="AD6" s="47"/>
      <c r="AE6" s="47">
        <v>12</v>
      </c>
      <c r="AF6" s="47" t="s">
        <v>40</v>
      </c>
      <c r="AG6" s="47"/>
      <c r="AH6" s="47"/>
      <c r="AI6" s="47"/>
      <c r="AJ6" s="47"/>
      <c r="AK6" s="47"/>
      <c r="AL6" s="47"/>
      <c r="AM6" s="63"/>
    </row>
    <row r="7" spans="14:39" x14ac:dyDescent="0.3">
      <c r="V7" s="62">
        <v>5</v>
      </c>
      <c r="W7" s="47" t="s">
        <v>36</v>
      </c>
      <c r="X7" s="47"/>
      <c r="Y7" s="47"/>
      <c r="Z7" s="47"/>
      <c r="AA7" s="47"/>
      <c r="AB7" s="47"/>
      <c r="AC7" s="47"/>
      <c r="AD7" s="47"/>
      <c r="AE7" s="47">
        <v>13</v>
      </c>
      <c r="AF7" s="47" t="s">
        <v>41</v>
      </c>
      <c r="AG7" s="47"/>
      <c r="AH7" s="47"/>
      <c r="AI7" s="47"/>
      <c r="AJ7" s="47"/>
      <c r="AK7" s="47"/>
      <c r="AL7" s="47"/>
      <c r="AM7" s="63"/>
    </row>
    <row r="8" spans="14:39" x14ac:dyDescent="0.3">
      <c r="V8" s="62">
        <v>6</v>
      </c>
      <c r="W8" s="47" t="s">
        <v>141</v>
      </c>
      <c r="X8" s="47"/>
      <c r="Y8" s="47"/>
      <c r="Z8" s="47"/>
      <c r="AA8" s="47"/>
      <c r="AB8" s="47"/>
      <c r="AC8" s="47"/>
      <c r="AD8" s="47"/>
      <c r="AE8" s="47">
        <v>14</v>
      </c>
      <c r="AF8" s="47"/>
      <c r="AG8" s="47"/>
      <c r="AH8" s="47"/>
      <c r="AI8" s="47"/>
      <c r="AJ8" s="47"/>
      <c r="AK8" s="47"/>
      <c r="AL8" s="47"/>
      <c r="AM8" s="63"/>
    </row>
    <row r="9" spans="14:39" ht="15" thickBot="1" x14ac:dyDescent="0.35">
      <c r="V9" s="64">
        <v>7</v>
      </c>
      <c r="W9" s="65" t="s">
        <v>37</v>
      </c>
      <c r="X9" s="65"/>
      <c r="Y9" s="65"/>
      <c r="Z9" s="65"/>
      <c r="AA9" s="65"/>
      <c r="AB9" s="65"/>
      <c r="AC9" s="65"/>
      <c r="AD9" s="65"/>
      <c r="AE9" s="65">
        <v>15</v>
      </c>
      <c r="AF9" s="65"/>
      <c r="AG9" s="65"/>
      <c r="AH9" s="65"/>
      <c r="AI9" s="65"/>
      <c r="AJ9" s="65"/>
      <c r="AK9" s="65"/>
      <c r="AL9" s="65"/>
      <c r="AM9" s="66"/>
    </row>
    <row r="13" spans="14:39" x14ac:dyDescent="0.3">
      <c r="N13" t="s">
        <v>32</v>
      </c>
      <c r="T13" s="45"/>
    </row>
    <row r="16" spans="14:39" x14ac:dyDescent="0.3">
      <c r="N16" s="46" t="s">
        <v>13</v>
      </c>
      <c r="S16">
        <v>1</v>
      </c>
      <c r="U16" s="45" t="s">
        <v>14</v>
      </c>
      <c r="V16" s="45">
        <v>205</v>
      </c>
      <c r="W16" s="45"/>
      <c r="X16" s="45" t="s">
        <v>15</v>
      </c>
      <c r="Y16" s="45">
        <v>35</v>
      </c>
      <c r="Z16" s="45" t="s">
        <v>16</v>
      </c>
      <c r="AA16" s="45">
        <v>2</v>
      </c>
      <c r="AB16" s="47"/>
      <c r="AC16" s="85" t="s">
        <v>45</v>
      </c>
      <c r="AE16" s="45">
        <v>1.78</v>
      </c>
      <c r="AG16" s="44" t="s">
        <v>28</v>
      </c>
      <c r="AI16" s="44"/>
    </row>
    <row r="17" spans="2:64" ht="15" thickBot="1" x14ac:dyDescent="0.35"/>
    <row r="18" spans="2:64" ht="15.6" thickTop="1" thickBot="1" x14ac:dyDescent="0.35">
      <c r="B18" s="59" t="s">
        <v>31</v>
      </c>
      <c r="C18" s="60"/>
      <c r="D18" s="60"/>
      <c r="E18" s="60"/>
      <c r="F18" s="60"/>
      <c r="G18" s="60"/>
      <c r="H18" s="60"/>
      <c r="I18" s="60"/>
      <c r="J18" s="60"/>
      <c r="K18" s="61"/>
      <c r="N18" s="1" t="s">
        <v>0</v>
      </c>
      <c r="O18" s="202" t="s">
        <v>1</v>
      </c>
      <c r="P18" s="194"/>
      <c r="Q18" s="194"/>
      <c r="R18" s="195"/>
      <c r="S18" s="193" t="s">
        <v>43</v>
      </c>
      <c r="T18" s="194"/>
      <c r="U18" s="194"/>
      <c r="V18" s="194"/>
      <c r="W18" s="194"/>
      <c r="X18" s="195"/>
      <c r="Y18" s="203" t="s">
        <v>17</v>
      </c>
      <c r="Z18" s="204"/>
      <c r="AA18" s="204"/>
      <c r="AB18" s="204"/>
      <c r="AC18" s="204"/>
      <c r="AD18" s="205"/>
      <c r="AE18" s="206" t="s">
        <v>18</v>
      </c>
      <c r="AF18" s="207"/>
      <c r="AG18" s="207"/>
      <c r="AH18" s="207"/>
      <c r="AI18" s="207"/>
      <c r="AJ18" s="208"/>
      <c r="AK18" s="193" t="s">
        <v>19</v>
      </c>
      <c r="AL18" s="194"/>
      <c r="AM18" s="194"/>
      <c r="AN18" s="195"/>
      <c r="AO18" s="193" t="s">
        <v>20</v>
      </c>
      <c r="AP18" s="194"/>
      <c r="AQ18" s="194"/>
      <c r="AR18" s="195"/>
      <c r="AS18" s="193" t="s">
        <v>21</v>
      </c>
      <c r="AT18" s="194"/>
      <c r="AU18" s="194"/>
      <c r="AV18" s="195"/>
      <c r="AW18" s="193" t="s">
        <v>26</v>
      </c>
      <c r="AX18" s="194"/>
      <c r="AY18" s="194"/>
      <c r="AZ18" s="195"/>
      <c r="BA18" s="193" t="s">
        <v>22</v>
      </c>
      <c r="BB18" s="194"/>
      <c r="BC18" s="194"/>
      <c r="BD18" s="195"/>
      <c r="BE18" s="193" t="s">
        <v>29</v>
      </c>
      <c r="BF18" s="194"/>
      <c r="BG18" s="194"/>
      <c r="BH18" s="195"/>
      <c r="BI18" s="193" t="s">
        <v>42</v>
      </c>
      <c r="BJ18" s="194"/>
      <c r="BK18" s="194"/>
      <c r="BL18" s="195"/>
    </row>
    <row r="19" spans="2:64" ht="21" thickBot="1" x14ac:dyDescent="0.35">
      <c r="B19" s="64" t="str">
        <f>Y18</f>
        <v>Ель из подроста</v>
      </c>
      <c r="C19" s="65" t="str">
        <f>AE18</f>
        <v>ЕЛЬ лесные культуры</v>
      </c>
      <c r="D19" s="65" t="str">
        <f>S18</f>
        <v>Сосна</v>
      </c>
      <c r="E19" s="65" t="str">
        <f>AK18</f>
        <v>Берёза</v>
      </c>
      <c r="F19" s="65" t="str">
        <f>AO18</f>
        <v>Осина</v>
      </c>
      <c r="G19" s="65" t="str">
        <f>AS18</f>
        <v>Ольха серая</v>
      </c>
      <c r="H19" s="65" t="str">
        <f>AW18</f>
        <v>Ива</v>
      </c>
      <c r="I19" s="65" t="str">
        <f>BA18</f>
        <v>Чёрёмуха</v>
      </c>
      <c r="J19" s="65" t="str">
        <f>BE18</f>
        <v>Дуб</v>
      </c>
      <c r="K19" s="66" t="str">
        <f>BI18</f>
        <v>Рябина</v>
      </c>
      <c r="L19" t="s">
        <v>46</v>
      </c>
      <c r="N19" s="31" t="s">
        <v>2</v>
      </c>
      <c r="O19" s="25" t="s">
        <v>3</v>
      </c>
      <c r="P19" s="86" t="s">
        <v>48</v>
      </c>
      <c r="Q19" s="86" t="s">
        <v>47</v>
      </c>
      <c r="R19" s="68" t="s">
        <v>4</v>
      </c>
      <c r="S19" s="41" t="s">
        <v>5</v>
      </c>
      <c r="T19" s="42" t="s">
        <v>6</v>
      </c>
      <c r="U19" s="42" t="s">
        <v>7</v>
      </c>
      <c r="V19" s="42" t="s">
        <v>23</v>
      </c>
      <c r="W19" s="43" t="s">
        <v>8</v>
      </c>
      <c r="X19" s="26" t="s">
        <v>9</v>
      </c>
      <c r="Y19" s="70" t="s">
        <v>5</v>
      </c>
      <c r="Z19" s="42" t="s">
        <v>6</v>
      </c>
      <c r="AA19" s="42" t="s">
        <v>7</v>
      </c>
      <c r="AB19" s="42" t="s">
        <v>23</v>
      </c>
      <c r="AC19" s="43" t="s">
        <v>8</v>
      </c>
      <c r="AD19" s="26" t="s">
        <v>9</v>
      </c>
      <c r="AE19" s="53" t="s">
        <v>5</v>
      </c>
      <c r="AF19" s="50" t="s">
        <v>6</v>
      </c>
      <c r="AG19" s="50" t="s">
        <v>7</v>
      </c>
      <c r="AH19" s="50" t="s">
        <v>23</v>
      </c>
      <c r="AI19" s="51" t="s">
        <v>8</v>
      </c>
      <c r="AJ19" s="54" t="s">
        <v>9</v>
      </c>
      <c r="AK19" s="49" t="s">
        <v>10</v>
      </c>
      <c r="AL19" s="50" t="s">
        <v>23</v>
      </c>
      <c r="AM19" s="51" t="s">
        <v>8</v>
      </c>
      <c r="AN19" s="52" t="s">
        <v>9</v>
      </c>
      <c r="AO19" s="25" t="s">
        <v>10</v>
      </c>
      <c r="AP19" s="42" t="s">
        <v>23</v>
      </c>
      <c r="AQ19" s="43" t="s">
        <v>8</v>
      </c>
      <c r="AR19" s="26" t="s">
        <v>9</v>
      </c>
      <c r="AS19" s="25" t="s">
        <v>10</v>
      </c>
      <c r="AT19" s="42" t="s">
        <v>23</v>
      </c>
      <c r="AU19" s="43" t="s">
        <v>8</v>
      </c>
      <c r="AV19" s="26" t="s">
        <v>9</v>
      </c>
      <c r="AW19" s="25" t="s">
        <v>10</v>
      </c>
      <c r="AX19" s="42" t="s">
        <v>23</v>
      </c>
      <c r="AY19" s="43" t="s">
        <v>8</v>
      </c>
      <c r="AZ19" s="26" t="s">
        <v>9</v>
      </c>
      <c r="BA19" s="25" t="s">
        <v>10</v>
      </c>
      <c r="BB19" s="42" t="s">
        <v>23</v>
      </c>
      <c r="BC19" s="43" t="s">
        <v>8</v>
      </c>
      <c r="BD19" s="26" t="s">
        <v>9</v>
      </c>
      <c r="BE19" s="25" t="s">
        <v>10</v>
      </c>
      <c r="BF19" s="42" t="s">
        <v>23</v>
      </c>
      <c r="BG19" s="43" t="s">
        <v>8</v>
      </c>
      <c r="BH19" s="26" t="s">
        <v>9</v>
      </c>
      <c r="BI19" s="25" t="s">
        <v>10</v>
      </c>
      <c r="BJ19" s="42" t="s">
        <v>23</v>
      </c>
      <c r="BK19" s="43" t="s">
        <v>8</v>
      </c>
      <c r="BL19" s="26" t="s">
        <v>9</v>
      </c>
    </row>
    <row r="20" spans="2:64" x14ac:dyDescent="0.3">
      <c r="B20" s="62">
        <f>AC20*AA20</f>
        <v>4</v>
      </c>
      <c r="C20" s="47">
        <f>AI20*AG20</f>
        <v>0</v>
      </c>
      <c r="D20" s="47">
        <f>W20*U20</f>
        <v>0</v>
      </c>
      <c r="E20" s="47">
        <f>AK20*AM20</f>
        <v>12.5</v>
      </c>
      <c r="F20" s="47">
        <f>AO20*AQ20</f>
        <v>0</v>
      </c>
      <c r="G20" s="47">
        <f>AS20*AU20</f>
        <v>120</v>
      </c>
      <c r="H20" s="47">
        <f>AW20*AY20</f>
        <v>0</v>
      </c>
      <c r="I20" s="47">
        <f>BA20*BC20</f>
        <v>0</v>
      </c>
      <c r="J20" s="47">
        <f>BE20*BG20</f>
        <v>0</v>
      </c>
      <c r="K20" s="63">
        <f>BI20*BK20</f>
        <v>0</v>
      </c>
      <c r="L20" s="55">
        <f>SUM(S20:U20,Y20:AA20,AE20:AG20,AK20,AO20,AS20,AW20,BA20,BE20,BI20)/($AE$16*$AE$16*3.15/10000*1000)</f>
        <v>18.035253886093429</v>
      </c>
      <c r="N20" s="32">
        <v>1</v>
      </c>
      <c r="O20" s="27">
        <v>803</v>
      </c>
      <c r="P20" s="87"/>
      <c r="Q20" s="87"/>
      <c r="R20" s="69"/>
      <c r="S20" s="40">
        <v>9.9999999999999995E-7</v>
      </c>
      <c r="T20" s="40">
        <v>9.9999999999999995E-7</v>
      </c>
      <c r="U20" s="40">
        <v>9.9999999999999995E-7</v>
      </c>
      <c r="V20" s="40"/>
      <c r="W20" s="40"/>
      <c r="X20" s="24"/>
      <c r="Y20" s="40">
        <v>9.9999999999999995E-7</v>
      </c>
      <c r="Z20" s="40">
        <v>9.9999999999999995E-7</v>
      </c>
      <c r="AA20" s="40">
        <v>1</v>
      </c>
      <c r="AB20" s="6"/>
      <c r="AC20" s="7">
        <v>4</v>
      </c>
      <c r="AD20" s="36">
        <v>15</v>
      </c>
      <c r="AE20" s="40">
        <v>9.9999999999999995E-7</v>
      </c>
      <c r="AF20" s="40">
        <v>9.9999999999999995E-7</v>
      </c>
      <c r="AG20" s="40">
        <v>9.9999999999999995E-7</v>
      </c>
      <c r="AH20" s="6"/>
      <c r="AI20" s="7"/>
      <c r="AJ20" s="8"/>
      <c r="AK20" s="40">
        <v>5</v>
      </c>
      <c r="AL20" s="7"/>
      <c r="AM20" s="7">
        <v>2.5</v>
      </c>
      <c r="AN20" s="8">
        <v>10</v>
      </c>
      <c r="AO20" s="40">
        <v>9.9999999999999995E-7</v>
      </c>
      <c r="AP20" s="27"/>
      <c r="AQ20" s="40"/>
      <c r="AR20" s="24"/>
      <c r="AS20" s="40">
        <v>12</v>
      </c>
      <c r="AT20" s="27"/>
      <c r="AU20" s="40">
        <v>10</v>
      </c>
      <c r="AV20" s="24">
        <v>10</v>
      </c>
      <c r="AW20" s="40">
        <v>9.9999999999999995E-7</v>
      </c>
      <c r="AX20" s="27"/>
      <c r="AY20" s="40"/>
      <c r="AZ20" s="24"/>
      <c r="BA20" s="40">
        <v>9.9999999999999995E-7</v>
      </c>
      <c r="BB20" s="27"/>
      <c r="BC20" s="40"/>
      <c r="BD20" s="24"/>
      <c r="BE20" s="40">
        <v>9.9999999999999995E-7</v>
      </c>
      <c r="BF20" s="27"/>
      <c r="BG20" s="40"/>
      <c r="BH20" s="24"/>
      <c r="BI20" s="40">
        <v>9.9999999999999995E-7</v>
      </c>
      <c r="BJ20" s="27"/>
      <c r="BK20" s="40"/>
      <c r="BL20" s="24"/>
    </row>
    <row r="21" spans="2:64" x14ac:dyDescent="0.3">
      <c r="B21" s="62">
        <f t="shared" ref="B21:B51" si="0">AC21*AA21</f>
        <v>0</v>
      </c>
      <c r="C21" s="47">
        <f t="shared" ref="C21:C51" si="1">AI21*AG21</f>
        <v>0</v>
      </c>
      <c r="D21" s="47">
        <f t="shared" ref="D21:D51" si="2">W21*U21</f>
        <v>0</v>
      </c>
      <c r="E21" s="47">
        <f t="shared" ref="E21:E51" si="3">AK21*AM21</f>
        <v>18</v>
      </c>
      <c r="F21" s="47">
        <f t="shared" ref="F21:F51" si="4">AO21*AQ21</f>
        <v>0</v>
      </c>
      <c r="G21" s="47">
        <f t="shared" ref="G21:G51" si="5">AS21*AU21</f>
        <v>72</v>
      </c>
      <c r="H21" s="47">
        <f t="shared" ref="H21:H51" si="6">AW21*AY21</f>
        <v>0</v>
      </c>
      <c r="I21" s="47">
        <f t="shared" ref="I21:I51" si="7">BA21*BC21</f>
        <v>0</v>
      </c>
      <c r="J21" s="47">
        <f t="shared" ref="J21:J51" si="8">BE21*BG21</f>
        <v>0</v>
      </c>
      <c r="K21" s="63">
        <f t="shared" ref="K21:K51" si="9">BI21*BK21</f>
        <v>0</v>
      </c>
      <c r="L21" s="55">
        <f t="shared" ref="L21:L51" si="10">SUM(S21:U21,Y21:AA21,AE21:AG21,AK21,AO21,AS21,AW21,BA21,BE21,BI21)/($AE$16*$AE$16*3.15/10000*1000)</f>
        <v>5.0097891279560258</v>
      </c>
      <c r="N21" s="33">
        <v>2</v>
      </c>
      <c r="O21" s="28">
        <v>804</v>
      </c>
      <c r="P21" s="88"/>
      <c r="Q21" s="88"/>
      <c r="R21" s="37"/>
      <c r="S21" s="20">
        <v>0</v>
      </c>
      <c r="T21" s="3">
        <v>0</v>
      </c>
      <c r="U21" s="3">
        <v>0</v>
      </c>
      <c r="V21" s="3"/>
      <c r="W21" s="3"/>
      <c r="X21" s="10"/>
      <c r="Y21" s="17">
        <v>0</v>
      </c>
      <c r="Z21" s="2">
        <v>0</v>
      </c>
      <c r="AA21" s="2">
        <v>0</v>
      </c>
      <c r="AB21" s="2"/>
      <c r="AC21" s="3"/>
      <c r="AD21" s="37"/>
      <c r="AE21" s="9">
        <v>0</v>
      </c>
      <c r="AF21" s="2">
        <v>0</v>
      </c>
      <c r="AG21" s="2">
        <v>0</v>
      </c>
      <c r="AH21" s="2"/>
      <c r="AI21" s="3"/>
      <c r="AJ21" s="10"/>
      <c r="AK21" s="28">
        <v>1</v>
      </c>
      <c r="AL21" s="3"/>
      <c r="AM21" s="3">
        <v>18</v>
      </c>
      <c r="AN21" s="10">
        <v>25</v>
      </c>
      <c r="AO21" s="28">
        <v>0</v>
      </c>
      <c r="AP21" s="28"/>
      <c r="AQ21" s="3"/>
      <c r="AR21" s="10"/>
      <c r="AS21" s="20">
        <v>4</v>
      </c>
      <c r="AT21" s="28"/>
      <c r="AU21" s="3">
        <v>18</v>
      </c>
      <c r="AV21" s="10">
        <v>25</v>
      </c>
      <c r="AW21" s="20">
        <v>0</v>
      </c>
      <c r="AX21" s="28"/>
      <c r="AY21" s="3"/>
      <c r="AZ21" s="10"/>
      <c r="BA21" s="20">
        <v>0</v>
      </c>
      <c r="BB21" s="28"/>
      <c r="BC21" s="3"/>
      <c r="BD21" s="10"/>
      <c r="BE21" s="23">
        <v>0</v>
      </c>
      <c r="BF21" s="28"/>
      <c r="BG21" s="3"/>
      <c r="BH21" s="10"/>
      <c r="BI21" s="23">
        <v>0</v>
      </c>
      <c r="BJ21" s="28"/>
      <c r="BK21" s="3"/>
      <c r="BL21" s="10"/>
    </row>
    <row r="22" spans="2:64" x14ac:dyDescent="0.3">
      <c r="B22" s="62">
        <f t="shared" si="0"/>
        <v>0</v>
      </c>
      <c r="C22" s="47">
        <f t="shared" si="1"/>
        <v>0</v>
      </c>
      <c r="D22" s="47">
        <f t="shared" si="2"/>
        <v>0</v>
      </c>
      <c r="E22" s="47">
        <f t="shared" si="3"/>
        <v>0</v>
      </c>
      <c r="F22" s="47">
        <f t="shared" si="4"/>
        <v>96</v>
      </c>
      <c r="G22" s="47">
        <f t="shared" si="5"/>
        <v>20</v>
      </c>
      <c r="H22" s="47">
        <f t="shared" si="6"/>
        <v>0</v>
      </c>
      <c r="I22" s="47">
        <f t="shared" si="7"/>
        <v>0</v>
      </c>
      <c r="J22" s="47">
        <f t="shared" si="8"/>
        <v>0</v>
      </c>
      <c r="K22" s="63">
        <f t="shared" si="9"/>
        <v>0</v>
      </c>
      <c r="L22" s="55">
        <f t="shared" si="10"/>
        <v>16.031325209459283</v>
      </c>
      <c r="N22" s="33">
        <v>3</v>
      </c>
      <c r="O22" s="28">
        <v>805</v>
      </c>
      <c r="P22" s="88"/>
      <c r="Q22" s="88"/>
      <c r="R22" s="37"/>
      <c r="S22" s="20">
        <v>0</v>
      </c>
      <c r="T22" s="3">
        <v>0</v>
      </c>
      <c r="U22" s="3">
        <v>0</v>
      </c>
      <c r="V22" s="3"/>
      <c r="W22" s="3"/>
      <c r="X22" s="10"/>
      <c r="Y22" s="17">
        <v>0</v>
      </c>
      <c r="Z22" s="2">
        <v>0</v>
      </c>
      <c r="AA22" s="2">
        <v>0</v>
      </c>
      <c r="AB22" s="2"/>
      <c r="AC22" s="3"/>
      <c r="AD22" s="37"/>
      <c r="AE22" s="9">
        <v>0</v>
      </c>
      <c r="AF22" s="2">
        <v>0</v>
      </c>
      <c r="AG22" s="2">
        <v>0</v>
      </c>
      <c r="AH22" s="2"/>
      <c r="AI22" s="3"/>
      <c r="AJ22" s="10"/>
      <c r="AK22" s="28">
        <v>0</v>
      </c>
      <c r="AL22" s="3"/>
      <c r="AM22" s="3"/>
      <c r="AN22" s="10"/>
      <c r="AO22" s="28">
        <v>12</v>
      </c>
      <c r="AP22" s="28"/>
      <c r="AQ22" s="3">
        <v>8</v>
      </c>
      <c r="AR22" s="10">
        <v>15</v>
      </c>
      <c r="AS22" s="20">
        <v>4</v>
      </c>
      <c r="AT22" s="28"/>
      <c r="AU22" s="3">
        <v>5</v>
      </c>
      <c r="AV22" s="10">
        <v>15</v>
      </c>
      <c r="AW22" s="20">
        <v>0</v>
      </c>
      <c r="AX22" s="28"/>
      <c r="AY22" s="3"/>
      <c r="AZ22" s="10"/>
      <c r="BA22" s="20">
        <v>0</v>
      </c>
      <c r="BB22" s="28"/>
      <c r="BC22" s="3"/>
      <c r="BD22" s="10"/>
      <c r="BE22" s="23">
        <v>0</v>
      </c>
      <c r="BF22" s="28"/>
      <c r="BG22" s="3"/>
      <c r="BH22" s="10"/>
      <c r="BI22" s="23">
        <v>0</v>
      </c>
      <c r="BJ22" s="28"/>
      <c r="BK22" s="3"/>
      <c r="BL22" s="10"/>
    </row>
    <row r="23" spans="2:64" x14ac:dyDescent="0.3">
      <c r="B23" s="62">
        <f t="shared" si="0"/>
        <v>2.5</v>
      </c>
      <c r="C23" s="47">
        <f t="shared" si="1"/>
        <v>0</v>
      </c>
      <c r="D23" s="47">
        <f t="shared" si="2"/>
        <v>0</v>
      </c>
      <c r="E23" s="47">
        <f t="shared" si="3"/>
        <v>0</v>
      </c>
      <c r="F23" s="47">
        <f t="shared" si="4"/>
        <v>0</v>
      </c>
      <c r="G23" s="47">
        <f t="shared" si="5"/>
        <v>117</v>
      </c>
      <c r="H23" s="47">
        <f t="shared" si="6"/>
        <v>0</v>
      </c>
      <c r="I23" s="47">
        <f t="shared" si="7"/>
        <v>0</v>
      </c>
      <c r="J23" s="47">
        <f t="shared" si="8"/>
        <v>0</v>
      </c>
      <c r="K23" s="63">
        <f t="shared" si="9"/>
        <v>0</v>
      </c>
      <c r="L23" s="55">
        <f t="shared" si="10"/>
        <v>10.019578255912052</v>
      </c>
      <c r="N23" s="33">
        <v>4</v>
      </c>
      <c r="O23" s="27">
        <v>806</v>
      </c>
      <c r="P23" s="87"/>
      <c r="Q23" s="87"/>
      <c r="R23" s="37"/>
      <c r="S23" s="20">
        <v>0</v>
      </c>
      <c r="T23" s="3">
        <v>0</v>
      </c>
      <c r="U23" s="3">
        <v>0</v>
      </c>
      <c r="V23" s="3"/>
      <c r="W23" s="3"/>
      <c r="X23" s="10"/>
      <c r="Y23" s="17">
        <v>0</v>
      </c>
      <c r="Z23" s="2">
        <v>0</v>
      </c>
      <c r="AA23" s="2">
        <v>1</v>
      </c>
      <c r="AB23" s="2"/>
      <c r="AC23" s="3">
        <v>2.5</v>
      </c>
      <c r="AD23" s="37">
        <v>15</v>
      </c>
      <c r="AE23" s="9">
        <v>0</v>
      </c>
      <c r="AF23" s="2">
        <v>0</v>
      </c>
      <c r="AG23" s="2">
        <v>0</v>
      </c>
      <c r="AH23" s="2"/>
      <c r="AI23" s="3"/>
      <c r="AJ23" s="10"/>
      <c r="AK23" s="28">
        <v>0</v>
      </c>
      <c r="AL23" s="3"/>
      <c r="AM23" s="3"/>
      <c r="AN23" s="10"/>
      <c r="AO23" s="28">
        <v>0</v>
      </c>
      <c r="AP23" s="28"/>
      <c r="AQ23" s="3"/>
      <c r="AR23" s="10"/>
      <c r="AS23" s="20">
        <v>9</v>
      </c>
      <c r="AT23" s="28"/>
      <c r="AU23" s="3">
        <v>13</v>
      </c>
      <c r="AV23" s="10">
        <v>15</v>
      </c>
      <c r="AW23" s="20">
        <v>0</v>
      </c>
      <c r="AX23" s="28"/>
      <c r="AY23" s="3"/>
      <c r="AZ23" s="10"/>
      <c r="BA23" s="20">
        <v>0</v>
      </c>
      <c r="BB23" s="28"/>
      <c r="BC23" s="3"/>
      <c r="BD23" s="10"/>
      <c r="BE23" s="23">
        <v>0</v>
      </c>
      <c r="BF23" s="28"/>
      <c r="BG23" s="3"/>
      <c r="BH23" s="10"/>
      <c r="BI23" s="23">
        <v>0</v>
      </c>
      <c r="BJ23" s="28"/>
      <c r="BK23" s="3"/>
      <c r="BL23" s="10"/>
    </row>
    <row r="24" spans="2:64" x14ac:dyDescent="0.3">
      <c r="B24" s="62">
        <f t="shared" si="0"/>
        <v>3</v>
      </c>
      <c r="C24" s="47">
        <f t="shared" si="1"/>
        <v>0</v>
      </c>
      <c r="D24" s="47">
        <f t="shared" si="2"/>
        <v>0</v>
      </c>
      <c r="E24" s="47">
        <f t="shared" si="3"/>
        <v>68</v>
      </c>
      <c r="F24" s="47">
        <f t="shared" si="4"/>
        <v>0</v>
      </c>
      <c r="G24" s="47">
        <f t="shared" si="5"/>
        <v>50</v>
      </c>
      <c r="H24" s="47">
        <f t="shared" si="6"/>
        <v>0</v>
      </c>
      <c r="I24" s="47">
        <f t="shared" si="7"/>
        <v>0</v>
      </c>
      <c r="J24" s="47">
        <f t="shared" si="8"/>
        <v>0</v>
      </c>
      <c r="K24" s="63">
        <f t="shared" si="9"/>
        <v>0</v>
      </c>
      <c r="L24" s="55">
        <f t="shared" si="10"/>
        <v>16.031325209459283</v>
      </c>
      <c r="N24" s="33">
        <v>5</v>
      </c>
      <c r="O24" s="28">
        <v>807</v>
      </c>
      <c r="P24" s="88"/>
      <c r="Q24" s="88"/>
      <c r="R24" s="37"/>
      <c r="S24" s="20">
        <v>0</v>
      </c>
      <c r="T24" s="3">
        <v>0</v>
      </c>
      <c r="U24" s="3">
        <v>0</v>
      </c>
      <c r="V24" s="3"/>
      <c r="W24" s="3"/>
      <c r="X24" s="10"/>
      <c r="Y24" s="17">
        <v>0</v>
      </c>
      <c r="Z24" s="2">
        <v>0</v>
      </c>
      <c r="AA24" s="2">
        <v>2</v>
      </c>
      <c r="AB24" s="2"/>
      <c r="AC24" s="3">
        <v>1.5</v>
      </c>
      <c r="AD24" s="37">
        <v>10</v>
      </c>
      <c r="AE24" s="9">
        <v>0</v>
      </c>
      <c r="AF24" s="2">
        <v>0</v>
      </c>
      <c r="AG24" s="2">
        <v>0</v>
      </c>
      <c r="AH24" s="2"/>
      <c r="AI24" s="3"/>
      <c r="AJ24" s="10"/>
      <c r="AK24" s="28">
        <v>4</v>
      </c>
      <c r="AL24" s="3"/>
      <c r="AM24" s="3">
        <v>17</v>
      </c>
      <c r="AN24" s="10">
        <v>20</v>
      </c>
      <c r="AO24" s="28">
        <v>0</v>
      </c>
      <c r="AP24" s="28"/>
      <c r="AQ24" s="3"/>
      <c r="AR24" s="10"/>
      <c r="AS24" s="20">
        <v>10</v>
      </c>
      <c r="AT24" s="28"/>
      <c r="AU24" s="3">
        <v>5</v>
      </c>
      <c r="AV24" s="10">
        <v>10</v>
      </c>
      <c r="AW24" s="20">
        <v>0</v>
      </c>
      <c r="AX24" s="28"/>
      <c r="AY24" s="3"/>
      <c r="AZ24" s="10"/>
      <c r="BA24" s="20">
        <v>0</v>
      </c>
      <c r="BB24" s="28"/>
      <c r="BC24" s="3"/>
      <c r="BD24" s="10"/>
      <c r="BE24" s="23">
        <v>0</v>
      </c>
      <c r="BF24" s="28"/>
      <c r="BG24" s="3"/>
      <c r="BH24" s="10"/>
      <c r="BI24" s="20">
        <v>0</v>
      </c>
      <c r="BJ24" s="28"/>
      <c r="BK24" s="3"/>
      <c r="BL24" s="10"/>
    </row>
    <row r="25" spans="2:64" x14ac:dyDescent="0.3">
      <c r="B25" s="62">
        <f t="shared" si="0"/>
        <v>0</v>
      </c>
      <c r="C25" s="47">
        <f t="shared" si="1"/>
        <v>0</v>
      </c>
      <c r="D25" s="47">
        <f t="shared" si="2"/>
        <v>0</v>
      </c>
      <c r="E25" s="47">
        <f t="shared" si="3"/>
        <v>0</v>
      </c>
      <c r="F25" s="47">
        <f t="shared" si="4"/>
        <v>0</v>
      </c>
      <c r="G25" s="47">
        <f t="shared" si="5"/>
        <v>48</v>
      </c>
      <c r="H25" s="47">
        <f t="shared" si="6"/>
        <v>0</v>
      </c>
      <c r="I25" s="47">
        <f t="shared" si="7"/>
        <v>0</v>
      </c>
      <c r="J25" s="47">
        <f t="shared" si="8"/>
        <v>0</v>
      </c>
      <c r="K25" s="63">
        <f t="shared" si="9"/>
        <v>0</v>
      </c>
      <c r="L25" s="55">
        <f t="shared" si="10"/>
        <v>6.011746953547231</v>
      </c>
      <c r="N25" s="33">
        <v>6</v>
      </c>
      <c r="O25" s="28">
        <v>808</v>
      </c>
      <c r="P25" s="88"/>
      <c r="Q25" s="88"/>
      <c r="R25" s="37"/>
      <c r="S25" s="20">
        <v>0</v>
      </c>
      <c r="T25" s="3">
        <v>0</v>
      </c>
      <c r="U25" s="3">
        <v>0</v>
      </c>
      <c r="V25" s="3"/>
      <c r="W25" s="3"/>
      <c r="X25" s="10"/>
      <c r="Y25" s="17">
        <v>0</v>
      </c>
      <c r="Z25" s="2">
        <v>0</v>
      </c>
      <c r="AA25" s="2">
        <v>0</v>
      </c>
      <c r="AB25" s="2"/>
      <c r="AC25" s="3"/>
      <c r="AD25" s="37"/>
      <c r="AE25" s="9">
        <v>0</v>
      </c>
      <c r="AF25" s="2">
        <v>0</v>
      </c>
      <c r="AG25" s="2">
        <v>0</v>
      </c>
      <c r="AH25" s="2"/>
      <c r="AI25" s="3"/>
      <c r="AJ25" s="10"/>
      <c r="AK25" s="28">
        <v>0</v>
      </c>
      <c r="AL25" s="3"/>
      <c r="AM25" s="3"/>
      <c r="AN25" s="10"/>
      <c r="AO25" s="28">
        <v>0</v>
      </c>
      <c r="AP25" s="28"/>
      <c r="AQ25" s="3"/>
      <c r="AR25" s="10"/>
      <c r="AS25" s="20">
        <v>6</v>
      </c>
      <c r="AT25" s="28"/>
      <c r="AU25" s="3">
        <v>8</v>
      </c>
      <c r="AV25" s="10">
        <v>15</v>
      </c>
      <c r="AW25" s="20">
        <v>0</v>
      </c>
      <c r="AX25" s="28"/>
      <c r="AY25" s="3"/>
      <c r="AZ25" s="10"/>
      <c r="BA25" s="20">
        <v>0</v>
      </c>
      <c r="BB25" s="28"/>
      <c r="BC25" s="3"/>
      <c r="BD25" s="10"/>
      <c r="BE25" s="23">
        <v>0</v>
      </c>
      <c r="BF25" s="28"/>
      <c r="BG25" s="3"/>
      <c r="BH25" s="10"/>
      <c r="BI25" s="20">
        <v>0</v>
      </c>
      <c r="BJ25" s="28"/>
      <c r="BK25" s="3"/>
      <c r="BL25" s="10"/>
    </row>
    <row r="26" spans="2:64" x14ac:dyDescent="0.3">
      <c r="B26" s="62">
        <f t="shared" si="0"/>
        <v>0</v>
      </c>
      <c r="C26" s="47">
        <f t="shared" si="1"/>
        <v>0</v>
      </c>
      <c r="D26" s="47">
        <f t="shared" si="2"/>
        <v>0</v>
      </c>
      <c r="E26" s="47">
        <f t="shared" si="3"/>
        <v>0</v>
      </c>
      <c r="F26" s="47">
        <f t="shared" si="4"/>
        <v>0</v>
      </c>
      <c r="G26" s="47">
        <f t="shared" si="5"/>
        <v>0</v>
      </c>
      <c r="H26" s="47">
        <f t="shared" si="6"/>
        <v>0</v>
      </c>
      <c r="I26" s="47">
        <f t="shared" si="7"/>
        <v>0</v>
      </c>
      <c r="J26" s="47">
        <f t="shared" si="8"/>
        <v>0</v>
      </c>
      <c r="K26" s="63">
        <f t="shared" si="9"/>
        <v>0</v>
      </c>
      <c r="L26" s="55">
        <f t="shared" si="10"/>
        <v>0</v>
      </c>
      <c r="N26" s="33">
        <v>7</v>
      </c>
      <c r="O26" s="27"/>
      <c r="P26" s="87"/>
      <c r="Q26" s="87"/>
      <c r="R26" s="37"/>
      <c r="S26" s="20"/>
      <c r="T26" s="3"/>
      <c r="U26" s="3"/>
      <c r="V26" s="3"/>
      <c r="W26" s="3"/>
      <c r="X26" s="10"/>
      <c r="Y26" s="17"/>
      <c r="Z26" s="2"/>
      <c r="AA26" s="2"/>
      <c r="AB26" s="2"/>
      <c r="AC26" s="3"/>
      <c r="AD26" s="37"/>
      <c r="AE26" s="9"/>
      <c r="AF26" s="2"/>
      <c r="AG26" s="2"/>
      <c r="AH26" s="2"/>
      <c r="AI26" s="3"/>
      <c r="AJ26" s="10"/>
      <c r="AK26" s="28"/>
      <c r="AL26" s="3"/>
      <c r="AM26" s="3"/>
      <c r="AN26" s="10"/>
      <c r="AO26" s="28"/>
      <c r="AP26" s="28"/>
      <c r="AQ26" s="3"/>
      <c r="AR26" s="10"/>
      <c r="AS26" s="20"/>
      <c r="AT26" s="28"/>
      <c r="AU26" s="3"/>
      <c r="AV26" s="10"/>
      <c r="AW26" s="20"/>
      <c r="AX26" s="28"/>
      <c r="AY26" s="3"/>
      <c r="AZ26" s="10"/>
      <c r="BA26" s="20"/>
      <c r="BB26" s="28"/>
      <c r="BC26" s="3"/>
      <c r="BD26" s="10"/>
      <c r="BE26" s="23"/>
      <c r="BF26" s="28"/>
      <c r="BG26" s="3"/>
      <c r="BH26" s="10"/>
      <c r="BI26" s="20"/>
      <c r="BJ26" s="28"/>
      <c r="BK26" s="3"/>
      <c r="BL26" s="10"/>
    </row>
    <row r="27" spans="2:64" x14ac:dyDescent="0.3">
      <c r="B27" s="62">
        <f t="shared" si="0"/>
        <v>0</v>
      </c>
      <c r="C27" s="47">
        <f t="shared" si="1"/>
        <v>0</v>
      </c>
      <c r="D27" s="47">
        <f t="shared" si="2"/>
        <v>0</v>
      </c>
      <c r="E27" s="47">
        <f t="shared" si="3"/>
        <v>0</v>
      </c>
      <c r="F27" s="47">
        <f t="shared" si="4"/>
        <v>0</v>
      </c>
      <c r="G27" s="47">
        <f t="shared" si="5"/>
        <v>0</v>
      </c>
      <c r="H27" s="47">
        <f t="shared" si="6"/>
        <v>0</v>
      </c>
      <c r="I27" s="47">
        <f t="shared" si="7"/>
        <v>0</v>
      </c>
      <c r="J27" s="47">
        <f t="shared" si="8"/>
        <v>0</v>
      </c>
      <c r="K27" s="63">
        <f t="shared" si="9"/>
        <v>0</v>
      </c>
      <c r="L27" s="55">
        <f t="shared" si="10"/>
        <v>0</v>
      </c>
      <c r="N27" s="33">
        <v>8</v>
      </c>
      <c r="O27" s="28"/>
      <c r="P27" s="88"/>
      <c r="Q27" s="88"/>
      <c r="R27" s="37"/>
      <c r="S27" s="20"/>
      <c r="T27" s="3"/>
      <c r="U27" s="3"/>
      <c r="V27" s="3"/>
      <c r="W27" s="3"/>
      <c r="X27" s="10"/>
      <c r="Y27" s="17"/>
      <c r="Z27" s="2"/>
      <c r="AA27" s="2"/>
      <c r="AB27" s="2"/>
      <c r="AC27" s="3"/>
      <c r="AD27" s="37"/>
      <c r="AE27" s="9"/>
      <c r="AF27" s="2"/>
      <c r="AG27" s="2"/>
      <c r="AH27" s="2"/>
      <c r="AI27" s="3"/>
      <c r="AJ27" s="10"/>
      <c r="AK27" s="28"/>
      <c r="AL27" s="3"/>
      <c r="AM27" s="3"/>
      <c r="AN27" s="10"/>
      <c r="AO27" s="28"/>
      <c r="AP27" s="28"/>
      <c r="AQ27" s="3"/>
      <c r="AR27" s="10"/>
      <c r="AS27" s="20"/>
      <c r="AT27" s="28"/>
      <c r="AU27" s="3"/>
      <c r="AV27" s="10"/>
      <c r="AW27" s="20"/>
      <c r="AX27" s="28"/>
      <c r="AY27" s="3"/>
      <c r="AZ27" s="10"/>
      <c r="BA27" s="20"/>
      <c r="BB27" s="28"/>
      <c r="BC27" s="3"/>
      <c r="BD27" s="10"/>
      <c r="BE27" s="23"/>
      <c r="BF27" s="28"/>
      <c r="BG27" s="3"/>
      <c r="BH27" s="10"/>
      <c r="BI27" s="20"/>
      <c r="BJ27" s="28"/>
      <c r="BK27" s="3"/>
      <c r="BL27" s="10"/>
    </row>
    <row r="28" spans="2:64" x14ac:dyDescent="0.3">
      <c r="B28" s="62">
        <f t="shared" si="0"/>
        <v>0</v>
      </c>
      <c r="C28" s="47">
        <f t="shared" si="1"/>
        <v>0</v>
      </c>
      <c r="D28" s="47">
        <f t="shared" si="2"/>
        <v>0</v>
      </c>
      <c r="E28" s="47">
        <f t="shared" si="3"/>
        <v>0</v>
      </c>
      <c r="F28" s="47">
        <f t="shared" si="4"/>
        <v>0</v>
      </c>
      <c r="G28" s="47">
        <f t="shared" si="5"/>
        <v>0</v>
      </c>
      <c r="H28" s="47">
        <f t="shared" si="6"/>
        <v>0</v>
      </c>
      <c r="I28" s="47">
        <f t="shared" si="7"/>
        <v>0</v>
      </c>
      <c r="J28" s="47">
        <f t="shared" si="8"/>
        <v>0</v>
      </c>
      <c r="K28" s="63">
        <f t="shared" si="9"/>
        <v>0</v>
      </c>
      <c r="L28" s="55">
        <f t="shared" si="10"/>
        <v>0</v>
      </c>
      <c r="N28" s="33">
        <v>9</v>
      </c>
      <c r="O28" s="28"/>
      <c r="P28" s="88"/>
      <c r="Q28" s="88"/>
      <c r="R28" s="37"/>
      <c r="S28" s="20"/>
      <c r="T28" s="3"/>
      <c r="U28" s="3"/>
      <c r="V28" s="3"/>
      <c r="W28" s="3"/>
      <c r="X28" s="10"/>
      <c r="Y28" s="17"/>
      <c r="Z28" s="2"/>
      <c r="AA28" s="2"/>
      <c r="AB28" s="2"/>
      <c r="AC28" s="3"/>
      <c r="AD28" s="37"/>
      <c r="AE28" s="9"/>
      <c r="AF28" s="2"/>
      <c r="AG28" s="2"/>
      <c r="AH28" s="2"/>
      <c r="AI28" s="3"/>
      <c r="AJ28" s="10"/>
      <c r="AK28" s="28"/>
      <c r="AL28" s="3"/>
      <c r="AM28" s="3"/>
      <c r="AN28" s="10"/>
      <c r="AO28" s="28"/>
      <c r="AP28" s="28"/>
      <c r="AQ28" s="3"/>
      <c r="AR28" s="10"/>
      <c r="AS28" s="20"/>
      <c r="AT28" s="28"/>
      <c r="AU28" s="3"/>
      <c r="AV28" s="10"/>
      <c r="AW28" s="20"/>
      <c r="AX28" s="28"/>
      <c r="AY28" s="3"/>
      <c r="AZ28" s="10"/>
      <c r="BA28" s="20"/>
      <c r="BB28" s="28"/>
      <c r="BC28" s="3"/>
      <c r="BD28" s="10"/>
      <c r="BE28" s="23"/>
      <c r="BF28" s="28"/>
      <c r="BG28" s="3"/>
      <c r="BH28" s="10"/>
      <c r="BI28" s="20"/>
      <c r="BJ28" s="28"/>
      <c r="BK28" s="3"/>
      <c r="BL28" s="10"/>
    </row>
    <row r="29" spans="2:64" x14ac:dyDescent="0.3">
      <c r="B29" s="62">
        <f t="shared" si="0"/>
        <v>0</v>
      </c>
      <c r="C29" s="47">
        <f t="shared" si="1"/>
        <v>0</v>
      </c>
      <c r="D29" s="47">
        <f t="shared" si="2"/>
        <v>0</v>
      </c>
      <c r="E29" s="47">
        <f t="shared" si="3"/>
        <v>0</v>
      </c>
      <c r="F29" s="47">
        <f t="shared" si="4"/>
        <v>0</v>
      </c>
      <c r="G29" s="47">
        <f t="shared" si="5"/>
        <v>0</v>
      </c>
      <c r="H29" s="47">
        <f t="shared" si="6"/>
        <v>0</v>
      </c>
      <c r="I29" s="47">
        <f t="shared" si="7"/>
        <v>0</v>
      </c>
      <c r="J29" s="47">
        <f t="shared" si="8"/>
        <v>0</v>
      </c>
      <c r="K29" s="63">
        <f t="shared" si="9"/>
        <v>0</v>
      </c>
      <c r="L29" s="55">
        <f t="shared" si="10"/>
        <v>0</v>
      </c>
      <c r="N29" s="33">
        <v>10</v>
      </c>
      <c r="O29" s="27"/>
      <c r="P29" s="87"/>
      <c r="Q29" s="87"/>
      <c r="R29" s="37"/>
      <c r="S29" s="20"/>
      <c r="T29" s="3"/>
      <c r="U29" s="3"/>
      <c r="V29" s="3"/>
      <c r="W29" s="3"/>
      <c r="X29" s="10"/>
      <c r="Y29" s="17"/>
      <c r="Z29" s="2"/>
      <c r="AA29" s="2"/>
      <c r="AB29" s="2"/>
      <c r="AC29" s="3"/>
      <c r="AD29" s="37"/>
      <c r="AE29" s="9"/>
      <c r="AF29" s="2"/>
      <c r="AG29" s="2"/>
      <c r="AH29" s="2"/>
      <c r="AI29" s="3"/>
      <c r="AJ29" s="10"/>
      <c r="AK29" s="28"/>
      <c r="AL29" s="3"/>
      <c r="AM29" s="3"/>
      <c r="AN29" s="10"/>
      <c r="AO29" s="28"/>
      <c r="AP29" s="28"/>
      <c r="AQ29" s="3"/>
      <c r="AR29" s="10"/>
      <c r="AS29" s="20"/>
      <c r="AT29" s="28"/>
      <c r="AU29" s="3"/>
      <c r="AV29" s="10"/>
      <c r="AW29" s="20"/>
      <c r="AX29" s="28"/>
      <c r="AY29" s="3"/>
      <c r="AZ29" s="10"/>
      <c r="BA29" s="20"/>
      <c r="BB29" s="28"/>
      <c r="BC29" s="3"/>
      <c r="BD29" s="10"/>
      <c r="BE29" s="23"/>
      <c r="BF29" s="28"/>
      <c r="BG29" s="3"/>
      <c r="BH29" s="10"/>
      <c r="BI29" s="20"/>
      <c r="BJ29" s="28"/>
      <c r="BK29" s="3"/>
      <c r="BL29" s="10"/>
    </row>
    <row r="30" spans="2:64" x14ac:dyDescent="0.3">
      <c r="B30" s="62">
        <f t="shared" si="0"/>
        <v>0</v>
      </c>
      <c r="C30" s="47">
        <f t="shared" si="1"/>
        <v>0</v>
      </c>
      <c r="D30" s="47">
        <f t="shared" si="2"/>
        <v>0</v>
      </c>
      <c r="E30" s="47">
        <f t="shared" si="3"/>
        <v>0</v>
      </c>
      <c r="F30" s="47">
        <f t="shared" si="4"/>
        <v>0</v>
      </c>
      <c r="G30" s="47">
        <f t="shared" si="5"/>
        <v>0</v>
      </c>
      <c r="H30" s="47">
        <f t="shared" si="6"/>
        <v>0</v>
      </c>
      <c r="I30" s="47">
        <f t="shared" si="7"/>
        <v>0</v>
      </c>
      <c r="J30" s="47">
        <f t="shared" si="8"/>
        <v>0</v>
      </c>
      <c r="K30" s="63">
        <f t="shared" si="9"/>
        <v>0</v>
      </c>
      <c r="L30" s="55">
        <f t="shared" si="10"/>
        <v>0</v>
      </c>
      <c r="N30" s="33">
        <v>11</v>
      </c>
      <c r="O30" s="28"/>
      <c r="P30" s="88"/>
      <c r="Q30" s="88"/>
      <c r="R30" s="37"/>
      <c r="S30" s="20"/>
      <c r="T30" s="3"/>
      <c r="U30" s="3"/>
      <c r="V30" s="3"/>
      <c r="W30" s="3"/>
      <c r="X30" s="10"/>
      <c r="Y30" s="17"/>
      <c r="Z30" s="2"/>
      <c r="AA30" s="2"/>
      <c r="AB30" s="2"/>
      <c r="AC30" s="3"/>
      <c r="AD30" s="37"/>
      <c r="AE30" s="9"/>
      <c r="AF30" s="2"/>
      <c r="AG30" s="2"/>
      <c r="AH30" s="2"/>
      <c r="AI30" s="3"/>
      <c r="AJ30" s="10"/>
      <c r="AK30" s="28"/>
      <c r="AL30" s="3"/>
      <c r="AM30" s="3"/>
      <c r="AN30" s="10"/>
      <c r="AO30" s="28"/>
      <c r="AP30" s="28"/>
      <c r="AQ30" s="3"/>
      <c r="AR30" s="10"/>
      <c r="AS30" s="20"/>
      <c r="AT30" s="28"/>
      <c r="AU30" s="3"/>
      <c r="AV30" s="10"/>
      <c r="AW30" s="20"/>
      <c r="AX30" s="28"/>
      <c r="AY30" s="3"/>
      <c r="AZ30" s="10"/>
      <c r="BA30" s="20"/>
      <c r="BB30" s="28"/>
      <c r="BC30" s="3"/>
      <c r="BD30" s="10"/>
      <c r="BE30" s="23"/>
      <c r="BF30" s="28"/>
      <c r="BG30" s="3"/>
      <c r="BH30" s="10"/>
      <c r="BI30" s="20"/>
      <c r="BJ30" s="28"/>
      <c r="BK30" s="3"/>
      <c r="BL30" s="10"/>
    </row>
    <row r="31" spans="2:64" x14ac:dyDescent="0.3">
      <c r="B31" s="62">
        <f t="shared" si="0"/>
        <v>0</v>
      </c>
      <c r="C31" s="47">
        <f t="shared" si="1"/>
        <v>0</v>
      </c>
      <c r="D31" s="47">
        <f t="shared" si="2"/>
        <v>0</v>
      </c>
      <c r="E31" s="47">
        <f t="shared" si="3"/>
        <v>0</v>
      </c>
      <c r="F31" s="47">
        <f t="shared" si="4"/>
        <v>0</v>
      </c>
      <c r="G31" s="47">
        <f t="shared" si="5"/>
        <v>0</v>
      </c>
      <c r="H31" s="47">
        <f t="shared" si="6"/>
        <v>0</v>
      </c>
      <c r="I31" s="47">
        <f t="shared" si="7"/>
        <v>0</v>
      </c>
      <c r="J31" s="47">
        <f t="shared" si="8"/>
        <v>0</v>
      </c>
      <c r="K31" s="63">
        <f t="shared" si="9"/>
        <v>0</v>
      </c>
      <c r="L31" s="55">
        <f t="shared" si="10"/>
        <v>0</v>
      </c>
      <c r="N31" s="33">
        <v>12</v>
      </c>
      <c r="O31" s="28"/>
      <c r="P31" s="88"/>
      <c r="Q31" s="88"/>
      <c r="R31" s="37"/>
      <c r="S31" s="20"/>
      <c r="T31" s="3"/>
      <c r="U31" s="3"/>
      <c r="V31" s="3"/>
      <c r="W31" s="3"/>
      <c r="X31" s="10"/>
      <c r="Y31" s="17"/>
      <c r="Z31" s="2"/>
      <c r="AA31" s="2"/>
      <c r="AB31" s="2"/>
      <c r="AC31" s="3"/>
      <c r="AD31" s="37"/>
      <c r="AE31" s="9"/>
      <c r="AF31" s="2"/>
      <c r="AG31" s="2"/>
      <c r="AH31" s="2"/>
      <c r="AI31" s="3"/>
      <c r="AJ31" s="10"/>
      <c r="AK31" s="28"/>
      <c r="AL31" s="3"/>
      <c r="AM31" s="3"/>
      <c r="AN31" s="10"/>
      <c r="AO31" s="28"/>
      <c r="AP31" s="28"/>
      <c r="AQ31" s="3"/>
      <c r="AR31" s="10"/>
      <c r="AS31" s="20"/>
      <c r="AT31" s="28"/>
      <c r="AU31" s="3"/>
      <c r="AV31" s="10"/>
      <c r="AW31" s="20"/>
      <c r="AX31" s="28"/>
      <c r="AY31" s="3"/>
      <c r="AZ31" s="10"/>
      <c r="BA31" s="20"/>
      <c r="BB31" s="28"/>
      <c r="BC31" s="3"/>
      <c r="BD31" s="10"/>
      <c r="BE31" s="23"/>
      <c r="BF31" s="28"/>
      <c r="BG31" s="3"/>
      <c r="BH31" s="10"/>
      <c r="BI31" s="20"/>
      <c r="BJ31" s="28"/>
      <c r="BK31" s="3"/>
      <c r="BL31" s="10"/>
    </row>
    <row r="32" spans="2:64" x14ac:dyDescent="0.3">
      <c r="B32" s="62">
        <f t="shared" si="0"/>
        <v>0</v>
      </c>
      <c r="C32" s="47">
        <f t="shared" si="1"/>
        <v>0</v>
      </c>
      <c r="D32" s="47">
        <f t="shared" si="2"/>
        <v>0</v>
      </c>
      <c r="E32" s="47">
        <f t="shared" si="3"/>
        <v>0</v>
      </c>
      <c r="F32" s="47">
        <f t="shared" si="4"/>
        <v>0</v>
      </c>
      <c r="G32" s="47">
        <f t="shared" si="5"/>
        <v>0</v>
      </c>
      <c r="H32" s="47">
        <f t="shared" si="6"/>
        <v>0</v>
      </c>
      <c r="I32" s="47">
        <f t="shared" si="7"/>
        <v>0</v>
      </c>
      <c r="J32" s="47">
        <f t="shared" si="8"/>
        <v>0</v>
      </c>
      <c r="K32" s="63">
        <f t="shared" si="9"/>
        <v>0</v>
      </c>
      <c r="L32" s="55">
        <f t="shared" si="10"/>
        <v>0</v>
      </c>
      <c r="N32" s="33">
        <v>13</v>
      </c>
      <c r="O32" s="28"/>
      <c r="P32" s="88"/>
      <c r="Q32" s="88"/>
      <c r="R32" s="37"/>
      <c r="S32" s="20"/>
      <c r="T32" s="3"/>
      <c r="U32" s="3"/>
      <c r="V32" s="3"/>
      <c r="W32" s="3"/>
      <c r="X32" s="10"/>
      <c r="Y32" s="17"/>
      <c r="Z32" s="2"/>
      <c r="AA32" s="2"/>
      <c r="AB32" s="2"/>
      <c r="AC32" s="3"/>
      <c r="AD32" s="37"/>
      <c r="AE32" s="9"/>
      <c r="AF32" s="2"/>
      <c r="AG32" s="2"/>
      <c r="AH32" s="2"/>
      <c r="AI32" s="3"/>
      <c r="AJ32" s="10"/>
      <c r="AK32" s="28"/>
      <c r="AL32" s="3"/>
      <c r="AM32" s="3"/>
      <c r="AN32" s="10"/>
      <c r="AO32" s="28"/>
      <c r="AP32" s="28"/>
      <c r="AQ32" s="3"/>
      <c r="AR32" s="10"/>
      <c r="AS32" s="20"/>
      <c r="AT32" s="28"/>
      <c r="AU32" s="3"/>
      <c r="AV32" s="10"/>
      <c r="AW32" s="20"/>
      <c r="AX32" s="28"/>
      <c r="AY32" s="3"/>
      <c r="AZ32" s="10"/>
      <c r="BA32" s="20"/>
      <c r="BB32" s="28"/>
      <c r="BC32" s="3"/>
      <c r="BD32" s="10"/>
      <c r="BE32" s="23"/>
      <c r="BF32" s="28"/>
      <c r="BG32" s="3"/>
      <c r="BH32" s="10"/>
      <c r="BI32" s="20"/>
      <c r="BJ32" s="28"/>
      <c r="BK32" s="3"/>
      <c r="BL32" s="10"/>
    </row>
    <row r="33" spans="2:64" x14ac:dyDescent="0.3">
      <c r="B33" s="62">
        <f t="shared" si="0"/>
        <v>0</v>
      </c>
      <c r="C33" s="47">
        <f t="shared" si="1"/>
        <v>0</v>
      </c>
      <c r="D33" s="47">
        <f t="shared" si="2"/>
        <v>0</v>
      </c>
      <c r="E33" s="47">
        <f t="shared" si="3"/>
        <v>0</v>
      </c>
      <c r="F33" s="47">
        <f t="shared" si="4"/>
        <v>0</v>
      </c>
      <c r="G33" s="47">
        <f t="shared" si="5"/>
        <v>0</v>
      </c>
      <c r="H33" s="47">
        <f t="shared" si="6"/>
        <v>0</v>
      </c>
      <c r="I33" s="47">
        <f t="shared" si="7"/>
        <v>0</v>
      </c>
      <c r="J33" s="47">
        <f t="shared" si="8"/>
        <v>0</v>
      </c>
      <c r="K33" s="63">
        <f t="shared" si="9"/>
        <v>0</v>
      </c>
      <c r="L33" s="55">
        <f t="shared" si="10"/>
        <v>0</v>
      </c>
      <c r="N33" s="33">
        <v>14</v>
      </c>
      <c r="O33" s="28"/>
      <c r="P33" s="88"/>
      <c r="Q33" s="88"/>
      <c r="R33" s="37"/>
      <c r="S33" s="20"/>
      <c r="T33" s="3"/>
      <c r="U33" s="3"/>
      <c r="V33" s="3"/>
      <c r="W33" s="3"/>
      <c r="X33" s="10"/>
      <c r="Y33" s="17"/>
      <c r="Z33" s="2"/>
      <c r="AA33" s="2"/>
      <c r="AB33" s="2"/>
      <c r="AC33" s="3"/>
      <c r="AD33" s="37"/>
      <c r="AE33" s="9"/>
      <c r="AF33" s="2"/>
      <c r="AG33" s="2"/>
      <c r="AH33" s="2"/>
      <c r="AI33" s="3"/>
      <c r="AJ33" s="10"/>
      <c r="AK33" s="28"/>
      <c r="AL33" s="3"/>
      <c r="AM33" s="3"/>
      <c r="AN33" s="10"/>
      <c r="AO33" s="28"/>
      <c r="AP33" s="28"/>
      <c r="AQ33" s="3"/>
      <c r="AR33" s="10"/>
      <c r="AS33" s="20"/>
      <c r="AT33" s="28"/>
      <c r="AU33" s="3"/>
      <c r="AV33" s="10"/>
      <c r="AW33" s="20"/>
      <c r="AX33" s="28"/>
      <c r="AY33" s="3"/>
      <c r="AZ33" s="10"/>
      <c r="BA33" s="20"/>
      <c r="BB33" s="28"/>
      <c r="BC33" s="3"/>
      <c r="BD33" s="10"/>
      <c r="BE33" s="23"/>
      <c r="BF33" s="28"/>
      <c r="BG33" s="3"/>
      <c r="BH33" s="10"/>
      <c r="BI33" s="20"/>
      <c r="BJ33" s="28"/>
      <c r="BK33" s="3"/>
      <c r="BL33" s="10"/>
    </row>
    <row r="34" spans="2:64" x14ac:dyDescent="0.3">
      <c r="B34" s="62">
        <f t="shared" si="0"/>
        <v>0</v>
      </c>
      <c r="C34" s="47">
        <f t="shared" si="1"/>
        <v>0</v>
      </c>
      <c r="D34" s="47">
        <f t="shared" si="2"/>
        <v>0</v>
      </c>
      <c r="E34" s="47">
        <f t="shared" si="3"/>
        <v>0</v>
      </c>
      <c r="F34" s="47">
        <f t="shared" si="4"/>
        <v>0</v>
      </c>
      <c r="G34" s="47">
        <f t="shared" si="5"/>
        <v>0</v>
      </c>
      <c r="H34" s="47">
        <f t="shared" si="6"/>
        <v>0</v>
      </c>
      <c r="I34" s="47">
        <f t="shared" si="7"/>
        <v>0</v>
      </c>
      <c r="J34" s="47">
        <f t="shared" si="8"/>
        <v>0</v>
      </c>
      <c r="K34" s="63">
        <f t="shared" si="9"/>
        <v>0</v>
      </c>
      <c r="L34" s="55">
        <f t="shared" si="10"/>
        <v>0</v>
      </c>
      <c r="N34" s="33">
        <v>15</v>
      </c>
      <c r="O34" s="28"/>
      <c r="P34" s="88"/>
      <c r="Q34" s="88"/>
      <c r="R34" s="37"/>
      <c r="S34" s="20"/>
      <c r="T34" s="3"/>
      <c r="U34" s="3"/>
      <c r="V34" s="3"/>
      <c r="W34" s="3"/>
      <c r="X34" s="10"/>
      <c r="Y34" s="17"/>
      <c r="Z34" s="2"/>
      <c r="AA34" s="2"/>
      <c r="AB34" s="2"/>
      <c r="AC34" s="3"/>
      <c r="AD34" s="37"/>
      <c r="AE34" s="9"/>
      <c r="AF34" s="2"/>
      <c r="AG34" s="2"/>
      <c r="AH34" s="2"/>
      <c r="AI34" s="3"/>
      <c r="AJ34" s="10"/>
      <c r="AK34" s="28"/>
      <c r="AL34" s="3"/>
      <c r="AM34" s="3"/>
      <c r="AN34" s="10"/>
      <c r="AO34" s="28"/>
      <c r="AP34" s="28"/>
      <c r="AQ34" s="3"/>
      <c r="AR34" s="10"/>
      <c r="AS34" s="20"/>
      <c r="AT34" s="28"/>
      <c r="AU34" s="3"/>
      <c r="AV34" s="10"/>
      <c r="AW34" s="20"/>
      <c r="AX34" s="28"/>
      <c r="AY34" s="3"/>
      <c r="AZ34" s="10"/>
      <c r="BA34" s="20"/>
      <c r="BB34" s="28"/>
      <c r="BC34" s="3"/>
      <c r="BD34" s="10"/>
      <c r="BE34" s="23"/>
      <c r="BF34" s="28"/>
      <c r="BG34" s="3"/>
      <c r="BH34" s="10"/>
      <c r="BI34" s="20"/>
      <c r="BJ34" s="28"/>
      <c r="BK34" s="3"/>
      <c r="BL34" s="10"/>
    </row>
    <row r="35" spans="2:64" x14ac:dyDescent="0.3">
      <c r="B35" s="62">
        <f t="shared" si="0"/>
        <v>0</v>
      </c>
      <c r="C35" s="47">
        <f t="shared" si="1"/>
        <v>0</v>
      </c>
      <c r="D35" s="47">
        <f t="shared" si="2"/>
        <v>0</v>
      </c>
      <c r="E35" s="47">
        <f t="shared" si="3"/>
        <v>0</v>
      </c>
      <c r="F35" s="47">
        <f t="shared" si="4"/>
        <v>0</v>
      </c>
      <c r="G35" s="47">
        <f t="shared" si="5"/>
        <v>0</v>
      </c>
      <c r="H35" s="47">
        <f t="shared" si="6"/>
        <v>0</v>
      </c>
      <c r="I35" s="47">
        <f t="shared" si="7"/>
        <v>0</v>
      </c>
      <c r="J35" s="47">
        <f t="shared" si="8"/>
        <v>0</v>
      </c>
      <c r="K35" s="63">
        <f t="shared" si="9"/>
        <v>0</v>
      </c>
      <c r="L35" s="55">
        <f t="shared" si="10"/>
        <v>0</v>
      </c>
      <c r="N35" s="33">
        <v>16</v>
      </c>
      <c r="O35" s="28"/>
      <c r="P35" s="88"/>
      <c r="Q35" s="88"/>
      <c r="R35" s="37"/>
      <c r="S35" s="20"/>
      <c r="T35" s="3"/>
      <c r="U35" s="3"/>
      <c r="V35" s="3"/>
      <c r="W35" s="3"/>
      <c r="X35" s="10"/>
      <c r="Y35" s="17"/>
      <c r="Z35" s="2"/>
      <c r="AA35" s="2"/>
      <c r="AB35" s="2"/>
      <c r="AC35" s="3"/>
      <c r="AD35" s="37"/>
      <c r="AE35" s="9"/>
      <c r="AF35" s="2"/>
      <c r="AG35" s="2"/>
      <c r="AH35" s="2"/>
      <c r="AI35" s="3"/>
      <c r="AJ35" s="10"/>
      <c r="AK35" s="28"/>
      <c r="AL35" s="3"/>
      <c r="AM35" s="3"/>
      <c r="AN35" s="10"/>
      <c r="AO35" s="28"/>
      <c r="AP35" s="28"/>
      <c r="AQ35" s="3"/>
      <c r="AR35" s="10"/>
      <c r="AS35" s="20"/>
      <c r="AT35" s="28"/>
      <c r="AU35" s="3"/>
      <c r="AV35" s="10"/>
      <c r="AW35" s="20"/>
      <c r="AX35" s="28"/>
      <c r="AY35" s="3"/>
      <c r="AZ35" s="10"/>
      <c r="BA35" s="20"/>
      <c r="BB35" s="28"/>
      <c r="BC35" s="3"/>
      <c r="BD35" s="10"/>
      <c r="BE35" s="23"/>
      <c r="BF35" s="28"/>
      <c r="BG35" s="3"/>
      <c r="BH35" s="10"/>
      <c r="BI35" s="20"/>
      <c r="BJ35" s="28"/>
      <c r="BK35" s="3"/>
      <c r="BL35" s="10"/>
    </row>
    <row r="36" spans="2:64" x14ac:dyDescent="0.3">
      <c r="B36" s="62">
        <f t="shared" si="0"/>
        <v>0</v>
      </c>
      <c r="C36" s="47">
        <f t="shared" si="1"/>
        <v>0</v>
      </c>
      <c r="D36" s="47">
        <f t="shared" si="2"/>
        <v>0</v>
      </c>
      <c r="E36" s="47">
        <f t="shared" si="3"/>
        <v>0</v>
      </c>
      <c r="F36" s="47">
        <f t="shared" si="4"/>
        <v>0</v>
      </c>
      <c r="G36" s="47">
        <f t="shared" si="5"/>
        <v>0</v>
      </c>
      <c r="H36" s="47">
        <f t="shared" si="6"/>
        <v>0</v>
      </c>
      <c r="I36" s="47">
        <f t="shared" si="7"/>
        <v>0</v>
      </c>
      <c r="J36" s="47">
        <f t="shared" si="8"/>
        <v>0</v>
      </c>
      <c r="K36" s="63">
        <f t="shared" si="9"/>
        <v>0</v>
      </c>
      <c r="L36" s="55">
        <f t="shared" si="10"/>
        <v>0</v>
      </c>
      <c r="N36" s="33">
        <v>17</v>
      </c>
      <c r="O36" s="28"/>
      <c r="P36" s="88"/>
      <c r="Q36" s="88"/>
      <c r="R36" s="37"/>
      <c r="S36" s="20"/>
      <c r="T36" s="3"/>
      <c r="U36" s="3"/>
      <c r="V36" s="3"/>
      <c r="W36" s="3"/>
      <c r="X36" s="10"/>
      <c r="Y36" s="17"/>
      <c r="Z36" s="2"/>
      <c r="AA36" s="2"/>
      <c r="AB36" s="2"/>
      <c r="AC36" s="3"/>
      <c r="AD36" s="37"/>
      <c r="AE36" s="9"/>
      <c r="AF36" s="2"/>
      <c r="AG36" s="2"/>
      <c r="AH36" s="2"/>
      <c r="AI36" s="3"/>
      <c r="AJ36" s="10"/>
      <c r="AK36" s="28"/>
      <c r="AL36" s="3"/>
      <c r="AM36" s="3"/>
      <c r="AN36" s="10"/>
      <c r="AO36" s="28"/>
      <c r="AP36" s="28"/>
      <c r="AQ36" s="3"/>
      <c r="AR36" s="10"/>
      <c r="AS36" s="20"/>
      <c r="AT36" s="28"/>
      <c r="AU36" s="3"/>
      <c r="AV36" s="10"/>
      <c r="AW36" s="20"/>
      <c r="AX36" s="28"/>
      <c r="AY36" s="3"/>
      <c r="AZ36" s="10"/>
      <c r="BA36" s="20"/>
      <c r="BB36" s="28"/>
      <c r="BC36" s="3"/>
      <c r="BD36" s="10"/>
      <c r="BE36" s="23"/>
      <c r="BF36" s="28"/>
      <c r="BG36" s="3"/>
      <c r="BH36" s="10"/>
      <c r="BI36" s="20"/>
      <c r="BJ36" s="28"/>
      <c r="BK36" s="3"/>
      <c r="BL36" s="10"/>
    </row>
    <row r="37" spans="2:64" x14ac:dyDescent="0.3">
      <c r="B37" s="62">
        <f t="shared" si="0"/>
        <v>0</v>
      </c>
      <c r="C37" s="47">
        <f t="shared" si="1"/>
        <v>0</v>
      </c>
      <c r="D37" s="47">
        <f t="shared" si="2"/>
        <v>0</v>
      </c>
      <c r="E37" s="47">
        <f t="shared" si="3"/>
        <v>0</v>
      </c>
      <c r="F37" s="47">
        <f t="shared" si="4"/>
        <v>0</v>
      </c>
      <c r="G37" s="47">
        <f t="shared" si="5"/>
        <v>0</v>
      </c>
      <c r="H37" s="47">
        <f t="shared" si="6"/>
        <v>0</v>
      </c>
      <c r="I37" s="47">
        <f t="shared" si="7"/>
        <v>0</v>
      </c>
      <c r="J37" s="47">
        <f t="shared" si="8"/>
        <v>0</v>
      </c>
      <c r="K37" s="63">
        <f t="shared" si="9"/>
        <v>0</v>
      </c>
      <c r="L37" s="55">
        <f t="shared" si="10"/>
        <v>0</v>
      </c>
      <c r="N37" s="33">
        <v>18</v>
      </c>
      <c r="O37" s="28"/>
      <c r="P37" s="88"/>
      <c r="Q37" s="88"/>
      <c r="R37" s="37"/>
      <c r="S37" s="20"/>
      <c r="T37" s="3"/>
      <c r="U37" s="3"/>
      <c r="V37" s="3"/>
      <c r="W37" s="3"/>
      <c r="X37" s="10"/>
      <c r="Y37" s="17"/>
      <c r="Z37" s="2"/>
      <c r="AA37" s="2"/>
      <c r="AB37" s="2"/>
      <c r="AC37" s="3"/>
      <c r="AD37" s="37"/>
      <c r="AE37" s="9"/>
      <c r="AF37" s="2"/>
      <c r="AG37" s="2"/>
      <c r="AH37" s="2"/>
      <c r="AI37" s="3"/>
      <c r="AJ37" s="10"/>
      <c r="AK37" s="28"/>
      <c r="AL37" s="3"/>
      <c r="AM37" s="3"/>
      <c r="AN37" s="10"/>
      <c r="AO37" s="28"/>
      <c r="AP37" s="28"/>
      <c r="AQ37" s="3"/>
      <c r="AR37" s="10"/>
      <c r="AS37" s="20"/>
      <c r="AT37" s="28"/>
      <c r="AU37" s="3"/>
      <c r="AV37" s="10"/>
      <c r="AW37" s="20"/>
      <c r="AX37" s="28"/>
      <c r="AY37" s="3"/>
      <c r="AZ37" s="10"/>
      <c r="BA37" s="20"/>
      <c r="BB37" s="28"/>
      <c r="BC37" s="3"/>
      <c r="BD37" s="10"/>
      <c r="BE37" s="23"/>
      <c r="BF37" s="28"/>
      <c r="BG37" s="3"/>
      <c r="BH37" s="10"/>
      <c r="BI37" s="20"/>
      <c r="BJ37" s="28"/>
      <c r="BK37" s="3"/>
      <c r="BL37" s="10"/>
    </row>
    <row r="38" spans="2:64" x14ac:dyDescent="0.3">
      <c r="B38" s="62">
        <f t="shared" si="0"/>
        <v>0</v>
      </c>
      <c r="C38" s="47">
        <f t="shared" si="1"/>
        <v>0</v>
      </c>
      <c r="D38" s="47">
        <f t="shared" si="2"/>
        <v>0</v>
      </c>
      <c r="E38" s="47">
        <f t="shared" si="3"/>
        <v>0</v>
      </c>
      <c r="F38" s="47">
        <f t="shared" si="4"/>
        <v>0</v>
      </c>
      <c r="G38" s="47">
        <f t="shared" si="5"/>
        <v>0</v>
      </c>
      <c r="H38" s="47">
        <f t="shared" si="6"/>
        <v>0</v>
      </c>
      <c r="I38" s="47">
        <f t="shared" si="7"/>
        <v>0</v>
      </c>
      <c r="J38" s="47">
        <f t="shared" si="8"/>
        <v>0</v>
      </c>
      <c r="K38" s="63">
        <f t="shared" si="9"/>
        <v>0</v>
      </c>
      <c r="L38" s="55">
        <f t="shared" si="10"/>
        <v>0</v>
      </c>
      <c r="N38" s="33">
        <v>19</v>
      </c>
      <c r="O38" s="28"/>
      <c r="P38" s="88"/>
      <c r="Q38" s="88"/>
      <c r="R38" s="37"/>
      <c r="S38" s="20"/>
      <c r="T38" s="3"/>
      <c r="U38" s="3"/>
      <c r="V38" s="3"/>
      <c r="W38" s="3"/>
      <c r="X38" s="10"/>
      <c r="Y38" s="17"/>
      <c r="Z38" s="2"/>
      <c r="AA38" s="2"/>
      <c r="AB38" s="2"/>
      <c r="AC38" s="3"/>
      <c r="AD38" s="37"/>
      <c r="AE38" s="9"/>
      <c r="AF38" s="2"/>
      <c r="AG38" s="2"/>
      <c r="AH38" s="2"/>
      <c r="AI38" s="3"/>
      <c r="AJ38" s="10"/>
      <c r="AK38" s="28"/>
      <c r="AL38" s="3"/>
      <c r="AM38" s="3"/>
      <c r="AN38" s="10"/>
      <c r="AO38" s="28"/>
      <c r="AP38" s="28"/>
      <c r="AQ38" s="3"/>
      <c r="AR38" s="10"/>
      <c r="AS38" s="20"/>
      <c r="AT38" s="28"/>
      <c r="AU38" s="3"/>
      <c r="AV38" s="10"/>
      <c r="AW38" s="20"/>
      <c r="AX38" s="28"/>
      <c r="AY38" s="3"/>
      <c r="AZ38" s="10"/>
      <c r="BA38" s="20"/>
      <c r="BB38" s="28"/>
      <c r="BC38" s="3"/>
      <c r="BD38" s="10"/>
      <c r="BE38" s="23"/>
      <c r="BF38" s="28"/>
      <c r="BG38" s="3"/>
      <c r="BH38" s="10"/>
      <c r="BI38" s="20"/>
      <c r="BJ38" s="28"/>
      <c r="BK38" s="3"/>
      <c r="BL38" s="10"/>
    </row>
    <row r="39" spans="2:64" x14ac:dyDescent="0.3">
      <c r="B39" s="62">
        <f t="shared" si="0"/>
        <v>0</v>
      </c>
      <c r="C39" s="47">
        <f t="shared" si="1"/>
        <v>0</v>
      </c>
      <c r="D39" s="47">
        <f t="shared" si="2"/>
        <v>0</v>
      </c>
      <c r="E39" s="47">
        <f t="shared" si="3"/>
        <v>0</v>
      </c>
      <c r="F39" s="47">
        <f t="shared" si="4"/>
        <v>0</v>
      </c>
      <c r="G39" s="47">
        <f t="shared" si="5"/>
        <v>0</v>
      </c>
      <c r="H39" s="47">
        <f t="shared" si="6"/>
        <v>0</v>
      </c>
      <c r="I39" s="47">
        <f t="shared" si="7"/>
        <v>0</v>
      </c>
      <c r="J39" s="47">
        <f t="shared" si="8"/>
        <v>0</v>
      </c>
      <c r="K39" s="63">
        <f t="shared" si="9"/>
        <v>0</v>
      </c>
      <c r="L39" s="55">
        <f t="shared" si="10"/>
        <v>0</v>
      </c>
      <c r="N39" s="33">
        <v>20</v>
      </c>
      <c r="O39" s="28"/>
      <c r="P39" s="88"/>
      <c r="Q39" s="88"/>
      <c r="R39" s="37"/>
      <c r="S39" s="20"/>
      <c r="T39" s="3"/>
      <c r="U39" s="3"/>
      <c r="V39" s="3"/>
      <c r="W39" s="3"/>
      <c r="X39" s="10"/>
      <c r="Y39" s="17"/>
      <c r="Z39" s="2"/>
      <c r="AA39" s="2"/>
      <c r="AB39" s="2"/>
      <c r="AC39" s="3"/>
      <c r="AD39" s="37"/>
      <c r="AE39" s="9"/>
      <c r="AF39" s="2"/>
      <c r="AG39" s="2"/>
      <c r="AH39" s="2"/>
      <c r="AI39" s="3"/>
      <c r="AJ39" s="10"/>
      <c r="AK39" s="28"/>
      <c r="AL39" s="3"/>
      <c r="AM39" s="3"/>
      <c r="AN39" s="10"/>
      <c r="AO39" s="28"/>
      <c r="AP39" s="28"/>
      <c r="AQ39" s="3"/>
      <c r="AR39" s="10"/>
      <c r="AS39" s="20"/>
      <c r="AT39" s="28"/>
      <c r="AU39" s="3"/>
      <c r="AV39" s="10"/>
      <c r="AW39" s="20"/>
      <c r="AX39" s="28"/>
      <c r="AY39" s="3"/>
      <c r="AZ39" s="10"/>
      <c r="BA39" s="20"/>
      <c r="BB39" s="28"/>
      <c r="BC39" s="3"/>
      <c r="BD39" s="10"/>
      <c r="BE39" s="23"/>
      <c r="BF39" s="28"/>
      <c r="BG39" s="3"/>
      <c r="BH39" s="10"/>
      <c r="BI39" s="20"/>
      <c r="BJ39" s="28"/>
      <c r="BK39" s="3"/>
      <c r="BL39" s="10"/>
    </row>
    <row r="40" spans="2:64" x14ac:dyDescent="0.3">
      <c r="B40" s="62">
        <f t="shared" si="0"/>
        <v>0</v>
      </c>
      <c r="C40" s="47">
        <f t="shared" si="1"/>
        <v>0</v>
      </c>
      <c r="D40" s="47">
        <f t="shared" si="2"/>
        <v>0</v>
      </c>
      <c r="E40" s="47">
        <f t="shared" si="3"/>
        <v>0</v>
      </c>
      <c r="F40" s="47">
        <f t="shared" si="4"/>
        <v>0</v>
      </c>
      <c r="G40" s="47">
        <f t="shared" si="5"/>
        <v>0</v>
      </c>
      <c r="H40" s="47">
        <f t="shared" si="6"/>
        <v>0</v>
      </c>
      <c r="I40" s="47">
        <f t="shared" si="7"/>
        <v>0</v>
      </c>
      <c r="J40" s="47">
        <f t="shared" si="8"/>
        <v>0</v>
      </c>
      <c r="K40" s="63">
        <f t="shared" si="9"/>
        <v>0</v>
      </c>
      <c r="L40" s="55">
        <f t="shared" si="10"/>
        <v>0</v>
      </c>
      <c r="N40" s="33">
        <v>21</v>
      </c>
      <c r="O40" s="28"/>
      <c r="P40" s="88"/>
      <c r="Q40" s="88"/>
      <c r="R40" s="37"/>
      <c r="S40" s="20"/>
      <c r="T40" s="3"/>
      <c r="U40" s="3"/>
      <c r="V40" s="3"/>
      <c r="W40" s="3"/>
      <c r="X40" s="10"/>
      <c r="Y40" s="17"/>
      <c r="Z40" s="2"/>
      <c r="AA40" s="2"/>
      <c r="AB40" s="2"/>
      <c r="AC40" s="3"/>
      <c r="AD40" s="37"/>
      <c r="AE40" s="9"/>
      <c r="AF40" s="2"/>
      <c r="AG40" s="2"/>
      <c r="AH40" s="2"/>
      <c r="AI40" s="3"/>
      <c r="AJ40" s="10"/>
      <c r="AK40" s="28"/>
      <c r="AL40" s="3"/>
      <c r="AM40" s="3"/>
      <c r="AN40" s="10"/>
      <c r="AO40" s="28"/>
      <c r="AP40" s="28"/>
      <c r="AQ40" s="3"/>
      <c r="AR40" s="10"/>
      <c r="AS40" s="20"/>
      <c r="AT40" s="28"/>
      <c r="AU40" s="3"/>
      <c r="AV40" s="10"/>
      <c r="AW40" s="20"/>
      <c r="AX40" s="28"/>
      <c r="AY40" s="3"/>
      <c r="AZ40" s="10"/>
      <c r="BA40" s="20"/>
      <c r="BB40" s="28"/>
      <c r="BC40" s="3"/>
      <c r="BD40" s="10"/>
      <c r="BE40" s="23"/>
      <c r="BF40" s="28"/>
      <c r="BG40" s="3"/>
      <c r="BH40" s="10"/>
      <c r="BI40" s="20"/>
      <c r="BJ40" s="28"/>
      <c r="BK40" s="3"/>
      <c r="BL40" s="10"/>
    </row>
    <row r="41" spans="2:64" x14ac:dyDescent="0.3">
      <c r="B41" s="62">
        <f t="shared" si="0"/>
        <v>0</v>
      </c>
      <c r="C41" s="47">
        <f t="shared" si="1"/>
        <v>0</v>
      </c>
      <c r="D41" s="47">
        <f t="shared" si="2"/>
        <v>0</v>
      </c>
      <c r="E41" s="47">
        <f t="shared" si="3"/>
        <v>0</v>
      </c>
      <c r="F41" s="47">
        <f t="shared" si="4"/>
        <v>0</v>
      </c>
      <c r="G41" s="47">
        <f t="shared" si="5"/>
        <v>0</v>
      </c>
      <c r="H41" s="47">
        <f t="shared" si="6"/>
        <v>0</v>
      </c>
      <c r="I41" s="47">
        <f t="shared" si="7"/>
        <v>0</v>
      </c>
      <c r="J41" s="47">
        <f t="shared" si="8"/>
        <v>0</v>
      </c>
      <c r="K41" s="63">
        <f t="shared" si="9"/>
        <v>0</v>
      </c>
      <c r="L41" s="55">
        <f t="shared" si="10"/>
        <v>0</v>
      </c>
      <c r="N41" s="33">
        <v>22</v>
      </c>
      <c r="O41" s="28"/>
      <c r="P41" s="88"/>
      <c r="Q41" s="88"/>
      <c r="R41" s="37"/>
      <c r="S41" s="20"/>
      <c r="T41" s="3"/>
      <c r="U41" s="3"/>
      <c r="V41" s="3"/>
      <c r="W41" s="3"/>
      <c r="X41" s="10"/>
      <c r="Y41" s="17"/>
      <c r="Z41" s="2"/>
      <c r="AA41" s="2"/>
      <c r="AB41" s="2"/>
      <c r="AC41" s="3"/>
      <c r="AD41" s="37"/>
      <c r="AE41" s="9"/>
      <c r="AF41" s="2"/>
      <c r="AG41" s="2"/>
      <c r="AH41" s="2"/>
      <c r="AI41" s="3"/>
      <c r="AJ41" s="10"/>
      <c r="AK41" s="28"/>
      <c r="AL41" s="3"/>
      <c r="AM41" s="3"/>
      <c r="AN41" s="10"/>
      <c r="AO41" s="28"/>
      <c r="AP41" s="28"/>
      <c r="AQ41" s="3"/>
      <c r="AR41" s="10"/>
      <c r="AS41" s="20"/>
      <c r="AT41" s="28"/>
      <c r="AU41" s="3"/>
      <c r="AV41" s="10"/>
      <c r="AW41" s="20"/>
      <c r="AX41" s="28"/>
      <c r="AY41" s="3"/>
      <c r="AZ41" s="10"/>
      <c r="BA41" s="20"/>
      <c r="BB41" s="28"/>
      <c r="BC41" s="3"/>
      <c r="BD41" s="10"/>
      <c r="BE41" s="23"/>
      <c r="BF41" s="28"/>
      <c r="BG41" s="3"/>
      <c r="BH41" s="10"/>
      <c r="BI41" s="20"/>
      <c r="BJ41" s="28"/>
      <c r="BK41" s="3"/>
      <c r="BL41" s="10"/>
    </row>
    <row r="42" spans="2:64" x14ac:dyDescent="0.3">
      <c r="B42" s="62">
        <f t="shared" si="0"/>
        <v>0</v>
      </c>
      <c r="C42" s="47">
        <f t="shared" si="1"/>
        <v>0</v>
      </c>
      <c r="D42" s="47">
        <f t="shared" si="2"/>
        <v>0</v>
      </c>
      <c r="E42" s="47">
        <f t="shared" si="3"/>
        <v>0</v>
      </c>
      <c r="F42" s="47">
        <f t="shared" si="4"/>
        <v>0</v>
      </c>
      <c r="G42" s="47">
        <f t="shared" si="5"/>
        <v>0</v>
      </c>
      <c r="H42" s="47">
        <f t="shared" si="6"/>
        <v>0</v>
      </c>
      <c r="I42" s="47">
        <f t="shared" si="7"/>
        <v>0</v>
      </c>
      <c r="J42" s="47">
        <f t="shared" si="8"/>
        <v>0</v>
      </c>
      <c r="K42" s="63">
        <f t="shared" si="9"/>
        <v>0</v>
      </c>
      <c r="L42" s="55">
        <f t="shared" si="10"/>
        <v>0</v>
      </c>
      <c r="N42" s="33">
        <v>23</v>
      </c>
      <c r="O42" s="28"/>
      <c r="P42" s="88"/>
      <c r="Q42" s="88"/>
      <c r="R42" s="37"/>
      <c r="S42" s="20"/>
      <c r="T42" s="3"/>
      <c r="U42" s="3"/>
      <c r="V42" s="3"/>
      <c r="W42" s="3"/>
      <c r="X42" s="10"/>
      <c r="Y42" s="17"/>
      <c r="Z42" s="2"/>
      <c r="AA42" s="2"/>
      <c r="AB42" s="2"/>
      <c r="AC42" s="3"/>
      <c r="AD42" s="37"/>
      <c r="AE42" s="9"/>
      <c r="AF42" s="2"/>
      <c r="AG42" s="2"/>
      <c r="AH42" s="2"/>
      <c r="AI42" s="3"/>
      <c r="AJ42" s="10"/>
      <c r="AK42" s="28"/>
      <c r="AL42" s="3"/>
      <c r="AM42" s="3"/>
      <c r="AN42" s="10"/>
      <c r="AO42" s="28"/>
      <c r="AP42" s="28"/>
      <c r="AQ42" s="3"/>
      <c r="AR42" s="10"/>
      <c r="AS42" s="20"/>
      <c r="AT42" s="28"/>
      <c r="AU42" s="3"/>
      <c r="AV42" s="10"/>
      <c r="AW42" s="20"/>
      <c r="AX42" s="28"/>
      <c r="AY42" s="3"/>
      <c r="AZ42" s="10"/>
      <c r="BA42" s="20"/>
      <c r="BB42" s="28"/>
      <c r="BC42" s="3"/>
      <c r="BD42" s="10"/>
      <c r="BE42" s="23"/>
      <c r="BF42" s="28"/>
      <c r="BG42" s="3"/>
      <c r="BH42" s="10"/>
      <c r="BI42" s="20"/>
      <c r="BJ42" s="28"/>
      <c r="BK42" s="3"/>
      <c r="BL42" s="10"/>
    </row>
    <row r="43" spans="2:64" x14ac:dyDescent="0.3">
      <c r="B43" s="62">
        <f t="shared" si="0"/>
        <v>0</v>
      </c>
      <c r="C43" s="47">
        <f t="shared" si="1"/>
        <v>0</v>
      </c>
      <c r="D43" s="47">
        <f t="shared" si="2"/>
        <v>0</v>
      </c>
      <c r="E43" s="47">
        <f t="shared" si="3"/>
        <v>0</v>
      </c>
      <c r="F43" s="47">
        <f t="shared" si="4"/>
        <v>0</v>
      </c>
      <c r="G43" s="47">
        <f t="shared" si="5"/>
        <v>0</v>
      </c>
      <c r="H43" s="47">
        <f t="shared" si="6"/>
        <v>0</v>
      </c>
      <c r="I43" s="47">
        <f t="shared" si="7"/>
        <v>0</v>
      </c>
      <c r="J43" s="47">
        <f t="shared" si="8"/>
        <v>0</v>
      </c>
      <c r="K43" s="63">
        <f t="shared" si="9"/>
        <v>0</v>
      </c>
      <c r="L43" s="55">
        <f t="shared" si="10"/>
        <v>0</v>
      </c>
      <c r="N43" s="33">
        <v>24</v>
      </c>
      <c r="O43" s="28"/>
      <c r="P43" s="88"/>
      <c r="Q43" s="88"/>
      <c r="R43" s="37"/>
      <c r="S43" s="20"/>
      <c r="T43" s="3"/>
      <c r="U43" s="3"/>
      <c r="V43" s="3"/>
      <c r="W43" s="3"/>
      <c r="X43" s="10"/>
      <c r="Y43" s="17"/>
      <c r="Z43" s="2"/>
      <c r="AA43" s="2"/>
      <c r="AB43" s="2"/>
      <c r="AC43" s="3"/>
      <c r="AD43" s="37"/>
      <c r="AE43" s="9"/>
      <c r="AF43" s="2"/>
      <c r="AG43" s="2"/>
      <c r="AH43" s="2"/>
      <c r="AI43" s="3"/>
      <c r="AJ43" s="10"/>
      <c r="AK43" s="28"/>
      <c r="AL43" s="3"/>
      <c r="AM43" s="3"/>
      <c r="AN43" s="10"/>
      <c r="AO43" s="28"/>
      <c r="AP43" s="28"/>
      <c r="AQ43" s="3"/>
      <c r="AR43" s="10"/>
      <c r="AS43" s="20"/>
      <c r="AT43" s="28"/>
      <c r="AU43" s="3"/>
      <c r="AV43" s="10"/>
      <c r="AW43" s="20"/>
      <c r="AX43" s="28"/>
      <c r="AY43" s="3"/>
      <c r="AZ43" s="10"/>
      <c r="BA43" s="20"/>
      <c r="BB43" s="28"/>
      <c r="BC43" s="3"/>
      <c r="BD43" s="10"/>
      <c r="BE43" s="23"/>
      <c r="BF43" s="28"/>
      <c r="BG43" s="3"/>
      <c r="BH43" s="10"/>
      <c r="BI43" s="20"/>
      <c r="BJ43" s="28"/>
      <c r="BK43" s="3"/>
      <c r="BL43" s="10"/>
    </row>
    <row r="44" spans="2:64" x14ac:dyDescent="0.3">
      <c r="B44" s="62">
        <f t="shared" si="0"/>
        <v>0</v>
      </c>
      <c r="C44" s="47">
        <f t="shared" si="1"/>
        <v>0</v>
      </c>
      <c r="D44" s="47">
        <f t="shared" si="2"/>
        <v>0</v>
      </c>
      <c r="E44" s="47">
        <f t="shared" si="3"/>
        <v>0</v>
      </c>
      <c r="F44" s="47">
        <f t="shared" si="4"/>
        <v>0</v>
      </c>
      <c r="G44" s="47">
        <f t="shared" si="5"/>
        <v>0</v>
      </c>
      <c r="H44" s="47">
        <f t="shared" si="6"/>
        <v>0</v>
      </c>
      <c r="I44" s="47">
        <f t="shared" si="7"/>
        <v>0</v>
      </c>
      <c r="J44" s="47">
        <f t="shared" si="8"/>
        <v>0</v>
      </c>
      <c r="K44" s="63">
        <f t="shared" si="9"/>
        <v>0</v>
      </c>
      <c r="L44" s="55">
        <f t="shared" si="10"/>
        <v>0</v>
      </c>
      <c r="N44" s="33">
        <v>25</v>
      </c>
      <c r="O44" s="28"/>
      <c r="P44" s="88"/>
      <c r="Q44" s="88"/>
      <c r="R44" s="37"/>
      <c r="S44" s="20"/>
      <c r="T44" s="3"/>
      <c r="U44" s="3"/>
      <c r="V44" s="3"/>
      <c r="W44" s="3"/>
      <c r="X44" s="10"/>
      <c r="Y44" s="17"/>
      <c r="Z44" s="2"/>
      <c r="AA44" s="2"/>
      <c r="AB44" s="2"/>
      <c r="AC44" s="3"/>
      <c r="AD44" s="37"/>
      <c r="AE44" s="9"/>
      <c r="AF44" s="2"/>
      <c r="AG44" s="2"/>
      <c r="AH44" s="2"/>
      <c r="AI44" s="3"/>
      <c r="AJ44" s="10"/>
      <c r="AK44" s="28"/>
      <c r="AL44" s="3"/>
      <c r="AM44" s="3"/>
      <c r="AN44" s="10"/>
      <c r="AO44" s="28"/>
      <c r="AP44" s="28"/>
      <c r="AQ44" s="3"/>
      <c r="AR44" s="10"/>
      <c r="AS44" s="20"/>
      <c r="AT44" s="28"/>
      <c r="AU44" s="3"/>
      <c r="AV44" s="10"/>
      <c r="AW44" s="20"/>
      <c r="AX44" s="28"/>
      <c r="AY44" s="3"/>
      <c r="AZ44" s="10"/>
      <c r="BA44" s="20"/>
      <c r="BB44" s="28"/>
      <c r="BC44" s="3"/>
      <c r="BD44" s="10"/>
      <c r="BE44" s="23"/>
      <c r="BF44" s="28"/>
      <c r="BG44" s="3"/>
      <c r="BH44" s="10"/>
      <c r="BI44" s="20"/>
      <c r="BJ44" s="28"/>
      <c r="BK44" s="3"/>
      <c r="BL44" s="10"/>
    </row>
    <row r="45" spans="2:64" x14ac:dyDescent="0.3">
      <c r="B45" s="62">
        <f t="shared" si="0"/>
        <v>0</v>
      </c>
      <c r="C45" s="47">
        <f t="shared" si="1"/>
        <v>0</v>
      </c>
      <c r="D45" s="47">
        <f t="shared" si="2"/>
        <v>0</v>
      </c>
      <c r="E45" s="47">
        <f t="shared" si="3"/>
        <v>0</v>
      </c>
      <c r="F45" s="47">
        <f t="shared" si="4"/>
        <v>0</v>
      </c>
      <c r="G45" s="47">
        <f t="shared" si="5"/>
        <v>0</v>
      </c>
      <c r="H45" s="47">
        <f t="shared" si="6"/>
        <v>0</v>
      </c>
      <c r="I45" s="47">
        <f t="shared" si="7"/>
        <v>0</v>
      </c>
      <c r="J45" s="47">
        <f t="shared" si="8"/>
        <v>0</v>
      </c>
      <c r="K45" s="63">
        <f t="shared" si="9"/>
        <v>0</v>
      </c>
      <c r="L45" s="55">
        <f t="shared" si="10"/>
        <v>0</v>
      </c>
      <c r="N45" s="33">
        <v>26</v>
      </c>
      <c r="O45" s="28"/>
      <c r="P45" s="88"/>
      <c r="Q45" s="88"/>
      <c r="R45" s="37"/>
      <c r="S45" s="20"/>
      <c r="T45" s="3"/>
      <c r="U45" s="3"/>
      <c r="V45" s="3"/>
      <c r="W45" s="3"/>
      <c r="X45" s="10"/>
      <c r="Y45" s="17"/>
      <c r="Z45" s="2"/>
      <c r="AA45" s="2"/>
      <c r="AB45" s="2"/>
      <c r="AC45" s="3"/>
      <c r="AD45" s="37"/>
      <c r="AE45" s="9"/>
      <c r="AF45" s="2"/>
      <c r="AG45" s="2"/>
      <c r="AH45" s="2"/>
      <c r="AI45" s="3"/>
      <c r="AJ45" s="10"/>
      <c r="AK45" s="28"/>
      <c r="AL45" s="3"/>
      <c r="AM45" s="3"/>
      <c r="AN45" s="10"/>
      <c r="AO45" s="28"/>
      <c r="AP45" s="28"/>
      <c r="AQ45" s="3"/>
      <c r="AR45" s="10"/>
      <c r="AS45" s="20"/>
      <c r="AT45" s="28"/>
      <c r="AU45" s="3"/>
      <c r="AV45" s="10"/>
      <c r="AW45" s="20"/>
      <c r="AX45" s="28"/>
      <c r="AY45" s="3"/>
      <c r="AZ45" s="10"/>
      <c r="BA45" s="20"/>
      <c r="BB45" s="28"/>
      <c r="BC45" s="3"/>
      <c r="BD45" s="10"/>
      <c r="BE45" s="23"/>
      <c r="BF45" s="28"/>
      <c r="BG45" s="3"/>
      <c r="BH45" s="10"/>
      <c r="BI45" s="20"/>
      <c r="BJ45" s="28"/>
      <c r="BK45" s="3"/>
      <c r="BL45" s="10"/>
    </row>
    <row r="46" spans="2:64" x14ac:dyDescent="0.3">
      <c r="B46" s="62">
        <f t="shared" si="0"/>
        <v>0</v>
      </c>
      <c r="C46" s="47">
        <f t="shared" si="1"/>
        <v>0</v>
      </c>
      <c r="D46" s="47">
        <f t="shared" si="2"/>
        <v>0</v>
      </c>
      <c r="E46" s="47">
        <f t="shared" si="3"/>
        <v>0</v>
      </c>
      <c r="F46" s="47">
        <f t="shared" si="4"/>
        <v>0</v>
      </c>
      <c r="G46" s="47">
        <f t="shared" si="5"/>
        <v>0</v>
      </c>
      <c r="H46" s="47">
        <f t="shared" si="6"/>
        <v>0</v>
      </c>
      <c r="I46" s="47">
        <f t="shared" si="7"/>
        <v>0</v>
      </c>
      <c r="J46" s="47">
        <f t="shared" si="8"/>
        <v>0</v>
      </c>
      <c r="K46" s="63">
        <f t="shared" si="9"/>
        <v>0</v>
      </c>
      <c r="L46" s="55">
        <f t="shared" si="10"/>
        <v>0</v>
      </c>
      <c r="N46" s="33">
        <v>27</v>
      </c>
      <c r="O46" s="28"/>
      <c r="P46" s="88"/>
      <c r="Q46" s="88"/>
      <c r="R46" s="37"/>
      <c r="S46" s="20"/>
      <c r="T46" s="3"/>
      <c r="U46" s="3"/>
      <c r="V46" s="3"/>
      <c r="W46" s="3"/>
      <c r="X46" s="10"/>
      <c r="Y46" s="17"/>
      <c r="Z46" s="2"/>
      <c r="AA46" s="2"/>
      <c r="AB46" s="2"/>
      <c r="AC46" s="3"/>
      <c r="AD46" s="37"/>
      <c r="AE46" s="9"/>
      <c r="AF46" s="2"/>
      <c r="AG46" s="2"/>
      <c r="AH46" s="2"/>
      <c r="AI46" s="3"/>
      <c r="AJ46" s="10"/>
      <c r="AK46" s="28"/>
      <c r="AL46" s="3"/>
      <c r="AM46" s="3"/>
      <c r="AN46" s="10"/>
      <c r="AO46" s="28"/>
      <c r="AP46" s="28"/>
      <c r="AQ46" s="3"/>
      <c r="AR46" s="10"/>
      <c r="AS46" s="20"/>
      <c r="AT46" s="28"/>
      <c r="AU46" s="3"/>
      <c r="AV46" s="10"/>
      <c r="AW46" s="20"/>
      <c r="AX46" s="28"/>
      <c r="AY46" s="3"/>
      <c r="AZ46" s="10"/>
      <c r="BA46" s="20"/>
      <c r="BB46" s="28"/>
      <c r="BC46" s="3"/>
      <c r="BD46" s="10"/>
      <c r="BE46" s="23"/>
      <c r="BF46" s="28"/>
      <c r="BG46" s="3"/>
      <c r="BH46" s="10"/>
      <c r="BI46" s="20"/>
      <c r="BJ46" s="28"/>
      <c r="BK46" s="3"/>
      <c r="BL46" s="10"/>
    </row>
    <row r="47" spans="2:64" x14ac:dyDescent="0.3">
      <c r="B47" s="62">
        <f t="shared" si="0"/>
        <v>0</v>
      </c>
      <c r="C47" s="47">
        <f t="shared" si="1"/>
        <v>0</v>
      </c>
      <c r="D47" s="47">
        <f t="shared" si="2"/>
        <v>0</v>
      </c>
      <c r="E47" s="47">
        <f t="shared" si="3"/>
        <v>0</v>
      </c>
      <c r="F47" s="47">
        <f t="shared" si="4"/>
        <v>0</v>
      </c>
      <c r="G47" s="47">
        <f t="shared" si="5"/>
        <v>0</v>
      </c>
      <c r="H47" s="47">
        <f t="shared" si="6"/>
        <v>0</v>
      </c>
      <c r="I47" s="47">
        <f t="shared" si="7"/>
        <v>0</v>
      </c>
      <c r="J47" s="47">
        <f t="shared" si="8"/>
        <v>0</v>
      </c>
      <c r="K47" s="63">
        <f t="shared" si="9"/>
        <v>0</v>
      </c>
      <c r="L47" s="55">
        <f t="shared" si="10"/>
        <v>0</v>
      </c>
      <c r="N47" s="33">
        <v>28</v>
      </c>
      <c r="O47" s="28"/>
      <c r="P47" s="88"/>
      <c r="Q47" s="88"/>
      <c r="R47" s="37"/>
      <c r="S47" s="20"/>
      <c r="T47" s="3"/>
      <c r="U47" s="3"/>
      <c r="V47" s="3"/>
      <c r="W47" s="3"/>
      <c r="X47" s="10"/>
      <c r="Y47" s="17"/>
      <c r="Z47" s="2"/>
      <c r="AA47" s="2"/>
      <c r="AB47" s="2"/>
      <c r="AC47" s="3"/>
      <c r="AD47" s="37"/>
      <c r="AE47" s="9"/>
      <c r="AF47" s="2"/>
      <c r="AG47" s="2"/>
      <c r="AH47" s="2"/>
      <c r="AI47" s="3"/>
      <c r="AJ47" s="10"/>
      <c r="AK47" s="28"/>
      <c r="AL47" s="3"/>
      <c r="AM47" s="3"/>
      <c r="AN47" s="10"/>
      <c r="AO47" s="28"/>
      <c r="AP47" s="28"/>
      <c r="AQ47" s="3"/>
      <c r="AR47" s="10"/>
      <c r="AS47" s="20"/>
      <c r="AT47" s="28"/>
      <c r="AU47" s="3"/>
      <c r="AV47" s="10"/>
      <c r="AW47" s="20"/>
      <c r="AX47" s="28"/>
      <c r="AY47" s="3"/>
      <c r="AZ47" s="10"/>
      <c r="BA47" s="20"/>
      <c r="BB47" s="28"/>
      <c r="BC47" s="3"/>
      <c r="BD47" s="10"/>
      <c r="BE47" s="23"/>
      <c r="BF47" s="28"/>
      <c r="BG47" s="3"/>
      <c r="BH47" s="10"/>
      <c r="BI47" s="20"/>
      <c r="BJ47" s="28"/>
      <c r="BK47" s="3"/>
      <c r="BL47" s="10"/>
    </row>
    <row r="48" spans="2:64" x14ac:dyDescent="0.3">
      <c r="B48" s="62">
        <f t="shared" si="0"/>
        <v>0</v>
      </c>
      <c r="C48" s="47">
        <f t="shared" si="1"/>
        <v>0</v>
      </c>
      <c r="D48" s="47">
        <f t="shared" si="2"/>
        <v>0</v>
      </c>
      <c r="E48" s="47">
        <f t="shared" si="3"/>
        <v>0</v>
      </c>
      <c r="F48" s="47">
        <f t="shared" si="4"/>
        <v>0</v>
      </c>
      <c r="G48" s="47">
        <f t="shared" si="5"/>
        <v>0</v>
      </c>
      <c r="H48" s="47">
        <f t="shared" si="6"/>
        <v>0</v>
      </c>
      <c r="I48" s="47">
        <f t="shared" si="7"/>
        <v>0</v>
      </c>
      <c r="J48" s="47">
        <f t="shared" si="8"/>
        <v>0</v>
      </c>
      <c r="K48" s="63">
        <f t="shared" si="9"/>
        <v>0</v>
      </c>
      <c r="L48" s="55">
        <f t="shared" si="10"/>
        <v>0</v>
      </c>
      <c r="N48" s="33">
        <v>29</v>
      </c>
      <c r="O48" s="28"/>
      <c r="P48" s="88"/>
      <c r="Q48" s="88"/>
      <c r="R48" s="37"/>
      <c r="S48" s="20"/>
      <c r="T48" s="3"/>
      <c r="U48" s="3"/>
      <c r="V48" s="3"/>
      <c r="W48" s="3"/>
      <c r="X48" s="10"/>
      <c r="Y48" s="17"/>
      <c r="Z48" s="2"/>
      <c r="AA48" s="2"/>
      <c r="AB48" s="2"/>
      <c r="AC48" s="3"/>
      <c r="AD48" s="37"/>
      <c r="AE48" s="9"/>
      <c r="AF48" s="2"/>
      <c r="AG48" s="2"/>
      <c r="AH48" s="2"/>
      <c r="AI48" s="3"/>
      <c r="AJ48" s="10"/>
      <c r="AK48" s="28"/>
      <c r="AL48" s="3"/>
      <c r="AM48" s="3"/>
      <c r="AN48" s="10"/>
      <c r="AO48" s="28"/>
      <c r="AP48" s="28"/>
      <c r="AQ48" s="3"/>
      <c r="AR48" s="10"/>
      <c r="AS48" s="20"/>
      <c r="AT48" s="28"/>
      <c r="AU48" s="3"/>
      <c r="AV48" s="10"/>
      <c r="AW48" s="20"/>
      <c r="AX48" s="28"/>
      <c r="AY48" s="3"/>
      <c r="AZ48" s="10"/>
      <c r="BA48" s="20"/>
      <c r="BB48" s="28"/>
      <c r="BC48" s="3"/>
      <c r="BD48" s="10"/>
      <c r="BE48" s="23"/>
      <c r="BF48" s="28"/>
      <c r="BG48" s="3"/>
      <c r="BH48" s="10"/>
      <c r="BI48" s="20"/>
      <c r="BJ48" s="28"/>
      <c r="BK48" s="3"/>
      <c r="BL48" s="10"/>
    </row>
    <row r="49" spans="2:64" x14ac:dyDescent="0.3">
      <c r="B49" s="62">
        <f t="shared" si="0"/>
        <v>0</v>
      </c>
      <c r="C49" s="47">
        <f t="shared" si="1"/>
        <v>0</v>
      </c>
      <c r="D49" s="47">
        <f t="shared" si="2"/>
        <v>0</v>
      </c>
      <c r="E49" s="47">
        <f t="shared" si="3"/>
        <v>0</v>
      </c>
      <c r="F49" s="47">
        <f t="shared" si="4"/>
        <v>0</v>
      </c>
      <c r="G49" s="47">
        <f t="shared" si="5"/>
        <v>0</v>
      </c>
      <c r="H49" s="47">
        <f t="shared" si="6"/>
        <v>0</v>
      </c>
      <c r="I49" s="47">
        <f t="shared" si="7"/>
        <v>0</v>
      </c>
      <c r="J49" s="47">
        <f t="shared" si="8"/>
        <v>0</v>
      </c>
      <c r="K49" s="63">
        <f t="shared" si="9"/>
        <v>0</v>
      </c>
      <c r="L49" s="55">
        <f t="shared" si="10"/>
        <v>0</v>
      </c>
      <c r="N49" s="33">
        <v>30</v>
      </c>
      <c r="O49" s="28"/>
      <c r="P49" s="88"/>
      <c r="Q49" s="88"/>
      <c r="R49" s="37"/>
      <c r="S49" s="20"/>
      <c r="T49" s="3"/>
      <c r="U49" s="3"/>
      <c r="V49" s="3"/>
      <c r="W49" s="3"/>
      <c r="X49" s="10"/>
      <c r="Y49" s="17"/>
      <c r="Z49" s="2"/>
      <c r="AA49" s="2"/>
      <c r="AB49" s="2"/>
      <c r="AC49" s="3"/>
      <c r="AD49" s="37"/>
      <c r="AE49" s="9"/>
      <c r="AF49" s="2"/>
      <c r="AG49" s="2"/>
      <c r="AH49" s="2"/>
      <c r="AI49" s="3"/>
      <c r="AJ49" s="10"/>
      <c r="AK49" s="28"/>
      <c r="AL49" s="3"/>
      <c r="AM49" s="3"/>
      <c r="AN49" s="10"/>
      <c r="AO49" s="28"/>
      <c r="AP49" s="28"/>
      <c r="AQ49" s="3"/>
      <c r="AR49" s="10"/>
      <c r="AS49" s="20"/>
      <c r="AT49" s="28"/>
      <c r="AU49" s="3"/>
      <c r="AV49" s="10"/>
      <c r="AW49" s="20"/>
      <c r="AX49" s="28"/>
      <c r="AY49" s="3"/>
      <c r="AZ49" s="10"/>
      <c r="BA49" s="20"/>
      <c r="BB49" s="28"/>
      <c r="BC49" s="3"/>
      <c r="BD49" s="10"/>
      <c r="BE49" s="23"/>
      <c r="BF49" s="28"/>
      <c r="BG49" s="3"/>
      <c r="BH49" s="10"/>
      <c r="BI49" s="20"/>
      <c r="BJ49" s="28"/>
      <c r="BK49" s="3"/>
      <c r="BL49" s="10"/>
    </row>
    <row r="50" spans="2:64" x14ac:dyDescent="0.3">
      <c r="B50" s="62">
        <f t="shared" si="0"/>
        <v>0</v>
      </c>
      <c r="C50" s="47">
        <f t="shared" si="1"/>
        <v>0</v>
      </c>
      <c r="D50" s="47">
        <f t="shared" si="2"/>
        <v>0</v>
      </c>
      <c r="E50" s="47">
        <f t="shared" si="3"/>
        <v>0</v>
      </c>
      <c r="F50" s="47">
        <f t="shared" si="4"/>
        <v>0</v>
      </c>
      <c r="G50" s="47">
        <f t="shared" si="5"/>
        <v>0</v>
      </c>
      <c r="H50" s="47">
        <f t="shared" si="6"/>
        <v>0</v>
      </c>
      <c r="I50" s="47">
        <f t="shared" si="7"/>
        <v>0</v>
      </c>
      <c r="J50" s="47">
        <f t="shared" si="8"/>
        <v>0</v>
      </c>
      <c r="K50" s="63">
        <f t="shared" si="9"/>
        <v>0</v>
      </c>
      <c r="L50" s="55">
        <f t="shared" si="10"/>
        <v>0</v>
      </c>
      <c r="N50" s="33">
        <v>31</v>
      </c>
      <c r="O50" s="28"/>
      <c r="P50" s="88"/>
      <c r="Q50" s="88"/>
      <c r="R50" s="37"/>
      <c r="S50" s="20"/>
      <c r="T50" s="3"/>
      <c r="U50" s="3"/>
      <c r="V50" s="3"/>
      <c r="W50" s="3"/>
      <c r="X50" s="10"/>
      <c r="Y50" s="17"/>
      <c r="Z50" s="2"/>
      <c r="AA50" s="2"/>
      <c r="AB50" s="2"/>
      <c r="AC50" s="3"/>
      <c r="AD50" s="37"/>
      <c r="AE50" s="9"/>
      <c r="AF50" s="2"/>
      <c r="AG50" s="2"/>
      <c r="AH50" s="2"/>
      <c r="AI50" s="3"/>
      <c r="AJ50" s="10"/>
      <c r="AK50" s="28"/>
      <c r="AL50" s="3"/>
      <c r="AM50" s="3"/>
      <c r="AN50" s="10"/>
      <c r="AO50" s="28"/>
      <c r="AP50" s="28"/>
      <c r="AQ50" s="3"/>
      <c r="AR50" s="10"/>
      <c r="AS50" s="20"/>
      <c r="AT50" s="28"/>
      <c r="AU50" s="3"/>
      <c r="AV50" s="10"/>
      <c r="AW50" s="20"/>
      <c r="AX50" s="28"/>
      <c r="AY50" s="3"/>
      <c r="AZ50" s="10"/>
      <c r="BA50" s="20"/>
      <c r="BB50" s="28"/>
      <c r="BC50" s="3"/>
      <c r="BD50" s="10"/>
      <c r="BE50" s="23"/>
      <c r="BF50" s="28"/>
      <c r="BG50" s="3"/>
      <c r="BH50" s="10"/>
      <c r="BI50" s="20"/>
      <c r="BJ50" s="28"/>
      <c r="BK50" s="3"/>
      <c r="BL50" s="10"/>
    </row>
    <row r="51" spans="2:64" ht="15" thickBot="1" x14ac:dyDescent="0.35">
      <c r="B51" s="64">
        <f t="shared" si="0"/>
        <v>0</v>
      </c>
      <c r="C51" s="65">
        <f t="shared" si="1"/>
        <v>0</v>
      </c>
      <c r="D51" s="65">
        <f t="shared" si="2"/>
        <v>0</v>
      </c>
      <c r="E51" s="65">
        <f t="shared" si="3"/>
        <v>0</v>
      </c>
      <c r="F51" s="65">
        <f t="shared" si="4"/>
        <v>0</v>
      </c>
      <c r="G51" s="65">
        <f t="shared" si="5"/>
        <v>0</v>
      </c>
      <c r="H51" s="65">
        <f t="shared" si="6"/>
        <v>0</v>
      </c>
      <c r="I51" s="65">
        <f t="shared" si="7"/>
        <v>0</v>
      </c>
      <c r="J51" s="65">
        <f t="shared" si="8"/>
        <v>0</v>
      </c>
      <c r="K51" s="66">
        <f t="shared" si="9"/>
        <v>0</v>
      </c>
      <c r="L51" s="55">
        <f t="shared" si="10"/>
        <v>0</v>
      </c>
      <c r="N51" s="33">
        <v>32</v>
      </c>
      <c r="O51" s="28"/>
      <c r="P51" s="88"/>
      <c r="Q51" s="88"/>
      <c r="R51" s="37"/>
      <c r="S51" s="20"/>
      <c r="T51" s="3"/>
      <c r="U51" s="3"/>
      <c r="V51" s="3"/>
      <c r="W51" s="3"/>
      <c r="X51" s="10"/>
      <c r="Y51" s="17"/>
      <c r="Z51" s="2"/>
      <c r="AA51" s="2"/>
      <c r="AB51" s="2"/>
      <c r="AC51" s="3"/>
      <c r="AD51" s="37"/>
      <c r="AE51" s="9"/>
      <c r="AF51" s="2"/>
      <c r="AG51" s="2"/>
      <c r="AH51" s="2"/>
      <c r="AI51" s="3"/>
      <c r="AJ51" s="10"/>
      <c r="AK51" s="28"/>
      <c r="AL51" s="3"/>
      <c r="AM51" s="3"/>
      <c r="AN51" s="10"/>
      <c r="AO51" s="28"/>
      <c r="AP51" s="28"/>
      <c r="AQ51" s="3"/>
      <c r="AR51" s="10"/>
      <c r="AS51" s="20"/>
      <c r="AT51" s="28"/>
      <c r="AU51" s="3"/>
      <c r="AV51" s="10"/>
      <c r="AW51" s="20"/>
      <c r="AX51" s="28"/>
      <c r="AY51" s="3"/>
      <c r="AZ51" s="10"/>
      <c r="BA51" s="20"/>
      <c r="BB51" s="28"/>
      <c r="BC51" s="3"/>
      <c r="BD51" s="10"/>
      <c r="BE51" s="23"/>
      <c r="BF51" s="28"/>
      <c r="BG51" s="3"/>
      <c r="BH51" s="10"/>
      <c r="BI51" s="20"/>
      <c r="BJ51" s="28"/>
      <c r="BK51" s="3"/>
      <c r="BL51" s="10"/>
    </row>
    <row r="52" spans="2:64" x14ac:dyDescent="0.3">
      <c r="N52" s="34" t="s">
        <v>25</v>
      </c>
      <c r="O52" s="29"/>
      <c r="P52" s="89"/>
      <c r="Q52" s="89"/>
      <c r="R52" s="38"/>
      <c r="S52" s="18">
        <f>AVERAGE(S20:S51)</f>
        <v>1.6666666666666665E-7</v>
      </c>
      <c r="T52" s="4">
        <f>AVERAGE(T20:T51)</f>
        <v>1.6666666666666665E-7</v>
      </c>
      <c r="U52" s="4">
        <f>AVERAGE(U20:U51)</f>
        <v>1.6666666666666665E-7</v>
      </c>
      <c r="V52" s="4" t="e">
        <f>AVERAGE(V20:V51)</f>
        <v>#DIV/0!</v>
      </c>
      <c r="W52" s="4">
        <f>(SUM(D20:D51)+SUM(T20:T51)+SUM(S20:S51)*0.35)/SUM(S20:U51)</f>
        <v>0.45</v>
      </c>
      <c r="X52" s="48" t="e">
        <f>AVERAGE(X20:X51)</f>
        <v>#DIV/0!</v>
      </c>
      <c r="Y52" s="58">
        <f>AVERAGE(Y20:Y51)</f>
        <v>1.6666666666666665E-7</v>
      </c>
      <c r="Z52" s="56">
        <f>AVERAGE(Z20:Z51)</f>
        <v>1.6666666666666665E-7</v>
      </c>
      <c r="AA52" s="56">
        <f>AVERAGE(AA20:AA51)</f>
        <v>0.66666666666666663</v>
      </c>
      <c r="AB52" s="56" t="e">
        <f>AVERAGE(AB20:AB51)</f>
        <v>#DIV/0!</v>
      </c>
      <c r="AC52" s="56">
        <f>(SUM(B20:B51)+SUM(Z20:Z51)+SUM(Y20:Y51)*0.35)/SUM(Y20:AA51)</f>
        <v>2.3749991500004248</v>
      </c>
      <c r="AD52" s="76">
        <f>AVERAGE(AD20:AD51)</f>
        <v>13.333333333333334</v>
      </c>
      <c r="AE52" s="79">
        <f>AVERAGE(AE20:AE51)</f>
        <v>1.6666666666666665E-7</v>
      </c>
      <c r="AF52" s="56">
        <f>AVERAGE(AF20:AF51)</f>
        <v>1.6666666666666665E-7</v>
      </c>
      <c r="AG52" s="56">
        <f>AVERAGE(AG20:AG51)</f>
        <v>1.6666666666666665E-7</v>
      </c>
      <c r="AH52" s="56" t="e">
        <f>AVERAGE(AH20:AH51)</f>
        <v>#DIV/0!</v>
      </c>
      <c r="AI52" s="56">
        <f>(SUM(C20:C51)+SUM(AF20:AF51)+SUM(AE20:AE51)*0.35)/SUM(AE20:AG51)</f>
        <v>0.45</v>
      </c>
      <c r="AJ52" s="57" t="e">
        <f>AVERAGE(AJ20:AJ51)</f>
        <v>#DIV/0!</v>
      </c>
      <c r="AK52" s="58">
        <f>AVERAGE(AK20:AK51)</f>
        <v>1.6666666666666667</v>
      </c>
      <c r="AL52" s="56" t="e">
        <f>AVERAGE(AL20:AL51)</f>
        <v>#DIV/0!</v>
      </c>
      <c r="AM52" s="56">
        <f>SUM(E20:E51)/SUM(AK20:AK51)</f>
        <v>9.85</v>
      </c>
      <c r="AN52" s="57">
        <f>AVERAGE(AN20:AN51)</f>
        <v>18.333333333333332</v>
      </c>
      <c r="AO52" s="58">
        <f>AVERAGE(AO20:AO51)</f>
        <v>2.0000001666666667</v>
      </c>
      <c r="AP52" s="56" t="e">
        <f>AVERAGE(AP20:AP51)</f>
        <v>#DIV/0!</v>
      </c>
      <c r="AQ52" s="56">
        <f>SUM(F20:F51)/SUM(AO20:AO51)</f>
        <v>7.9999993333333892</v>
      </c>
      <c r="AR52" s="57">
        <f>AVERAGE(AR20:AR51)</f>
        <v>15</v>
      </c>
      <c r="AS52" s="58">
        <f>AVERAGE(AS20:AS51)</f>
        <v>7.5</v>
      </c>
      <c r="AT52" s="56" t="e">
        <f>AVERAGE(AT20:AT51)</f>
        <v>#DIV/0!</v>
      </c>
      <c r="AU52" s="56">
        <f>SUM(G20:G51)/SUM(AS20:AS51)</f>
        <v>9.4888888888888889</v>
      </c>
      <c r="AV52" s="57">
        <f>AVERAGE(AV20:AV51)</f>
        <v>15</v>
      </c>
      <c r="AW52" s="58">
        <f>AVERAGE(AW20:AW51)</f>
        <v>1.6666666666666665E-7</v>
      </c>
      <c r="AX52" s="56" t="e">
        <f>AVERAGE(AX20:AX51)</f>
        <v>#DIV/0!</v>
      </c>
      <c r="AY52" s="56">
        <f>SUM(H20:H51)/SUM(AW20:AW51)</f>
        <v>0</v>
      </c>
      <c r="AZ52" s="57" t="e">
        <f>AVERAGE(AZ20:AZ51)</f>
        <v>#DIV/0!</v>
      </c>
      <c r="BA52" s="58">
        <f>AVERAGE(BA20:BA51)</f>
        <v>1.6666666666666665E-7</v>
      </c>
      <c r="BB52" s="56" t="e">
        <f>AVERAGE(BB20:BB51)</f>
        <v>#DIV/0!</v>
      </c>
      <c r="BC52" s="56">
        <f>SUM(I20:I51)/SUM(BA20:BA51)</f>
        <v>0</v>
      </c>
      <c r="BD52" s="57" t="e">
        <f>AVERAGE(BD20:BD51)</f>
        <v>#DIV/0!</v>
      </c>
      <c r="BE52" s="58">
        <f>AVERAGE(BE20:BE51)</f>
        <v>1.6666666666666665E-7</v>
      </c>
      <c r="BF52" s="56" t="e">
        <f>AVERAGE(BF20:BF51)</f>
        <v>#DIV/0!</v>
      </c>
      <c r="BG52" s="56">
        <f>SUM(J20:J51)/SUM(BE20:BE51)</f>
        <v>0</v>
      </c>
      <c r="BH52" s="57" t="e">
        <f>AVERAGE(BH20:BH51)</f>
        <v>#DIV/0!</v>
      </c>
      <c r="BI52" s="58">
        <f>AVERAGE(BI20:BI51)</f>
        <v>1.6666666666666665E-7</v>
      </c>
      <c r="BJ52" s="56" t="e">
        <f>AVERAGE(BJ20:BJ51)</f>
        <v>#DIV/0!</v>
      </c>
      <c r="BK52" s="56">
        <f>SUM(K20:K51)/SUM(BI20:BI51)</f>
        <v>0</v>
      </c>
      <c r="BL52" s="57" t="e">
        <f>AVERAGE(BL20:BL51)</f>
        <v>#DIV/0!</v>
      </c>
    </row>
    <row r="53" spans="2:64" x14ac:dyDescent="0.3">
      <c r="N53" s="34" t="s">
        <v>30</v>
      </c>
      <c r="O53" s="29"/>
      <c r="P53" s="89"/>
      <c r="Q53" s="89"/>
      <c r="R53" s="38"/>
      <c r="S53" s="18"/>
      <c r="T53" s="4"/>
      <c r="U53" s="4"/>
      <c r="V53" s="4"/>
      <c r="W53" s="5">
        <f>SUM(D20:D51)/SUM(U20:U51)</f>
        <v>0</v>
      </c>
      <c r="X53" s="38"/>
      <c r="Y53" s="58"/>
      <c r="Z53" s="56"/>
      <c r="AA53" s="56"/>
      <c r="AB53" s="56"/>
      <c r="AC53" s="77">
        <f>SUM(B20:B51)/SUM(AA20:AA51)</f>
        <v>2.375</v>
      </c>
      <c r="AD53" s="78"/>
      <c r="AE53" s="79"/>
      <c r="AF53" s="56"/>
      <c r="AG53" s="56"/>
      <c r="AH53" s="56"/>
      <c r="AI53" s="77">
        <f>SUM(C20:C51)/SUM(AG20:AG51)</f>
        <v>0</v>
      </c>
      <c r="AJ53" s="80"/>
      <c r="AK53" s="29"/>
      <c r="AL53" s="5"/>
      <c r="AM53" s="5"/>
      <c r="AN53" s="12"/>
      <c r="AO53" s="29"/>
      <c r="AP53" s="29"/>
      <c r="AQ53" s="5"/>
      <c r="AR53" s="12"/>
      <c r="AS53" s="21"/>
      <c r="AT53" s="29"/>
      <c r="AU53" s="5"/>
      <c r="AV53" s="12"/>
      <c r="AW53" s="21"/>
      <c r="AX53" s="29"/>
      <c r="AY53" s="5"/>
      <c r="AZ53" s="12"/>
      <c r="BA53" s="21"/>
      <c r="BB53" s="29"/>
      <c r="BC53" s="5"/>
      <c r="BD53" s="12"/>
      <c r="BE53" s="21"/>
      <c r="BF53" s="29"/>
      <c r="BG53" s="5"/>
      <c r="BH53" s="12"/>
      <c r="BI53" s="21"/>
      <c r="BJ53" s="29"/>
      <c r="BK53" s="5"/>
      <c r="BL53" s="12"/>
    </row>
    <row r="54" spans="2:64" x14ac:dyDescent="0.3">
      <c r="N54" s="34" t="s">
        <v>11</v>
      </c>
      <c r="O54" s="29"/>
      <c r="P54" s="89"/>
      <c r="Q54" s="89"/>
      <c r="R54" s="38"/>
      <c r="S54" s="21"/>
      <c r="T54" s="5"/>
      <c r="U54" s="5"/>
      <c r="V54" s="5"/>
      <c r="W54" s="5"/>
      <c r="X54" s="12"/>
      <c r="Y54" s="18"/>
      <c r="Z54" s="4"/>
      <c r="AA54" s="4"/>
      <c r="AB54" s="4"/>
      <c r="AC54" s="5"/>
      <c r="AD54" s="38"/>
      <c r="AE54" s="11"/>
      <c r="AF54" s="4"/>
      <c r="AG54" s="4"/>
      <c r="AH54" s="4"/>
      <c r="AI54" s="5"/>
      <c r="AJ54" s="12"/>
      <c r="AK54" s="29"/>
      <c r="AL54" s="5"/>
      <c r="AM54" s="5"/>
      <c r="AN54" s="12"/>
      <c r="AO54" s="29"/>
      <c r="AP54" s="29"/>
      <c r="AQ54" s="5"/>
      <c r="AR54" s="12"/>
      <c r="AS54" s="21"/>
      <c r="AT54" s="29"/>
      <c r="AU54" s="5"/>
      <c r="AV54" s="12"/>
      <c r="AW54" s="21"/>
      <c r="AX54" s="29"/>
      <c r="AY54" s="5"/>
      <c r="AZ54" s="12"/>
      <c r="BA54" s="21"/>
      <c r="BB54" s="29"/>
      <c r="BC54" s="5"/>
      <c r="BD54" s="12"/>
      <c r="BE54" s="21"/>
      <c r="BF54" s="29"/>
      <c r="BG54" s="5"/>
      <c r="BH54" s="12"/>
      <c r="BI54" s="21"/>
      <c r="BJ54" s="29"/>
      <c r="BK54" s="5"/>
      <c r="BL54" s="12"/>
    </row>
    <row r="55" spans="2:64" ht="15" thickBot="1" x14ac:dyDescent="0.35">
      <c r="N55" s="35" t="s">
        <v>12</v>
      </c>
      <c r="O55" s="30"/>
      <c r="P55" s="90"/>
      <c r="Q55" s="90"/>
      <c r="R55" s="39"/>
      <c r="S55" s="22"/>
      <c r="T55" s="15"/>
      <c r="U55" s="15"/>
      <c r="V55" s="15"/>
      <c r="W55" s="15"/>
      <c r="X55" s="16"/>
      <c r="Y55" s="19"/>
      <c r="Z55" s="14"/>
      <c r="AA55" s="14"/>
      <c r="AB55" s="14"/>
      <c r="AC55" s="15"/>
      <c r="AD55" s="39"/>
      <c r="AE55" s="13"/>
      <c r="AF55" s="14"/>
      <c r="AG55" s="14"/>
      <c r="AH55" s="14"/>
      <c r="AI55" s="15"/>
      <c r="AJ55" s="16"/>
      <c r="AK55" s="30"/>
      <c r="AL55" s="15"/>
      <c r="AM55" s="15"/>
      <c r="AN55" s="16"/>
      <c r="AO55" s="30"/>
      <c r="AP55" s="30"/>
      <c r="AQ55" s="15"/>
      <c r="AR55" s="16"/>
      <c r="AS55" s="22"/>
      <c r="AT55" s="30"/>
      <c r="AU55" s="15"/>
      <c r="AV55" s="16"/>
      <c r="AW55" s="22"/>
      <c r="AX55" s="30"/>
      <c r="AY55" s="15"/>
      <c r="AZ55" s="16"/>
      <c r="BA55" s="22"/>
      <c r="BB55" s="30"/>
      <c r="BC55" s="15"/>
      <c r="BD55" s="16"/>
      <c r="BE55" s="22"/>
      <c r="BF55" s="30"/>
      <c r="BG55" s="15"/>
      <c r="BH55" s="16"/>
      <c r="BI55" s="22"/>
      <c r="BJ55" s="30"/>
      <c r="BK55" s="15"/>
      <c r="BL55" s="16"/>
    </row>
    <row r="60" spans="2:64" ht="15" thickBot="1" x14ac:dyDescent="0.35">
      <c r="U60">
        <f>T13</f>
        <v>0</v>
      </c>
      <c r="V60" t="s">
        <v>33</v>
      </c>
    </row>
    <row r="61" spans="2:64" ht="15" thickBot="1" x14ac:dyDescent="0.35">
      <c r="B61" s="59" t="s">
        <v>44</v>
      </c>
      <c r="C61" s="60"/>
      <c r="D61" s="61"/>
      <c r="E61" s="47"/>
      <c r="F61" s="47"/>
      <c r="I61" s="47"/>
      <c r="J61" s="47"/>
      <c r="K61" s="47"/>
      <c r="O61" t="s">
        <v>161</v>
      </c>
    </row>
    <row r="62" spans="2:64" ht="15" thickBot="1" x14ac:dyDescent="0.35">
      <c r="B62" s="73" t="str">
        <f>V62</f>
        <v>D, см</v>
      </c>
      <c r="C62" s="74" t="str">
        <f>W62</f>
        <v>h, м</v>
      </c>
      <c r="D62" s="75" t="str">
        <f>X62</f>
        <v>A, лет</v>
      </c>
      <c r="E62" s="47"/>
      <c r="F62" s="47"/>
      <c r="I62" s="47"/>
      <c r="J62" s="47"/>
      <c r="K62" s="47"/>
      <c r="O62" s="115"/>
      <c r="P62" s="116"/>
      <c r="Q62" s="116"/>
      <c r="R62" s="116"/>
      <c r="S62" s="116"/>
      <c r="T62" s="116"/>
      <c r="U62" s="116" t="s">
        <v>24</v>
      </c>
      <c r="V62" s="116" t="str">
        <f>AB19</f>
        <v>D, см</v>
      </c>
      <c r="W62" s="116" t="str">
        <f>AC19</f>
        <v>h, м</v>
      </c>
      <c r="X62" s="117" t="str">
        <f>AD19</f>
        <v>A, лет</v>
      </c>
    </row>
    <row r="63" spans="2:64" x14ac:dyDescent="0.3">
      <c r="B63" s="81" t="e">
        <f>V63*U63</f>
        <v>#DIV/0!</v>
      </c>
      <c r="C63" s="82">
        <f>W63*U63</f>
        <v>2.2544051075802112E-7</v>
      </c>
      <c r="D63" s="83" t="e">
        <f>X63*U63</f>
        <v>#DIV/0!</v>
      </c>
      <c r="E63" s="47"/>
      <c r="F63" s="85"/>
      <c r="H63" s="47"/>
      <c r="I63" s="47"/>
      <c r="J63" s="47"/>
      <c r="K63" s="47"/>
      <c r="O63" s="138">
        <f t="shared" ref="O63:O72" si="11">U63/$U$75*10</f>
        <v>4.2253513390201772E-7</v>
      </c>
      <c r="P63" s="139"/>
      <c r="Q63" s="139"/>
      <c r="R63" s="47" t="str">
        <f>S18</f>
        <v>Сосна</v>
      </c>
      <c r="S63" s="47"/>
      <c r="T63" s="47"/>
      <c r="U63" s="123">
        <f>SUM(S52:U52)/(AE16*AE16*3.15/10000*1000)</f>
        <v>5.0097891279560248E-7</v>
      </c>
      <c r="V63" s="139" t="e">
        <f>V52</f>
        <v>#DIV/0!</v>
      </c>
      <c r="W63" s="139">
        <f>W52</f>
        <v>0.45</v>
      </c>
      <c r="X63" s="140" t="e">
        <f>X52</f>
        <v>#DIV/0!</v>
      </c>
      <c r="Y63" s="55"/>
    </row>
    <row r="64" spans="2:64" x14ac:dyDescent="0.3">
      <c r="B64" s="81" t="e">
        <f t="shared" ref="B64:B72" si="12">V64*U64</f>
        <v>#DIV/0!</v>
      </c>
      <c r="C64" s="82">
        <f t="shared" ref="C64:C72" si="13">W64*U64</f>
        <v>1.5864334492932521</v>
      </c>
      <c r="D64" s="83">
        <f t="shared" ref="D64:D72" si="14">X64*U64</f>
        <v>8.9062962361788269</v>
      </c>
      <c r="E64" s="47"/>
      <c r="F64" s="85"/>
      <c r="H64" s="47"/>
      <c r="I64" s="47"/>
      <c r="J64" s="47"/>
      <c r="K64" s="47"/>
      <c r="O64" s="138">
        <f t="shared" si="11"/>
        <v>0.56338046022611299</v>
      </c>
      <c r="P64" s="139"/>
      <c r="Q64" s="139"/>
      <c r="R64" s="47" t="str">
        <f>Y18</f>
        <v>Ель из подроста</v>
      </c>
      <c r="S64" s="47"/>
      <c r="T64" s="47"/>
      <c r="U64" s="123">
        <f>SUM(Y52:AA52)/(AE16*AE16*3.15/10000*1000)</f>
        <v>0.66797221771341198</v>
      </c>
      <c r="V64" s="139" t="e">
        <f>AB52</f>
        <v>#DIV/0!</v>
      </c>
      <c r="W64" s="139">
        <f>AC52</f>
        <v>2.3749991500004248</v>
      </c>
      <c r="X64" s="140">
        <f>AD52</f>
        <v>13.333333333333334</v>
      </c>
      <c r="Y64" s="55"/>
    </row>
    <row r="65" spans="2:25" x14ac:dyDescent="0.3">
      <c r="B65" s="81" t="e">
        <f t="shared" si="12"/>
        <v>#DIV/0!</v>
      </c>
      <c r="C65" s="82">
        <f t="shared" si="13"/>
        <v>2.2544051075802112E-7</v>
      </c>
      <c r="D65" s="83" t="e">
        <f t="shared" si="14"/>
        <v>#DIV/0!</v>
      </c>
      <c r="E65" s="47"/>
      <c r="F65" s="47"/>
      <c r="G65" s="47"/>
      <c r="H65" s="47"/>
      <c r="I65" s="47"/>
      <c r="J65" s="47"/>
      <c r="K65" s="47"/>
      <c r="O65" s="138">
        <f t="shared" si="11"/>
        <v>4.2253513390201772E-7</v>
      </c>
      <c r="P65" s="139"/>
      <c r="Q65" s="139"/>
      <c r="R65" s="47" t="str">
        <f>AE18</f>
        <v>ЕЛЬ лесные культуры</v>
      </c>
      <c r="S65" s="47"/>
      <c r="T65" s="47"/>
      <c r="U65" s="123">
        <f>SUM(AE52:AG52)/(AE16*AE16*3.15/10000*1000)</f>
        <v>5.0097891279560248E-7</v>
      </c>
      <c r="V65" s="139" t="e">
        <f>AH52</f>
        <v>#DIV/0!</v>
      </c>
      <c r="W65" s="139">
        <f>AI52</f>
        <v>0.45</v>
      </c>
      <c r="X65" s="140" t="e">
        <f>AJ52</f>
        <v>#DIV/0!</v>
      </c>
      <c r="Y65" s="55"/>
    </row>
    <row r="66" spans="2:25" x14ac:dyDescent="0.3">
      <c r="B66" s="81" t="e">
        <f t="shared" si="12"/>
        <v>#DIV/0!</v>
      </c>
      <c r="C66" s="82">
        <f t="shared" si="13"/>
        <v>16.448807636788953</v>
      </c>
      <c r="D66" s="83">
        <f t="shared" si="14"/>
        <v>30.615378004175714</v>
      </c>
      <c r="E66" s="47"/>
      <c r="F66" s="47"/>
      <c r="G66" s="47"/>
      <c r="H66" s="47"/>
      <c r="I66" s="47"/>
      <c r="J66" s="47"/>
      <c r="K66" s="47"/>
      <c r="O66" s="138">
        <f t="shared" si="11"/>
        <v>1.4084504463400593</v>
      </c>
      <c r="P66" s="139"/>
      <c r="Q66" s="139"/>
      <c r="R66" s="47" t="str">
        <f>AK18</f>
        <v>Берёза</v>
      </c>
      <c r="S66" s="47"/>
      <c r="T66" s="47"/>
      <c r="U66" s="123">
        <f>AK52/(AE16*AE16*3.15/10000*1000)</f>
        <v>1.6699297093186753</v>
      </c>
      <c r="V66" s="139" t="e">
        <f>AL52</f>
        <v>#DIV/0!</v>
      </c>
      <c r="W66" s="139">
        <f>AM52</f>
        <v>9.85</v>
      </c>
      <c r="X66" s="140">
        <f>AN52</f>
        <v>18.333333333333332</v>
      </c>
      <c r="Y66" s="55"/>
    </row>
    <row r="67" spans="2:25" x14ac:dyDescent="0.3">
      <c r="B67" s="81" t="e">
        <f t="shared" si="12"/>
        <v>#DIV/0!</v>
      </c>
      <c r="C67" s="82">
        <f t="shared" si="13"/>
        <v>16.031325209459283</v>
      </c>
      <c r="D67" s="83">
        <f t="shared" si="14"/>
        <v>30.058737272630719</v>
      </c>
      <c r="E67" s="47"/>
      <c r="F67" s="47"/>
      <c r="G67" s="47"/>
      <c r="H67" s="47"/>
      <c r="I67" s="47"/>
      <c r="J67" s="47"/>
      <c r="K67" s="47"/>
      <c r="O67" s="138">
        <f t="shared" si="11"/>
        <v>1.6901406764531157</v>
      </c>
      <c r="P67" s="139"/>
      <c r="Q67" s="139"/>
      <c r="R67" s="47" t="str">
        <f>AO18</f>
        <v>Осина</v>
      </c>
      <c r="S67" s="47"/>
      <c r="T67" s="47"/>
      <c r="U67" s="123">
        <f>AO52/(AE16*AE16*3.15/10000*1000)</f>
        <v>2.0039158181753813</v>
      </c>
      <c r="V67" s="139" t="e">
        <f>AP52</f>
        <v>#DIV/0!</v>
      </c>
      <c r="W67" s="139">
        <f>AQ52</f>
        <v>7.9999993333333892</v>
      </c>
      <c r="X67" s="140">
        <f>AR52</f>
        <v>15</v>
      </c>
      <c r="Y67" s="55"/>
    </row>
    <row r="68" spans="2:25" x14ac:dyDescent="0.3">
      <c r="B68" s="81" t="e">
        <f t="shared" si="12"/>
        <v>#DIV/0!</v>
      </c>
      <c r="C68" s="82">
        <f t="shared" si="13"/>
        <v>71.305998587907439</v>
      </c>
      <c r="D68" s="83">
        <f t="shared" si="14"/>
        <v>112.72025537901058</v>
      </c>
      <c r="E68" s="47"/>
      <c r="F68" s="47"/>
      <c r="G68" s="47"/>
      <c r="H68" s="47"/>
      <c r="I68" s="47"/>
      <c r="J68" s="47"/>
      <c r="K68" s="47"/>
      <c r="O68" s="138">
        <f t="shared" si="11"/>
        <v>6.3380270085302657</v>
      </c>
      <c r="P68" s="139"/>
      <c r="Q68" s="139"/>
      <c r="R68" s="47" t="str">
        <f>AS18</f>
        <v>Ольха серая</v>
      </c>
      <c r="S68" s="47"/>
      <c r="T68" s="47"/>
      <c r="U68" s="123">
        <f>AS52/(AE16*AE16*3.15/10000*1000)</f>
        <v>7.5146836919340387</v>
      </c>
      <c r="V68" s="139" t="e">
        <f>AT52</f>
        <v>#DIV/0!</v>
      </c>
      <c r="W68" s="139">
        <f>AU52</f>
        <v>9.4888888888888889</v>
      </c>
      <c r="X68" s="140">
        <f>AV52</f>
        <v>15</v>
      </c>
      <c r="Y68" s="55"/>
    </row>
    <row r="69" spans="2:25" x14ac:dyDescent="0.3">
      <c r="B69" s="81" t="e">
        <f t="shared" si="12"/>
        <v>#DIV/0!</v>
      </c>
      <c r="C69" s="82">
        <f t="shared" si="13"/>
        <v>0</v>
      </c>
      <c r="D69" s="83" t="e">
        <f t="shared" si="14"/>
        <v>#DIV/0!</v>
      </c>
      <c r="E69" s="47"/>
      <c r="F69" s="47"/>
      <c r="G69" s="47"/>
      <c r="H69" s="47"/>
      <c r="I69" s="47"/>
      <c r="J69" s="47"/>
      <c r="K69" s="47"/>
      <c r="O69" s="138">
        <f t="shared" si="11"/>
        <v>1.408450446340059E-7</v>
      </c>
      <c r="P69" s="139"/>
      <c r="Q69" s="139"/>
      <c r="R69" s="47" t="str">
        <f>AW18</f>
        <v>Ива</v>
      </c>
      <c r="S69" s="47"/>
      <c r="T69" s="47"/>
      <c r="U69" s="123">
        <f>AW52/(AE16*AE16*3.15/10000*1000)</f>
        <v>1.6699297093186749E-7</v>
      </c>
      <c r="V69" s="139" t="e">
        <f>AX52</f>
        <v>#DIV/0!</v>
      </c>
      <c r="W69" s="139">
        <f>AY52</f>
        <v>0</v>
      </c>
      <c r="X69" s="140" t="e">
        <f>AZ52</f>
        <v>#DIV/0!</v>
      </c>
      <c r="Y69" s="55"/>
    </row>
    <row r="70" spans="2:25" x14ac:dyDescent="0.3">
      <c r="B70" s="81" t="e">
        <f t="shared" si="12"/>
        <v>#DIV/0!</v>
      </c>
      <c r="C70" s="82">
        <f t="shared" si="13"/>
        <v>0</v>
      </c>
      <c r="D70" s="83" t="e">
        <f t="shared" si="14"/>
        <v>#DIV/0!</v>
      </c>
      <c r="E70" s="47"/>
      <c r="F70" s="47"/>
      <c r="G70" s="47"/>
      <c r="H70" s="47"/>
      <c r="I70" s="47"/>
      <c r="J70" s="47"/>
      <c r="K70" s="47"/>
      <c r="O70" s="138">
        <f t="shared" si="11"/>
        <v>1.408450446340059E-7</v>
      </c>
      <c r="P70" s="139"/>
      <c r="Q70" s="139"/>
      <c r="R70" s="47" t="str">
        <f>BA18</f>
        <v>Чёрёмуха</v>
      </c>
      <c r="S70" s="47"/>
      <c r="T70" s="47"/>
      <c r="U70" s="123">
        <f>BA52/(AE16*AE16*3.15/10000*1000)</f>
        <v>1.6699297093186749E-7</v>
      </c>
      <c r="V70" s="139" t="e">
        <f>BB52</f>
        <v>#DIV/0!</v>
      </c>
      <c r="W70" s="139">
        <f>BC52</f>
        <v>0</v>
      </c>
      <c r="X70" s="140" t="e">
        <f>BD52</f>
        <v>#DIV/0!</v>
      </c>
      <c r="Y70" s="55"/>
    </row>
    <row r="71" spans="2:25" x14ac:dyDescent="0.3">
      <c r="B71" s="81" t="e">
        <f t="shared" si="12"/>
        <v>#DIV/0!</v>
      </c>
      <c r="C71" s="82">
        <f t="shared" si="13"/>
        <v>0</v>
      </c>
      <c r="D71" s="83" t="e">
        <f t="shared" si="14"/>
        <v>#DIV/0!</v>
      </c>
      <c r="E71" s="47"/>
      <c r="F71" s="47"/>
      <c r="G71" s="47"/>
      <c r="H71" s="47"/>
      <c r="I71" s="47"/>
      <c r="J71" s="47"/>
      <c r="K71" s="47"/>
      <c r="O71" s="138">
        <f t="shared" si="11"/>
        <v>1.408450446340059E-7</v>
      </c>
      <c r="P71" s="139"/>
      <c r="Q71" s="139"/>
      <c r="R71" s="47" t="str">
        <f>BE18</f>
        <v>Дуб</v>
      </c>
      <c r="S71" s="47"/>
      <c r="T71" s="47"/>
      <c r="U71" s="123">
        <f>BE52/(AE16*AE16*3.15/10000*1000)</f>
        <v>1.6699297093186749E-7</v>
      </c>
      <c r="V71" s="139" t="e">
        <f>BF52</f>
        <v>#DIV/0!</v>
      </c>
      <c r="W71" s="139">
        <f>BG52</f>
        <v>0</v>
      </c>
      <c r="X71" s="140" t="e">
        <f>BH52</f>
        <v>#DIV/0!</v>
      </c>
      <c r="Y71" s="55"/>
    </row>
    <row r="72" spans="2:25" x14ac:dyDescent="0.3">
      <c r="B72" s="81" t="e">
        <f t="shared" si="12"/>
        <v>#DIV/0!</v>
      </c>
      <c r="C72" s="82">
        <f t="shared" si="13"/>
        <v>0</v>
      </c>
      <c r="D72" s="83" t="e">
        <f t="shared" si="14"/>
        <v>#DIV/0!</v>
      </c>
      <c r="E72" s="47"/>
      <c r="F72" s="47"/>
      <c r="G72" s="47"/>
      <c r="H72" s="47"/>
      <c r="I72" s="47"/>
      <c r="J72" s="47"/>
      <c r="K72" s="47"/>
      <c r="O72" s="138">
        <f t="shared" si="11"/>
        <v>1.408450446340059E-7</v>
      </c>
      <c r="P72" s="139"/>
      <c r="Q72" s="139"/>
      <c r="R72" s="47" t="str">
        <f>BI18</f>
        <v>Рябина</v>
      </c>
      <c r="S72" s="47"/>
      <c r="T72" s="47"/>
      <c r="U72" s="123">
        <f>BI52/(AE16*AE16*3.15/10000*1000)</f>
        <v>1.6699297093186749E-7</v>
      </c>
      <c r="V72" s="139" t="e">
        <f>BJ52</f>
        <v>#DIV/0!</v>
      </c>
      <c r="W72" s="139">
        <f>BK52</f>
        <v>0</v>
      </c>
      <c r="X72" s="140" t="e">
        <f>BL52</f>
        <v>#DIV/0!</v>
      </c>
      <c r="Y72" s="55"/>
    </row>
    <row r="73" spans="2:25" x14ac:dyDescent="0.3">
      <c r="B73" s="62">
        <f>AC72*AA72</f>
        <v>0</v>
      </c>
      <c r="C73" s="71">
        <f>AI72*AG72</f>
        <v>0</v>
      </c>
      <c r="D73" s="63"/>
      <c r="E73" s="47"/>
      <c r="F73" s="47"/>
      <c r="G73" s="47"/>
      <c r="H73" s="47"/>
      <c r="I73" s="47"/>
      <c r="J73" s="47"/>
      <c r="K73" s="47"/>
      <c r="O73" s="118"/>
      <c r="P73" s="47"/>
      <c r="Q73" s="47"/>
      <c r="R73" s="47"/>
      <c r="S73" s="47"/>
      <c r="T73" s="47"/>
      <c r="U73" s="141"/>
      <c r="V73" s="141"/>
      <c r="W73" s="141"/>
      <c r="X73" s="140"/>
      <c r="Y73" s="55"/>
    </row>
    <row r="74" spans="2:25" x14ac:dyDescent="0.3">
      <c r="B74" s="62">
        <f>AC73*AA73</f>
        <v>0</v>
      </c>
      <c r="C74" s="71">
        <f>AI73*AG73</f>
        <v>0</v>
      </c>
      <c r="D74" s="63">
        <f>W73*U73</f>
        <v>0</v>
      </c>
      <c r="E74" s="47"/>
      <c r="F74" s="47"/>
      <c r="G74" s="47"/>
      <c r="H74" s="47"/>
      <c r="I74" s="47"/>
      <c r="J74" s="47"/>
      <c r="K74" s="47"/>
      <c r="O74" s="118"/>
      <c r="P74" s="47"/>
      <c r="Q74" s="47"/>
      <c r="R74" s="47"/>
      <c r="S74" s="47"/>
      <c r="T74" s="47"/>
      <c r="U74" s="141"/>
      <c r="V74" s="141"/>
      <c r="W74" s="141"/>
      <c r="X74" s="140"/>
      <c r="Y74" s="55"/>
    </row>
    <row r="75" spans="2:25" x14ac:dyDescent="0.3">
      <c r="B75" s="62">
        <f>AC74*AA74</f>
        <v>0</v>
      </c>
      <c r="C75" s="71">
        <f>AI74*AG74</f>
        <v>0</v>
      </c>
      <c r="D75" s="63">
        <f>W74*U74</f>
        <v>0</v>
      </c>
      <c r="E75" s="47"/>
      <c r="F75" s="47"/>
      <c r="G75" s="47"/>
      <c r="H75" s="47"/>
      <c r="I75" s="47"/>
      <c r="J75" s="47"/>
      <c r="K75" s="47"/>
      <c r="O75" s="142">
        <f>SUM(O63:O72)</f>
        <v>9.9999999999999982</v>
      </c>
      <c r="P75" s="143"/>
      <c r="Q75" s="143"/>
      <c r="R75" s="45" t="s">
        <v>27</v>
      </c>
      <c r="S75" s="45"/>
      <c r="T75" s="45"/>
      <c r="U75" s="144">
        <f>SUM(U63:U72)</f>
        <v>11.856503107071216</v>
      </c>
      <c r="V75" s="144" t="e">
        <f>SUM(B63:B72)/$U$75</f>
        <v>#DIV/0!</v>
      </c>
      <c r="W75" s="144">
        <f>SUM(C63:C72)/$U$75</f>
        <v>8.8873223734480167</v>
      </c>
      <c r="X75" s="145" t="e">
        <f>SUM(D63:D72)/$U$75</f>
        <v>#DIV/0!</v>
      </c>
      <c r="Y75" s="55"/>
    </row>
    <row r="76" spans="2:25" x14ac:dyDescent="0.3">
      <c r="B76" s="62">
        <f>AC75*AA75</f>
        <v>0</v>
      </c>
      <c r="C76" s="71">
        <f>AI75*AG75</f>
        <v>0</v>
      </c>
      <c r="D76" s="63"/>
      <c r="E76" s="47"/>
      <c r="F76" s="47"/>
      <c r="G76" s="47"/>
      <c r="H76" s="47"/>
      <c r="I76" s="47"/>
      <c r="J76" s="47"/>
      <c r="K76" s="47"/>
    </row>
    <row r="77" spans="2:25" ht="15" thickBot="1" x14ac:dyDescent="0.35">
      <c r="B77" s="64">
        <f>AC93*AA93</f>
        <v>0</v>
      </c>
      <c r="C77" s="72">
        <f>AI93*AG93</f>
        <v>0</v>
      </c>
      <c r="D77" s="66">
        <f>W93*U93</f>
        <v>0</v>
      </c>
      <c r="E77" s="47"/>
      <c r="F77" s="47"/>
      <c r="G77" s="47"/>
      <c r="H77" s="47"/>
      <c r="I77" s="47"/>
      <c r="J77" s="47"/>
      <c r="K77" s="47"/>
    </row>
  </sheetData>
  <mergeCells count="11">
    <mergeCell ref="AS18:AV18"/>
    <mergeCell ref="AW18:AZ18"/>
    <mergeCell ref="BA18:BD18"/>
    <mergeCell ref="BE18:BH18"/>
    <mergeCell ref="BI18:BL18"/>
    <mergeCell ref="AO18:AR18"/>
    <mergeCell ref="O18:R18"/>
    <mergeCell ref="S18:X18"/>
    <mergeCell ref="Y18:AD18"/>
    <mergeCell ref="AE18:AJ18"/>
    <mergeCell ref="AK18:AN18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BL77"/>
  <sheetViews>
    <sheetView zoomScale="74" zoomScaleNormal="74" workbookViewId="0">
      <pane xSplit="18" ySplit="19" topLeftCell="S20" activePane="bottomRight" state="frozen"/>
      <selection pane="topRight" activeCell="Q1" sqref="Q1"/>
      <selection pane="bottomLeft" activeCell="A11" sqref="A11"/>
      <selection pane="bottomRight" activeCell="P20" sqref="P20"/>
    </sheetView>
  </sheetViews>
  <sheetFormatPr defaultRowHeight="14.4" x14ac:dyDescent="0.3"/>
  <cols>
    <col min="2" max="2" width="16.109375" hidden="1" customWidth="1"/>
    <col min="3" max="3" width="17.5546875" hidden="1" customWidth="1"/>
    <col min="4" max="11" width="12.88671875" hidden="1" customWidth="1"/>
    <col min="18" max="18" width="11" customWidth="1"/>
    <col min="21" max="21" width="9" customWidth="1"/>
    <col min="34" max="56" width="9.88671875" bestFit="1" customWidth="1"/>
  </cols>
  <sheetData>
    <row r="1" spans="14:39" ht="15" thickBot="1" x14ac:dyDescent="0.35"/>
    <row r="2" spans="14:39" x14ac:dyDescent="0.3">
      <c r="V2" s="59"/>
      <c r="W2" s="67" t="s">
        <v>38</v>
      </c>
      <c r="X2" s="67"/>
      <c r="Y2" s="60"/>
      <c r="Z2" s="60"/>
      <c r="AA2" s="60"/>
      <c r="AB2" s="60"/>
      <c r="AC2" s="60"/>
      <c r="AD2" s="60"/>
      <c r="AE2" s="60">
        <v>8</v>
      </c>
      <c r="AF2" s="60" t="s">
        <v>142</v>
      </c>
      <c r="AG2" s="60"/>
      <c r="AH2" s="60"/>
      <c r="AI2" s="60"/>
      <c r="AJ2" s="60"/>
      <c r="AK2" s="60"/>
      <c r="AL2" s="60"/>
      <c r="AM2" s="61"/>
    </row>
    <row r="3" spans="14:39" x14ac:dyDescent="0.3">
      <c r="V3" s="62">
        <v>1</v>
      </c>
      <c r="W3" s="47" t="s">
        <v>158</v>
      </c>
      <c r="X3" s="47"/>
      <c r="Y3" s="47"/>
      <c r="Z3" s="47"/>
      <c r="AA3" s="47"/>
      <c r="AB3" s="47"/>
      <c r="AC3" s="47"/>
      <c r="AD3" s="47"/>
      <c r="AE3" s="47">
        <v>9</v>
      </c>
      <c r="AF3" s="47" t="s">
        <v>156</v>
      </c>
      <c r="AG3" s="47"/>
      <c r="AH3" s="47"/>
      <c r="AI3" s="47"/>
      <c r="AJ3" s="47"/>
      <c r="AK3" s="47"/>
      <c r="AL3" s="47"/>
      <c r="AM3" s="63"/>
    </row>
    <row r="4" spans="14:39" x14ac:dyDescent="0.3">
      <c r="V4" s="62">
        <v>2</v>
      </c>
      <c r="W4" s="47" t="s">
        <v>159</v>
      </c>
      <c r="X4" s="47"/>
      <c r="Y4" s="47"/>
      <c r="Z4" s="47"/>
      <c r="AA4" s="47"/>
      <c r="AB4" s="47"/>
      <c r="AC4" s="47"/>
      <c r="AD4" s="47"/>
      <c r="AE4" s="47">
        <v>10</v>
      </c>
      <c r="AF4" s="47" t="s">
        <v>157</v>
      </c>
      <c r="AG4" s="47"/>
      <c r="AH4" s="47"/>
      <c r="AI4" s="47"/>
      <c r="AJ4" s="47"/>
      <c r="AK4" s="47"/>
      <c r="AL4" s="47"/>
      <c r="AM4" s="63"/>
    </row>
    <row r="5" spans="14:39" x14ac:dyDescent="0.3">
      <c r="V5" s="62">
        <v>3</v>
      </c>
      <c r="W5" s="47" t="s">
        <v>34</v>
      </c>
      <c r="X5" s="47"/>
      <c r="Y5" s="47"/>
      <c r="Z5" s="47"/>
      <c r="AA5" s="47"/>
      <c r="AB5" s="47"/>
      <c r="AC5" s="47"/>
      <c r="AD5" s="47"/>
      <c r="AE5" s="47">
        <v>11</v>
      </c>
      <c r="AF5" s="47" t="s">
        <v>39</v>
      </c>
      <c r="AG5" s="47"/>
      <c r="AH5" s="47"/>
      <c r="AI5" s="47"/>
      <c r="AJ5" s="47"/>
      <c r="AK5" s="47"/>
      <c r="AL5" s="47"/>
      <c r="AM5" s="63"/>
    </row>
    <row r="6" spans="14:39" x14ac:dyDescent="0.3">
      <c r="V6" s="62">
        <v>4</v>
      </c>
      <c r="W6" s="47" t="s">
        <v>35</v>
      </c>
      <c r="X6" s="47"/>
      <c r="Y6" s="47"/>
      <c r="Z6" s="47"/>
      <c r="AA6" s="47"/>
      <c r="AB6" s="47"/>
      <c r="AC6" s="47"/>
      <c r="AD6" s="47"/>
      <c r="AE6" s="47">
        <v>12</v>
      </c>
      <c r="AF6" s="47" t="s">
        <v>40</v>
      </c>
      <c r="AG6" s="47"/>
      <c r="AH6" s="47"/>
      <c r="AI6" s="47"/>
      <c r="AJ6" s="47"/>
      <c r="AK6" s="47"/>
      <c r="AL6" s="47"/>
      <c r="AM6" s="63"/>
    </row>
    <row r="7" spans="14:39" x14ac:dyDescent="0.3">
      <c r="V7" s="62">
        <v>5</v>
      </c>
      <c r="W7" s="47" t="s">
        <v>36</v>
      </c>
      <c r="X7" s="47"/>
      <c r="Y7" s="47"/>
      <c r="Z7" s="47"/>
      <c r="AA7" s="47"/>
      <c r="AB7" s="47"/>
      <c r="AC7" s="47"/>
      <c r="AD7" s="47"/>
      <c r="AE7" s="47">
        <v>13</v>
      </c>
      <c r="AF7" s="47" t="s">
        <v>41</v>
      </c>
      <c r="AG7" s="47"/>
      <c r="AH7" s="47"/>
      <c r="AI7" s="47"/>
      <c r="AJ7" s="47"/>
      <c r="AK7" s="47"/>
      <c r="AL7" s="47"/>
      <c r="AM7" s="63"/>
    </row>
    <row r="8" spans="14:39" x14ac:dyDescent="0.3">
      <c r="V8" s="62">
        <v>6</v>
      </c>
      <c r="W8" s="47" t="s">
        <v>141</v>
      </c>
      <c r="X8" s="47"/>
      <c r="Y8" s="47"/>
      <c r="Z8" s="47"/>
      <c r="AA8" s="47"/>
      <c r="AB8" s="47"/>
      <c r="AC8" s="47"/>
      <c r="AD8" s="47"/>
      <c r="AE8" s="47">
        <v>14</v>
      </c>
      <c r="AF8" s="47"/>
      <c r="AG8" s="47"/>
      <c r="AH8" s="47"/>
      <c r="AI8" s="47"/>
      <c r="AJ8" s="47"/>
      <c r="AK8" s="47"/>
      <c r="AL8" s="47"/>
      <c r="AM8" s="63"/>
    </row>
    <row r="9" spans="14:39" ht="15" thickBot="1" x14ac:dyDescent="0.35">
      <c r="V9" s="64">
        <v>7</v>
      </c>
      <c r="W9" s="65" t="s">
        <v>37</v>
      </c>
      <c r="X9" s="65"/>
      <c r="Y9" s="65"/>
      <c r="Z9" s="65"/>
      <c r="AA9" s="65"/>
      <c r="AB9" s="65"/>
      <c r="AC9" s="65"/>
      <c r="AD9" s="65"/>
      <c r="AE9" s="65">
        <v>15</v>
      </c>
      <c r="AF9" s="65"/>
      <c r="AG9" s="65"/>
      <c r="AH9" s="65"/>
      <c r="AI9" s="65"/>
      <c r="AJ9" s="65"/>
      <c r="AK9" s="65"/>
      <c r="AL9" s="65"/>
      <c r="AM9" s="66"/>
    </row>
    <row r="13" spans="14:39" x14ac:dyDescent="0.3">
      <c r="N13" t="s">
        <v>32</v>
      </c>
      <c r="T13" s="45"/>
    </row>
    <row r="16" spans="14:39" x14ac:dyDescent="0.3">
      <c r="N16" s="46" t="s">
        <v>13</v>
      </c>
      <c r="S16">
        <v>1</v>
      </c>
      <c r="U16" s="45" t="s">
        <v>14</v>
      </c>
      <c r="V16" s="45">
        <v>183</v>
      </c>
      <c r="W16" s="45"/>
      <c r="X16" s="45" t="s">
        <v>15</v>
      </c>
      <c r="Y16" s="45">
        <v>10</v>
      </c>
      <c r="Z16" s="45" t="s">
        <v>16</v>
      </c>
      <c r="AA16" s="45">
        <v>1</v>
      </c>
      <c r="AB16" s="47"/>
      <c r="AC16" s="85" t="s">
        <v>45</v>
      </c>
      <c r="AE16" s="45">
        <v>1.78</v>
      </c>
      <c r="AG16" s="44" t="s">
        <v>28</v>
      </c>
      <c r="AI16" s="44"/>
    </row>
    <row r="17" spans="2:64" ht="15" thickBot="1" x14ac:dyDescent="0.35"/>
    <row r="18" spans="2:64" ht="15.6" thickTop="1" thickBot="1" x14ac:dyDescent="0.35">
      <c r="B18" s="59" t="s">
        <v>31</v>
      </c>
      <c r="C18" s="60"/>
      <c r="D18" s="60"/>
      <c r="E18" s="60"/>
      <c r="F18" s="60"/>
      <c r="G18" s="60"/>
      <c r="H18" s="60"/>
      <c r="I18" s="60"/>
      <c r="J18" s="60"/>
      <c r="K18" s="61"/>
      <c r="N18" s="1" t="s">
        <v>0</v>
      </c>
      <c r="O18" s="202" t="s">
        <v>1</v>
      </c>
      <c r="P18" s="194"/>
      <c r="Q18" s="194"/>
      <c r="R18" s="195"/>
      <c r="S18" s="193" t="s">
        <v>43</v>
      </c>
      <c r="T18" s="194"/>
      <c r="U18" s="194"/>
      <c r="V18" s="194"/>
      <c r="W18" s="194"/>
      <c r="X18" s="195"/>
      <c r="Y18" s="203" t="s">
        <v>17</v>
      </c>
      <c r="Z18" s="204"/>
      <c r="AA18" s="204"/>
      <c r="AB18" s="204"/>
      <c r="AC18" s="204"/>
      <c r="AD18" s="205"/>
      <c r="AE18" s="206" t="s">
        <v>18</v>
      </c>
      <c r="AF18" s="207"/>
      <c r="AG18" s="207"/>
      <c r="AH18" s="207"/>
      <c r="AI18" s="207"/>
      <c r="AJ18" s="208"/>
      <c r="AK18" s="193" t="s">
        <v>19</v>
      </c>
      <c r="AL18" s="194"/>
      <c r="AM18" s="194"/>
      <c r="AN18" s="195"/>
      <c r="AO18" s="193" t="s">
        <v>20</v>
      </c>
      <c r="AP18" s="194"/>
      <c r="AQ18" s="194"/>
      <c r="AR18" s="195"/>
      <c r="AS18" s="193" t="s">
        <v>21</v>
      </c>
      <c r="AT18" s="194"/>
      <c r="AU18" s="194"/>
      <c r="AV18" s="195"/>
      <c r="AW18" s="193" t="s">
        <v>26</v>
      </c>
      <c r="AX18" s="194"/>
      <c r="AY18" s="194"/>
      <c r="AZ18" s="195"/>
      <c r="BA18" s="193" t="s">
        <v>22</v>
      </c>
      <c r="BB18" s="194"/>
      <c r="BC18" s="194"/>
      <c r="BD18" s="195"/>
      <c r="BE18" s="193" t="s">
        <v>29</v>
      </c>
      <c r="BF18" s="194"/>
      <c r="BG18" s="194"/>
      <c r="BH18" s="195"/>
      <c r="BI18" s="193" t="s">
        <v>42</v>
      </c>
      <c r="BJ18" s="194"/>
      <c r="BK18" s="194"/>
      <c r="BL18" s="195"/>
    </row>
    <row r="19" spans="2:64" ht="21" thickBot="1" x14ac:dyDescent="0.35">
      <c r="B19" s="64" t="str">
        <f>Y18</f>
        <v>Ель из подроста</v>
      </c>
      <c r="C19" s="65" t="str">
        <f>AE18</f>
        <v>ЕЛЬ лесные культуры</v>
      </c>
      <c r="D19" s="65" t="str">
        <f>S18</f>
        <v>Сосна</v>
      </c>
      <c r="E19" s="65" t="str">
        <f>AK18</f>
        <v>Берёза</v>
      </c>
      <c r="F19" s="65" t="str">
        <f>AO18</f>
        <v>Осина</v>
      </c>
      <c r="G19" s="65" t="str">
        <f>AS18</f>
        <v>Ольха серая</v>
      </c>
      <c r="H19" s="65" t="str">
        <f>AW18</f>
        <v>Ива</v>
      </c>
      <c r="I19" s="65" t="str">
        <f>BA18</f>
        <v>Чёрёмуха</v>
      </c>
      <c r="J19" s="65" t="str">
        <f>BE18</f>
        <v>Дуб</v>
      </c>
      <c r="K19" s="66" t="str">
        <f>BI18</f>
        <v>Рябина</v>
      </c>
      <c r="L19" t="s">
        <v>46</v>
      </c>
      <c r="N19" s="31" t="s">
        <v>2</v>
      </c>
      <c r="O19" s="25" t="s">
        <v>3</v>
      </c>
      <c r="P19" s="86" t="s">
        <v>48</v>
      </c>
      <c r="Q19" s="86" t="s">
        <v>47</v>
      </c>
      <c r="R19" s="68" t="s">
        <v>4</v>
      </c>
      <c r="S19" s="41" t="s">
        <v>5</v>
      </c>
      <c r="T19" s="42" t="s">
        <v>6</v>
      </c>
      <c r="U19" s="42" t="s">
        <v>7</v>
      </c>
      <c r="V19" s="42" t="s">
        <v>23</v>
      </c>
      <c r="W19" s="43" t="s">
        <v>8</v>
      </c>
      <c r="X19" s="26" t="s">
        <v>9</v>
      </c>
      <c r="Y19" s="70" t="s">
        <v>5</v>
      </c>
      <c r="Z19" s="42" t="s">
        <v>6</v>
      </c>
      <c r="AA19" s="42" t="s">
        <v>7</v>
      </c>
      <c r="AB19" s="42" t="s">
        <v>23</v>
      </c>
      <c r="AC19" s="43" t="s">
        <v>8</v>
      </c>
      <c r="AD19" s="26" t="s">
        <v>9</v>
      </c>
      <c r="AE19" s="53" t="s">
        <v>5</v>
      </c>
      <c r="AF19" s="50" t="s">
        <v>6</v>
      </c>
      <c r="AG19" s="50" t="s">
        <v>7</v>
      </c>
      <c r="AH19" s="50" t="s">
        <v>23</v>
      </c>
      <c r="AI19" s="51" t="s">
        <v>8</v>
      </c>
      <c r="AJ19" s="54" t="s">
        <v>9</v>
      </c>
      <c r="AK19" s="49" t="s">
        <v>10</v>
      </c>
      <c r="AL19" s="50" t="s">
        <v>23</v>
      </c>
      <c r="AM19" s="51" t="s">
        <v>8</v>
      </c>
      <c r="AN19" s="52" t="s">
        <v>9</v>
      </c>
      <c r="AO19" s="25" t="s">
        <v>10</v>
      </c>
      <c r="AP19" s="42" t="s">
        <v>23</v>
      </c>
      <c r="AQ19" s="43" t="s">
        <v>8</v>
      </c>
      <c r="AR19" s="26" t="s">
        <v>9</v>
      </c>
      <c r="AS19" s="25" t="s">
        <v>10</v>
      </c>
      <c r="AT19" s="42" t="s">
        <v>23</v>
      </c>
      <c r="AU19" s="43" t="s">
        <v>8</v>
      </c>
      <c r="AV19" s="26" t="s">
        <v>9</v>
      </c>
      <c r="AW19" s="25" t="s">
        <v>10</v>
      </c>
      <c r="AX19" s="42" t="s">
        <v>23</v>
      </c>
      <c r="AY19" s="43" t="s">
        <v>8</v>
      </c>
      <c r="AZ19" s="26" t="s">
        <v>9</v>
      </c>
      <c r="BA19" s="25" t="s">
        <v>10</v>
      </c>
      <c r="BB19" s="42" t="s">
        <v>23</v>
      </c>
      <c r="BC19" s="43" t="s">
        <v>8</v>
      </c>
      <c r="BD19" s="26" t="s">
        <v>9</v>
      </c>
      <c r="BE19" s="25" t="s">
        <v>10</v>
      </c>
      <c r="BF19" s="42" t="s">
        <v>23</v>
      </c>
      <c r="BG19" s="43" t="s">
        <v>8</v>
      </c>
      <c r="BH19" s="26" t="s">
        <v>9</v>
      </c>
      <c r="BI19" s="25" t="s">
        <v>10</v>
      </c>
      <c r="BJ19" s="42" t="s">
        <v>23</v>
      </c>
      <c r="BK19" s="43" t="s">
        <v>8</v>
      </c>
      <c r="BL19" s="26" t="s">
        <v>9</v>
      </c>
    </row>
    <row r="20" spans="2:64" x14ac:dyDescent="0.3">
      <c r="B20" s="62">
        <f>AC20*AA20</f>
        <v>0</v>
      </c>
      <c r="C20" s="47">
        <f>AI20*AG20</f>
        <v>10</v>
      </c>
      <c r="D20" s="47">
        <f>W20*U20</f>
        <v>0</v>
      </c>
      <c r="E20" s="47">
        <f>AK20*AM20</f>
        <v>0</v>
      </c>
      <c r="F20" s="47">
        <f>AO20*AQ20</f>
        <v>0</v>
      </c>
      <c r="G20" s="47">
        <f>AS20*AU20</f>
        <v>0</v>
      </c>
      <c r="H20" s="47">
        <f>AW20*AY20</f>
        <v>4.1999999999999993</v>
      </c>
      <c r="I20" s="47">
        <f>BA20*BC20</f>
        <v>0</v>
      </c>
      <c r="J20" s="47">
        <f>BE20*BG20</f>
        <v>0</v>
      </c>
      <c r="K20" s="63">
        <f>BI20*BK20</f>
        <v>0</v>
      </c>
      <c r="L20" s="55">
        <f>SUM(S20:U20,Y20:AA20,AE20:AG20,AK20,AO20,AS20,AW20,BA20,BE20,BI20)/($AE$16*$AE$16*3.15/10000*1000)</f>
        <v>15.029379407361978</v>
      </c>
      <c r="N20" s="32">
        <v>1</v>
      </c>
      <c r="O20" s="27">
        <v>890</v>
      </c>
      <c r="P20" s="87" t="s">
        <v>172</v>
      </c>
      <c r="Q20" s="87" t="s">
        <v>166</v>
      </c>
      <c r="R20" s="69"/>
      <c r="S20" s="40">
        <v>9.9999999999999995E-7</v>
      </c>
      <c r="T20" s="40">
        <v>9.9999999999999995E-7</v>
      </c>
      <c r="U20" s="40">
        <v>9.9999999999999995E-7</v>
      </c>
      <c r="V20" s="40"/>
      <c r="W20" s="40"/>
      <c r="X20" s="24"/>
      <c r="Y20" s="40">
        <v>9.9999999999999995E-7</v>
      </c>
      <c r="Z20" s="40">
        <v>9.9999999999999995E-7</v>
      </c>
      <c r="AA20" s="40">
        <v>9.9999999999999995E-7</v>
      </c>
      <c r="AB20" s="6"/>
      <c r="AC20" s="7"/>
      <c r="AD20" s="36"/>
      <c r="AE20" s="40">
        <v>3</v>
      </c>
      <c r="AF20" s="40">
        <v>1</v>
      </c>
      <c r="AG20" s="40">
        <v>5</v>
      </c>
      <c r="AH20" s="6"/>
      <c r="AI20" s="7">
        <v>2</v>
      </c>
      <c r="AJ20" s="8">
        <v>8</v>
      </c>
      <c r="AK20" s="40">
        <v>9.9999999999999995E-7</v>
      </c>
      <c r="AL20" s="7">
        <v>0</v>
      </c>
      <c r="AM20" s="7">
        <v>0</v>
      </c>
      <c r="AN20" s="8"/>
      <c r="AO20" s="40">
        <v>9.9999999999999995E-7</v>
      </c>
      <c r="AP20" s="27">
        <v>0</v>
      </c>
      <c r="AQ20" s="40">
        <v>0</v>
      </c>
      <c r="AR20" s="24"/>
      <c r="AS20" s="40">
        <v>9.9999999999999995E-7</v>
      </c>
      <c r="AT20" s="27">
        <v>0</v>
      </c>
      <c r="AU20" s="40">
        <v>0</v>
      </c>
      <c r="AV20" s="24"/>
      <c r="AW20" s="40">
        <v>6</v>
      </c>
      <c r="AX20" s="27">
        <v>0</v>
      </c>
      <c r="AY20" s="40">
        <v>0.7</v>
      </c>
      <c r="AZ20" s="24">
        <v>4</v>
      </c>
      <c r="BA20" s="40">
        <v>9.9999999999999995E-7</v>
      </c>
      <c r="BB20" s="27">
        <v>0</v>
      </c>
      <c r="BC20" s="40">
        <v>0</v>
      </c>
      <c r="BD20" s="24"/>
      <c r="BE20" s="40">
        <v>9.9999999999999995E-7</v>
      </c>
      <c r="BF20" s="27">
        <v>0</v>
      </c>
      <c r="BG20" s="40">
        <v>0</v>
      </c>
      <c r="BH20" s="24"/>
      <c r="BI20" s="40">
        <v>9.9999999999999995E-7</v>
      </c>
      <c r="BJ20" s="27">
        <v>0</v>
      </c>
      <c r="BK20" s="40">
        <v>0</v>
      </c>
      <c r="BL20" s="24"/>
    </row>
    <row r="21" spans="2:64" x14ac:dyDescent="0.3">
      <c r="B21" s="62">
        <f t="shared" ref="B21:B51" si="0">AC21*AA21</f>
        <v>0</v>
      </c>
      <c r="C21" s="47">
        <f t="shared" ref="C21:C51" si="1">AI21*AG21</f>
        <v>0</v>
      </c>
      <c r="D21" s="47">
        <f t="shared" ref="D21:D51" si="2">W21*U21</f>
        <v>0</v>
      </c>
      <c r="E21" s="47">
        <f t="shared" ref="E21:E51" si="3">AK21*AM21</f>
        <v>42.5</v>
      </c>
      <c r="F21" s="47">
        <f t="shared" ref="F21:F51" si="4">AO21*AQ21</f>
        <v>0</v>
      </c>
      <c r="G21" s="47">
        <f t="shared" ref="G21:G51" si="5">AS21*AU21</f>
        <v>33.6</v>
      </c>
      <c r="H21" s="47">
        <f t="shared" ref="H21:H51" si="6">AW21*AY21</f>
        <v>0</v>
      </c>
      <c r="I21" s="47">
        <f t="shared" ref="I21:I51" si="7">BA21*BC21</f>
        <v>0</v>
      </c>
      <c r="J21" s="47">
        <f t="shared" ref="J21:J51" si="8">BE21*BG21</f>
        <v>0</v>
      </c>
      <c r="K21" s="63">
        <f t="shared" ref="K21:K51" si="9">BI21*BK21</f>
        <v>0</v>
      </c>
      <c r="L21" s="55">
        <f t="shared" ref="L21:L51" si="10">SUM(S21:U21,Y21:AA21,AE21:AG21,AK21,AO21,AS21,AW21,BA21,BE21,BI21)/($AE$16*$AE$16*3.15/10000*1000)</f>
        <v>37.072439546874591</v>
      </c>
      <c r="N21" s="33">
        <v>2</v>
      </c>
      <c r="O21" s="28">
        <v>891</v>
      </c>
      <c r="P21" s="88" t="s">
        <v>168</v>
      </c>
      <c r="Q21" s="88" t="s">
        <v>165</v>
      </c>
      <c r="R21" s="37"/>
      <c r="S21" s="20"/>
      <c r="T21" s="3"/>
      <c r="U21" s="3"/>
      <c r="V21" s="3"/>
      <c r="W21" s="3"/>
      <c r="X21" s="10"/>
      <c r="Y21" s="17"/>
      <c r="Z21" s="2"/>
      <c r="AA21" s="2"/>
      <c r="AB21" s="2"/>
      <c r="AC21" s="3"/>
      <c r="AD21" s="37"/>
      <c r="AE21" s="9">
        <v>0</v>
      </c>
      <c r="AF21" s="2">
        <v>4</v>
      </c>
      <c r="AG21" s="2">
        <v>0</v>
      </c>
      <c r="AH21" s="2"/>
      <c r="AI21" s="3"/>
      <c r="AJ21" s="10">
        <v>8</v>
      </c>
      <c r="AK21" s="28">
        <v>17</v>
      </c>
      <c r="AL21" s="3"/>
      <c r="AM21" s="3">
        <v>2.5</v>
      </c>
      <c r="AN21" s="10">
        <v>8</v>
      </c>
      <c r="AO21" s="28"/>
      <c r="AP21" s="28"/>
      <c r="AQ21" s="3"/>
      <c r="AR21" s="10"/>
      <c r="AS21" s="20">
        <v>16</v>
      </c>
      <c r="AT21" s="28"/>
      <c r="AU21" s="3">
        <v>2.1</v>
      </c>
      <c r="AV21" s="10">
        <v>8</v>
      </c>
      <c r="AW21" s="20"/>
      <c r="AX21" s="28"/>
      <c r="AY21" s="3"/>
      <c r="AZ21" s="10"/>
      <c r="BA21" s="20"/>
      <c r="BB21" s="28"/>
      <c r="BC21" s="3"/>
      <c r="BD21" s="10"/>
      <c r="BE21" s="23"/>
      <c r="BF21" s="28"/>
      <c r="BG21" s="3"/>
      <c r="BH21" s="10"/>
      <c r="BI21" s="23"/>
      <c r="BJ21" s="28"/>
      <c r="BK21" s="3"/>
      <c r="BL21" s="10"/>
    </row>
    <row r="22" spans="2:64" x14ac:dyDescent="0.3">
      <c r="B22" s="62">
        <f t="shared" si="0"/>
        <v>0</v>
      </c>
      <c r="C22" s="47">
        <f t="shared" si="1"/>
        <v>0</v>
      </c>
      <c r="D22" s="47">
        <f t="shared" si="2"/>
        <v>0</v>
      </c>
      <c r="E22" s="47">
        <f t="shared" si="3"/>
        <v>1.7</v>
      </c>
      <c r="F22" s="47">
        <f t="shared" si="4"/>
        <v>60</v>
      </c>
      <c r="G22" s="47">
        <f t="shared" si="5"/>
        <v>43.699999999999996</v>
      </c>
      <c r="H22" s="47">
        <f t="shared" si="6"/>
        <v>0</v>
      </c>
      <c r="I22" s="47">
        <f t="shared" si="7"/>
        <v>0</v>
      </c>
      <c r="J22" s="47">
        <f t="shared" si="8"/>
        <v>0</v>
      </c>
      <c r="K22" s="63">
        <f t="shared" si="9"/>
        <v>0</v>
      </c>
      <c r="L22" s="55">
        <f t="shared" si="10"/>
        <v>35.068523895692181</v>
      </c>
      <c r="N22" s="33">
        <v>3</v>
      </c>
      <c r="O22" s="28">
        <v>892</v>
      </c>
      <c r="P22" s="88" t="s">
        <v>168</v>
      </c>
      <c r="Q22" s="88" t="s">
        <v>169</v>
      </c>
      <c r="R22" s="37"/>
      <c r="S22" s="20"/>
      <c r="T22" s="3"/>
      <c r="U22" s="3"/>
      <c r="V22" s="3"/>
      <c r="W22" s="3"/>
      <c r="X22" s="10"/>
      <c r="Y22" s="17"/>
      <c r="Z22" s="2"/>
      <c r="AA22" s="2"/>
      <c r="AB22" s="2"/>
      <c r="AC22" s="3"/>
      <c r="AD22" s="37"/>
      <c r="AE22" s="9">
        <v>0</v>
      </c>
      <c r="AF22" s="2">
        <v>0</v>
      </c>
      <c r="AG22" s="2">
        <v>0</v>
      </c>
      <c r="AH22" s="2"/>
      <c r="AI22" s="3"/>
      <c r="AJ22" s="10"/>
      <c r="AK22" s="28">
        <v>1</v>
      </c>
      <c r="AL22" s="3"/>
      <c r="AM22" s="3">
        <v>1.7</v>
      </c>
      <c r="AN22" s="10">
        <v>8</v>
      </c>
      <c r="AO22" s="28">
        <v>15</v>
      </c>
      <c r="AP22" s="28">
        <v>5</v>
      </c>
      <c r="AQ22" s="3">
        <v>4</v>
      </c>
      <c r="AR22" s="10">
        <v>10</v>
      </c>
      <c r="AS22" s="20">
        <v>19</v>
      </c>
      <c r="AT22" s="28"/>
      <c r="AU22" s="3">
        <v>2.2999999999999998</v>
      </c>
      <c r="AV22" s="10">
        <v>10</v>
      </c>
      <c r="AW22" s="20"/>
      <c r="AX22" s="28"/>
      <c r="AY22" s="3"/>
      <c r="AZ22" s="10"/>
      <c r="BA22" s="20"/>
      <c r="BB22" s="28"/>
      <c r="BC22" s="3"/>
      <c r="BD22" s="10"/>
      <c r="BE22" s="23"/>
      <c r="BF22" s="28"/>
      <c r="BG22" s="3"/>
      <c r="BH22" s="10"/>
      <c r="BI22" s="23"/>
      <c r="BJ22" s="28"/>
      <c r="BK22" s="3"/>
      <c r="BL22" s="10"/>
    </row>
    <row r="23" spans="2:64" x14ac:dyDescent="0.3">
      <c r="B23" s="62">
        <f t="shared" si="0"/>
        <v>0</v>
      </c>
      <c r="C23" s="47">
        <f t="shared" si="1"/>
        <v>0</v>
      </c>
      <c r="D23" s="47">
        <f t="shared" si="2"/>
        <v>0</v>
      </c>
      <c r="E23" s="47">
        <f t="shared" si="3"/>
        <v>22.5</v>
      </c>
      <c r="F23" s="47">
        <f t="shared" si="4"/>
        <v>0</v>
      </c>
      <c r="G23" s="47">
        <f t="shared" si="5"/>
        <v>47.5</v>
      </c>
      <c r="H23" s="47">
        <f t="shared" si="6"/>
        <v>0</v>
      </c>
      <c r="I23" s="47">
        <f t="shared" si="7"/>
        <v>0</v>
      </c>
      <c r="J23" s="47">
        <f t="shared" si="8"/>
        <v>0</v>
      </c>
      <c r="K23" s="63">
        <f t="shared" si="9"/>
        <v>0</v>
      </c>
      <c r="L23" s="55">
        <f t="shared" si="10"/>
        <v>35.068523895692181</v>
      </c>
      <c r="N23" s="33">
        <v>4</v>
      </c>
      <c r="O23" s="27">
        <v>893</v>
      </c>
      <c r="P23" s="88" t="s">
        <v>168</v>
      </c>
      <c r="Q23" s="87" t="s">
        <v>170</v>
      </c>
      <c r="R23" s="37"/>
      <c r="S23" s="20"/>
      <c r="T23" s="3"/>
      <c r="U23" s="3"/>
      <c r="V23" s="3"/>
      <c r="W23" s="3"/>
      <c r="X23" s="10"/>
      <c r="Y23" s="17"/>
      <c r="Z23" s="2"/>
      <c r="AA23" s="2"/>
      <c r="AB23" s="2"/>
      <c r="AC23" s="3"/>
      <c r="AD23" s="37"/>
      <c r="AE23" s="9">
        <v>3</v>
      </c>
      <c r="AF23" s="2">
        <v>4</v>
      </c>
      <c r="AG23" s="2">
        <v>0</v>
      </c>
      <c r="AH23" s="2"/>
      <c r="AI23" s="3"/>
      <c r="AJ23" s="10">
        <v>10</v>
      </c>
      <c r="AK23" s="28">
        <v>9</v>
      </c>
      <c r="AL23" s="3"/>
      <c r="AM23" s="3">
        <v>2.5</v>
      </c>
      <c r="AN23" s="10">
        <v>10</v>
      </c>
      <c r="AO23" s="28"/>
      <c r="AP23" s="28"/>
      <c r="AQ23" s="3"/>
      <c r="AR23" s="10"/>
      <c r="AS23" s="20">
        <v>19</v>
      </c>
      <c r="AT23" s="28"/>
      <c r="AU23" s="3">
        <v>2.5</v>
      </c>
      <c r="AV23" s="10">
        <v>10</v>
      </c>
      <c r="AW23" s="20"/>
      <c r="AX23" s="28"/>
      <c r="AY23" s="3"/>
      <c r="AZ23" s="10"/>
      <c r="BA23" s="20"/>
      <c r="BB23" s="28"/>
      <c r="BC23" s="3"/>
      <c r="BD23" s="10"/>
      <c r="BE23" s="23"/>
      <c r="BF23" s="28"/>
      <c r="BG23" s="3"/>
      <c r="BH23" s="10"/>
      <c r="BI23" s="23"/>
      <c r="BJ23" s="28"/>
      <c r="BK23" s="3"/>
      <c r="BL23" s="10"/>
    </row>
    <row r="24" spans="2:64" x14ac:dyDescent="0.3">
      <c r="B24" s="62">
        <f t="shared" si="0"/>
        <v>0</v>
      </c>
      <c r="C24" s="47">
        <f t="shared" si="1"/>
        <v>0</v>
      </c>
      <c r="D24" s="47">
        <f t="shared" si="2"/>
        <v>0</v>
      </c>
      <c r="E24" s="47">
        <f t="shared" si="3"/>
        <v>0</v>
      </c>
      <c r="F24" s="47">
        <f t="shared" si="4"/>
        <v>0</v>
      </c>
      <c r="G24" s="47">
        <f t="shared" si="5"/>
        <v>0</v>
      </c>
      <c r="H24" s="47">
        <f t="shared" si="6"/>
        <v>0</v>
      </c>
      <c r="I24" s="47">
        <f t="shared" si="7"/>
        <v>0</v>
      </c>
      <c r="J24" s="47">
        <f t="shared" si="8"/>
        <v>0</v>
      </c>
      <c r="K24" s="63">
        <f t="shared" si="9"/>
        <v>0</v>
      </c>
      <c r="L24" s="55">
        <f t="shared" si="10"/>
        <v>0</v>
      </c>
      <c r="N24" s="33">
        <v>5</v>
      </c>
      <c r="O24" s="28"/>
      <c r="P24" s="88"/>
      <c r="Q24" s="88"/>
      <c r="R24" s="37"/>
      <c r="S24" s="20"/>
      <c r="T24" s="3"/>
      <c r="U24" s="3"/>
      <c r="V24" s="3"/>
      <c r="W24" s="3"/>
      <c r="X24" s="10"/>
      <c r="Y24" s="17"/>
      <c r="Z24" s="2"/>
      <c r="AA24" s="2"/>
      <c r="AB24" s="2"/>
      <c r="AC24" s="3"/>
      <c r="AD24" s="37"/>
      <c r="AE24" s="9"/>
      <c r="AF24" s="2"/>
      <c r="AG24" s="2"/>
      <c r="AH24" s="2"/>
      <c r="AI24" s="3"/>
      <c r="AJ24" s="10"/>
      <c r="AK24" s="28"/>
      <c r="AL24" s="3"/>
      <c r="AM24" s="3"/>
      <c r="AN24" s="10"/>
      <c r="AO24" s="28"/>
      <c r="AP24" s="28"/>
      <c r="AQ24" s="3"/>
      <c r="AR24" s="10"/>
      <c r="AS24" s="20"/>
      <c r="AT24" s="28"/>
      <c r="AU24" s="3"/>
      <c r="AV24" s="10"/>
      <c r="AW24" s="20"/>
      <c r="AX24" s="28"/>
      <c r="AY24" s="3"/>
      <c r="AZ24" s="10"/>
      <c r="BA24" s="20"/>
      <c r="BB24" s="28"/>
      <c r="BC24" s="3"/>
      <c r="BD24" s="10"/>
      <c r="BE24" s="23"/>
      <c r="BF24" s="28"/>
      <c r="BG24" s="3"/>
      <c r="BH24" s="10"/>
      <c r="BI24" s="20"/>
      <c r="BJ24" s="28"/>
      <c r="BK24" s="3"/>
      <c r="BL24" s="10"/>
    </row>
    <row r="25" spans="2:64" x14ac:dyDescent="0.3">
      <c r="B25" s="62">
        <f t="shared" si="0"/>
        <v>0</v>
      </c>
      <c r="C25" s="47">
        <f t="shared" si="1"/>
        <v>0</v>
      </c>
      <c r="D25" s="47">
        <f t="shared" si="2"/>
        <v>0</v>
      </c>
      <c r="E25" s="47">
        <f t="shared" si="3"/>
        <v>0</v>
      </c>
      <c r="F25" s="47">
        <f t="shared" si="4"/>
        <v>0</v>
      </c>
      <c r="G25" s="47">
        <f t="shared" si="5"/>
        <v>0</v>
      </c>
      <c r="H25" s="47">
        <f t="shared" si="6"/>
        <v>0</v>
      </c>
      <c r="I25" s="47">
        <f t="shared" si="7"/>
        <v>0</v>
      </c>
      <c r="J25" s="47">
        <f t="shared" si="8"/>
        <v>0</v>
      </c>
      <c r="K25" s="63">
        <f t="shared" si="9"/>
        <v>0</v>
      </c>
      <c r="L25" s="55">
        <f t="shared" si="10"/>
        <v>0</v>
      </c>
      <c r="N25" s="33">
        <v>6</v>
      </c>
      <c r="O25" s="28"/>
      <c r="P25" s="88"/>
      <c r="Q25" s="88"/>
      <c r="R25" s="37"/>
      <c r="S25" s="20"/>
      <c r="T25" s="3"/>
      <c r="U25" s="3"/>
      <c r="V25" s="3"/>
      <c r="W25" s="3"/>
      <c r="X25" s="10"/>
      <c r="Y25" s="17"/>
      <c r="Z25" s="2"/>
      <c r="AA25" s="2"/>
      <c r="AB25" s="2"/>
      <c r="AC25" s="3"/>
      <c r="AD25" s="37"/>
      <c r="AE25" s="9"/>
      <c r="AF25" s="2"/>
      <c r="AG25" s="2"/>
      <c r="AH25" s="2"/>
      <c r="AI25" s="3"/>
      <c r="AJ25" s="10"/>
      <c r="AK25" s="28"/>
      <c r="AL25" s="3"/>
      <c r="AM25" s="3"/>
      <c r="AN25" s="10"/>
      <c r="AO25" s="28"/>
      <c r="AP25" s="28"/>
      <c r="AQ25" s="3"/>
      <c r="AR25" s="10"/>
      <c r="AS25" s="20"/>
      <c r="AT25" s="28"/>
      <c r="AU25" s="3"/>
      <c r="AV25" s="10"/>
      <c r="AW25" s="20"/>
      <c r="AX25" s="28"/>
      <c r="AY25" s="3"/>
      <c r="AZ25" s="10"/>
      <c r="BA25" s="20"/>
      <c r="BB25" s="28"/>
      <c r="BC25" s="3"/>
      <c r="BD25" s="10"/>
      <c r="BE25" s="23"/>
      <c r="BF25" s="28"/>
      <c r="BG25" s="3"/>
      <c r="BH25" s="10"/>
      <c r="BI25" s="20"/>
      <c r="BJ25" s="28"/>
      <c r="BK25" s="3"/>
      <c r="BL25" s="10"/>
    </row>
    <row r="26" spans="2:64" x14ac:dyDescent="0.3">
      <c r="B26" s="62">
        <f t="shared" si="0"/>
        <v>0</v>
      </c>
      <c r="C26" s="47">
        <f t="shared" si="1"/>
        <v>0</v>
      </c>
      <c r="D26" s="47">
        <f t="shared" si="2"/>
        <v>0</v>
      </c>
      <c r="E26" s="47">
        <f t="shared" si="3"/>
        <v>0</v>
      </c>
      <c r="F26" s="47">
        <f t="shared" si="4"/>
        <v>0</v>
      </c>
      <c r="G26" s="47">
        <f t="shared" si="5"/>
        <v>0</v>
      </c>
      <c r="H26" s="47">
        <f t="shared" si="6"/>
        <v>0</v>
      </c>
      <c r="I26" s="47">
        <f t="shared" si="7"/>
        <v>0</v>
      </c>
      <c r="J26" s="47">
        <f t="shared" si="8"/>
        <v>0</v>
      </c>
      <c r="K26" s="63">
        <f t="shared" si="9"/>
        <v>0</v>
      </c>
      <c r="L26" s="55">
        <f t="shared" si="10"/>
        <v>0</v>
      </c>
      <c r="N26" s="33">
        <v>7</v>
      </c>
      <c r="O26" s="27"/>
      <c r="P26" s="87"/>
      <c r="Q26" s="87"/>
      <c r="R26" s="37"/>
      <c r="S26" s="20"/>
      <c r="T26" s="3"/>
      <c r="U26" s="3"/>
      <c r="V26" s="3"/>
      <c r="W26" s="3"/>
      <c r="X26" s="10"/>
      <c r="Y26" s="17"/>
      <c r="Z26" s="2"/>
      <c r="AA26" s="2"/>
      <c r="AB26" s="2"/>
      <c r="AC26" s="3"/>
      <c r="AD26" s="37"/>
      <c r="AE26" s="9"/>
      <c r="AF26" s="2"/>
      <c r="AG26" s="2"/>
      <c r="AH26" s="2"/>
      <c r="AI26" s="3"/>
      <c r="AJ26" s="10"/>
      <c r="AK26" s="28"/>
      <c r="AL26" s="3"/>
      <c r="AM26" s="3"/>
      <c r="AN26" s="10"/>
      <c r="AO26" s="28"/>
      <c r="AP26" s="28"/>
      <c r="AQ26" s="3"/>
      <c r="AR26" s="10"/>
      <c r="AS26" s="20"/>
      <c r="AT26" s="28"/>
      <c r="AU26" s="3"/>
      <c r="AV26" s="10"/>
      <c r="AW26" s="20"/>
      <c r="AX26" s="28"/>
      <c r="AY26" s="3"/>
      <c r="AZ26" s="10"/>
      <c r="BA26" s="20"/>
      <c r="BB26" s="28"/>
      <c r="BC26" s="3"/>
      <c r="BD26" s="10"/>
      <c r="BE26" s="23"/>
      <c r="BF26" s="28"/>
      <c r="BG26" s="3"/>
      <c r="BH26" s="10"/>
      <c r="BI26" s="20"/>
      <c r="BJ26" s="28"/>
      <c r="BK26" s="3"/>
      <c r="BL26" s="10"/>
    </row>
    <row r="27" spans="2:64" x14ac:dyDescent="0.3">
      <c r="B27" s="62">
        <f t="shared" si="0"/>
        <v>0</v>
      </c>
      <c r="C27" s="47">
        <f t="shared" si="1"/>
        <v>0</v>
      </c>
      <c r="D27" s="47">
        <f t="shared" si="2"/>
        <v>0</v>
      </c>
      <c r="E27" s="47">
        <f t="shared" si="3"/>
        <v>0</v>
      </c>
      <c r="F27" s="47">
        <f t="shared" si="4"/>
        <v>0</v>
      </c>
      <c r="G27" s="47">
        <f t="shared" si="5"/>
        <v>0</v>
      </c>
      <c r="H27" s="47">
        <f t="shared" si="6"/>
        <v>0</v>
      </c>
      <c r="I27" s="47">
        <f t="shared" si="7"/>
        <v>0</v>
      </c>
      <c r="J27" s="47">
        <f t="shared" si="8"/>
        <v>0</v>
      </c>
      <c r="K27" s="63">
        <f t="shared" si="9"/>
        <v>0</v>
      </c>
      <c r="L27" s="55">
        <f t="shared" si="10"/>
        <v>0</v>
      </c>
      <c r="N27" s="33">
        <v>8</v>
      </c>
      <c r="O27" s="28"/>
      <c r="P27" s="88"/>
      <c r="Q27" s="88"/>
      <c r="R27" s="37"/>
      <c r="S27" s="20"/>
      <c r="T27" s="3"/>
      <c r="U27" s="3"/>
      <c r="V27" s="3"/>
      <c r="W27" s="3"/>
      <c r="X27" s="10"/>
      <c r="Y27" s="17"/>
      <c r="Z27" s="2"/>
      <c r="AA27" s="2"/>
      <c r="AB27" s="2"/>
      <c r="AC27" s="3"/>
      <c r="AD27" s="37"/>
      <c r="AE27" s="9"/>
      <c r="AF27" s="2"/>
      <c r="AG27" s="2"/>
      <c r="AH27" s="2"/>
      <c r="AI27" s="3"/>
      <c r="AJ27" s="10"/>
      <c r="AK27" s="28"/>
      <c r="AL27" s="3"/>
      <c r="AM27" s="3"/>
      <c r="AN27" s="10"/>
      <c r="AO27" s="28"/>
      <c r="AP27" s="28"/>
      <c r="AQ27" s="3"/>
      <c r="AR27" s="10"/>
      <c r="AS27" s="20"/>
      <c r="AT27" s="28"/>
      <c r="AU27" s="3"/>
      <c r="AV27" s="10"/>
      <c r="AW27" s="20"/>
      <c r="AX27" s="28"/>
      <c r="AY27" s="3"/>
      <c r="AZ27" s="10"/>
      <c r="BA27" s="20"/>
      <c r="BB27" s="28"/>
      <c r="BC27" s="3"/>
      <c r="BD27" s="10"/>
      <c r="BE27" s="23"/>
      <c r="BF27" s="28"/>
      <c r="BG27" s="3"/>
      <c r="BH27" s="10"/>
      <c r="BI27" s="20"/>
      <c r="BJ27" s="28"/>
      <c r="BK27" s="3"/>
      <c r="BL27" s="10"/>
    </row>
    <row r="28" spans="2:64" x14ac:dyDescent="0.3">
      <c r="B28" s="62">
        <f t="shared" si="0"/>
        <v>0</v>
      </c>
      <c r="C28" s="47">
        <f t="shared" si="1"/>
        <v>0</v>
      </c>
      <c r="D28" s="47">
        <f t="shared" si="2"/>
        <v>0</v>
      </c>
      <c r="E28" s="47">
        <f t="shared" si="3"/>
        <v>0</v>
      </c>
      <c r="F28" s="47">
        <f t="shared" si="4"/>
        <v>0</v>
      </c>
      <c r="G28" s="47">
        <f t="shared" si="5"/>
        <v>0</v>
      </c>
      <c r="H28" s="47">
        <f t="shared" si="6"/>
        <v>0</v>
      </c>
      <c r="I28" s="47">
        <f t="shared" si="7"/>
        <v>0</v>
      </c>
      <c r="J28" s="47">
        <f t="shared" si="8"/>
        <v>0</v>
      </c>
      <c r="K28" s="63">
        <f t="shared" si="9"/>
        <v>0</v>
      </c>
      <c r="L28" s="55">
        <f t="shared" si="10"/>
        <v>0</v>
      </c>
      <c r="N28" s="33">
        <v>9</v>
      </c>
      <c r="O28" s="28"/>
      <c r="P28" s="88"/>
      <c r="Q28" s="88"/>
      <c r="R28" s="37"/>
      <c r="S28" s="20"/>
      <c r="T28" s="3"/>
      <c r="U28" s="3"/>
      <c r="V28" s="3"/>
      <c r="W28" s="3"/>
      <c r="X28" s="10"/>
      <c r="Y28" s="17"/>
      <c r="Z28" s="2"/>
      <c r="AA28" s="2"/>
      <c r="AB28" s="2"/>
      <c r="AC28" s="3"/>
      <c r="AD28" s="37"/>
      <c r="AE28" s="9"/>
      <c r="AF28" s="2"/>
      <c r="AG28" s="2"/>
      <c r="AH28" s="2"/>
      <c r="AI28" s="3"/>
      <c r="AJ28" s="10"/>
      <c r="AK28" s="28"/>
      <c r="AL28" s="3"/>
      <c r="AM28" s="3"/>
      <c r="AN28" s="10"/>
      <c r="AO28" s="28"/>
      <c r="AP28" s="28"/>
      <c r="AQ28" s="3"/>
      <c r="AR28" s="10"/>
      <c r="AS28" s="20"/>
      <c r="AT28" s="28"/>
      <c r="AU28" s="3"/>
      <c r="AV28" s="10"/>
      <c r="AW28" s="20"/>
      <c r="AX28" s="28"/>
      <c r="AY28" s="3"/>
      <c r="AZ28" s="10"/>
      <c r="BA28" s="20"/>
      <c r="BB28" s="28"/>
      <c r="BC28" s="3"/>
      <c r="BD28" s="10"/>
      <c r="BE28" s="23"/>
      <c r="BF28" s="28"/>
      <c r="BG28" s="3"/>
      <c r="BH28" s="10"/>
      <c r="BI28" s="20"/>
      <c r="BJ28" s="28"/>
      <c r="BK28" s="3"/>
      <c r="BL28" s="10"/>
    </row>
    <row r="29" spans="2:64" x14ac:dyDescent="0.3">
      <c r="B29" s="62">
        <f t="shared" si="0"/>
        <v>0</v>
      </c>
      <c r="C29" s="47">
        <f t="shared" si="1"/>
        <v>0</v>
      </c>
      <c r="D29" s="47">
        <f t="shared" si="2"/>
        <v>0</v>
      </c>
      <c r="E29" s="47">
        <f t="shared" si="3"/>
        <v>0</v>
      </c>
      <c r="F29" s="47">
        <f t="shared" si="4"/>
        <v>0</v>
      </c>
      <c r="G29" s="47">
        <f t="shared" si="5"/>
        <v>0</v>
      </c>
      <c r="H29" s="47">
        <f t="shared" si="6"/>
        <v>0</v>
      </c>
      <c r="I29" s="47">
        <f t="shared" si="7"/>
        <v>0</v>
      </c>
      <c r="J29" s="47">
        <f t="shared" si="8"/>
        <v>0</v>
      </c>
      <c r="K29" s="63">
        <f t="shared" si="9"/>
        <v>0</v>
      </c>
      <c r="L29" s="55">
        <f t="shared" si="10"/>
        <v>0</v>
      </c>
      <c r="N29" s="33">
        <v>10</v>
      </c>
      <c r="O29" s="27"/>
      <c r="P29" s="87"/>
      <c r="Q29" s="87"/>
      <c r="R29" s="37"/>
      <c r="S29" s="20"/>
      <c r="T29" s="3"/>
      <c r="U29" s="3"/>
      <c r="V29" s="3"/>
      <c r="W29" s="3"/>
      <c r="X29" s="10"/>
      <c r="Y29" s="17"/>
      <c r="Z29" s="2"/>
      <c r="AA29" s="2"/>
      <c r="AB29" s="2"/>
      <c r="AC29" s="3"/>
      <c r="AD29" s="37"/>
      <c r="AE29" s="9"/>
      <c r="AF29" s="2"/>
      <c r="AG29" s="2"/>
      <c r="AH29" s="2"/>
      <c r="AI29" s="3"/>
      <c r="AJ29" s="10"/>
      <c r="AK29" s="28"/>
      <c r="AL29" s="3"/>
      <c r="AM29" s="3"/>
      <c r="AN29" s="10"/>
      <c r="AO29" s="28"/>
      <c r="AP29" s="28"/>
      <c r="AQ29" s="3"/>
      <c r="AR29" s="10"/>
      <c r="AS29" s="20"/>
      <c r="AT29" s="28"/>
      <c r="AU29" s="3"/>
      <c r="AV29" s="10"/>
      <c r="AW29" s="20"/>
      <c r="AX29" s="28"/>
      <c r="AY29" s="3"/>
      <c r="AZ29" s="10"/>
      <c r="BA29" s="20"/>
      <c r="BB29" s="28"/>
      <c r="BC29" s="3"/>
      <c r="BD29" s="10"/>
      <c r="BE29" s="23"/>
      <c r="BF29" s="28"/>
      <c r="BG29" s="3"/>
      <c r="BH29" s="10"/>
      <c r="BI29" s="20"/>
      <c r="BJ29" s="28"/>
      <c r="BK29" s="3"/>
      <c r="BL29" s="10"/>
    </row>
    <row r="30" spans="2:64" x14ac:dyDescent="0.3">
      <c r="B30" s="62">
        <f t="shared" si="0"/>
        <v>0</v>
      </c>
      <c r="C30" s="47">
        <f t="shared" si="1"/>
        <v>0</v>
      </c>
      <c r="D30" s="47">
        <f t="shared" si="2"/>
        <v>0</v>
      </c>
      <c r="E30" s="47">
        <f t="shared" si="3"/>
        <v>0</v>
      </c>
      <c r="F30" s="47">
        <f t="shared" si="4"/>
        <v>0</v>
      </c>
      <c r="G30" s="47">
        <f t="shared" si="5"/>
        <v>0</v>
      </c>
      <c r="H30" s="47">
        <f t="shared" si="6"/>
        <v>0</v>
      </c>
      <c r="I30" s="47">
        <f t="shared" si="7"/>
        <v>0</v>
      </c>
      <c r="J30" s="47">
        <f t="shared" si="8"/>
        <v>0</v>
      </c>
      <c r="K30" s="63">
        <f t="shared" si="9"/>
        <v>0</v>
      </c>
      <c r="L30" s="55">
        <f t="shared" si="10"/>
        <v>0</v>
      </c>
      <c r="N30" s="33">
        <v>11</v>
      </c>
      <c r="O30" s="28"/>
      <c r="P30" s="88"/>
      <c r="Q30" s="88"/>
      <c r="R30" s="37"/>
      <c r="S30" s="20"/>
      <c r="T30" s="3"/>
      <c r="U30" s="3"/>
      <c r="V30" s="3"/>
      <c r="W30" s="3"/>
      <c r="X30" s="10"/>
      <c r="Y30" s="17"/>
      <c r="Z30" s="2"/>
      <c r="AA30" s="2"/>
      <c r="AB30" s="2"/>
      <c r="AC30" s="3"/>
      <c r="AD30" s="37"/>
      <c r="AE30" s="9"/>
      <c r="AF30" s="2"/>
      <c r="AG30" s="2"/>
      <c r="AH30" s="2"/>
      <c r="AI30" s="3"/>
      <c r="AJ30" s="10"/>
      <c r="AK30" s="28"/>
      <c r="AL30" s="3"/>
      <c r="AM30" s="3"/>
      <c r="AN30" s="10"/>
      <c r="AO30" s="28"/>
      <c r="AP30" s="28"/>
      <c r="AQ30" s="3"/>
      <c r="AR30" s="10"/>
      <c r="AS30" s="20"/>
      <c r="AT30" s="28"/>
      <c r="AU30" s="3"/>
      <c r="AV30" s="10"/>
      <c r="AW30" s="20"/>
      <c r="AX30" s="28"/>
      <c r="AY30" s="3"/>
      <c r="AZ30" s="10"/>
      <c r="BA30" s="20"/>
      <c r="BB30" s="28"/>
      <c r="BC30" s="3"/>
      <c r="BD30" s="10"/>
      <c r="BE30" s="23"/>
      <c r="BF30" s="28"/>
      <c r="BG30" s="3"/>
      <c r="BH30" s="10"/>
      <c r="BI30" s="20"/>
      <c r="BJ30" s="28"/>
      <c r="BK30" s="3"/>
      <c r="BL30" s="10"/>
    </row>
    <row r="31" spans="2:64" x14ac:dyDescent="0.3">
      <c r="B31" s="62">
        <f t="shared" si="0"/>
        <v>0</v>
      </c>
      <c r="C31" s="47">
        <f t="shared" si="1"/>
        <v>0</v>
      </c>
      <c r="D31" s="47">
        <f t="shared" si="2"/>
        <v>0</v>
      </c>
      <c r="E31" s="47">
        <f t="shared" si="3"/>
        <v>0</v>
      </c>
      <c r="F31" s="47">
        <f t="shared" si="4"/>
        <v>0</v>
      </c>
      <c r="G31" s="47">
        <f t="shared" si="5"/>
        <v>0</v>
      </c>
      <c r="H31" s="47">
        <f t="shared" si="6"/>
        <v>0</v>
      </c>
      <c r="I31" s="47">
        <f t="shared" si="7"/>
        <v>0</v>
      </c>
      <c r="J31" s="47">
        <f t="shared" si="8"/>
        <v>0</v>
      </c>
      <c r="K31" s="63">
        <f t="shared" si="9"/>
        <v>0</v>
      </c>
      <c r="L31" s="55">
        <f t="shared" si="10"/>
        <v>0</v>
      </c>
      <c r="N31" s="33">
        <v>12</v>
      </c>
      <c r="O31" s="28"/>
      <c r="P31" s="88"/>
      <c r="Q31" s="88"/>
      <c r="R31" s="37"/>
      <c r="S31" s="20"/>
      <c r="T31" s="3"/>
      <c r="U31" s="3"/>
      <c r="V31" s="3"/>
      <c r="W31" s="3"/>
      <c r="X31" s="10"/>
      <c r="Y31" s="17"/>
      <c r="Z31" s="2"/>
      <c r="AA31" s="2"/>
      <c r="AB31" s="2"/>
      <c r="AC31" s="3"/>
      <c r="AD31" s="37"/>
      <c r="AE31" s="9"/>
      <c r="AF31" s="2"/>
      <c r="AG31" s="2"/>
      <c r="AH31" s="2"/>
      <c r="AI31" s="3"/>
      <c r="AJ31" s="10"/>
      <c r="AK31" s="28"/>
      <c r="AL31" s="3"/>
      <c r="AM31" s="3"/>
      <c r="AN31" s="10"/>
      <c r="AO31" s="28"/>
      <c r="AP31" s="28"/>
      <c r="AQ31" s="3"/>
      <c r="AR31" s="10"/>
      <c r="AS31" s="20"/>
      <c r="AT31" s="28"/>
      <c r="AU31" s="3"/>
      <c r="AV31" s="10"/>
      <c r="AW31" s="20"/>
      <c r="AX31" s="28"/>
      <c r="AY31" s="3"/>
      <c r="AZ31" s="10"/>
      <c r="BA31" s="20"/>
      <c r="BB31" s="28"/>
      <c r="BC31" s="3"/>
      <c r="BD31" s="10"/>
      <c r="BE31" s="23"/>
      <c r="BF31" s="28"/>
      <c r="BG31" s="3"/>
      <c r="BH31" s="10"/>
      <c r="BI31" s="20"/>
      <c r="BJ31" s="28"/>
      <c r="BK31" s="3"/>
      <c r="BL31" s="10"/>
    </row>
    <row r="32" spans="2:64" x14ac:dyDescent="0.3">
      <c r="B32" s="62">
        <f t="shared" si="0"/>
        <v>0</v>
      </c>
      <c r="C32" s="47">
        <f t="shared" si="1"/>
        <v>0</v>
      </c>
      <c r="D32" s="47">
        <f t="shared" si="2"/>
        <v>0</v>
      </c>
      <c r="E32" s="47">
        <f t="shared" si="3"/>
        <v>0</v>
      </c>
      <c r="F32" s="47">
        <f t="shared" si="4"/>
        <v>0</v>
      </c>
      <c r="G32" s="47">
        <f t="shared" si="5"/>
        <v>0</v>
      </c>
      <c r="H32" s="47">
        <f t="shared" si="6"/>
        <v>0</v>
      </c>
      <c r="I32" s="47">
        <f t="shared" si="7"/>
        <v>0</v>
      </c>
      <c r="J32" s="47">
        <f t="shared" si="8"/>
        <v>0</v>
      </c>
      <c r="K32" s="63">
        <f t="shared" si="9"/>
        <v>0</v>
      </c>
      <c r="L32" s="55">
        <f t="shared" si="10"/>
        <v>0</v>
      </c>
      <c r="N32" s="33">
        <v>13</v>
      </c>
      <c r="O32" s="28"/>
      <c r="P32" s="88"/>
      <c r="Q32" s="88"/>
      <c r="R32" s="37"/>
      <c r="S32" s="20"/>
      <c r="T32" s="3"/>
      <c r="U32" s="3"/>
      <c r="V32" s="3"/>
      <c r="W32" s="3"/>
      <c r="X32" s="10"/>
      <c r="Y32" s="17"/>
      <c r="Z32" s="2"/>
      <c r="AA32" s="2"/>
      <c r="AB32" s="2"/>
      <c r="AC32" s="3"/>
      <c r="AD32" s="37"/>
      <c r="AE32" s="9"/>
      <c r="AF32" s="2"/>
      <c r="AG32" s="2"/>
      <c r="AH32" s="2"/>
      <c r="AI32" s="3"/>
      <c r="AJ32" s="10"/>
      <c r="AK32" s="28"/>
      <c r="AL32" s="3"/>
      <c r="AM32" s="3"/>
      <c r="AN32" s="10"/>
      <c r="AO32" s="28"/>
      <c r="AP32" s="28"/>
      <c r="AQ32" s="3"/>
      <c r="AR32" s="10"/>
      <c r="AS32" s="20"/>
      <c r="AT32" s="28"/>
      <c r="AU32" s="3"/>
      <c r="AV32" s="10"/>
      <c r="AW32" s="20"/>
      <c r="AX32" s="28"/>
      <c r="AY32" s="3"/>
      <c r="AZ32" s="10"/>
      <c r="BA32" s="20"/>
      <c r="BB32" s="28"/>
      <c r="BC32" s="3"/>
      <c r="BD32" s="10"/>
      <c r="BE32" s="23"/>
      <c r="BF32" s="28"/>
      <c r="BG32" s="3"/>
      <c r="BH32" s="10"/>
      <c r="BI32" s="20"/>
      <c r="BJ32" s="28"/>
      <c r="BK32" s="3"/>
      <c r="BL32" s="10"/>
    </row>
    <row r="33" spans="2:64" x14ac:dyDescent="0.3">
      <c r="B33" s="62">
        <f t="shared" si="0"/>
        <v>0</v>
      </c>
      <c r="C33" s="47">
        <f t="shared" si="1"/>
        <v>0</v>
      </c>
      <c r="D33" s="47">
        <f t="shared" si="2"/>
        <v>0</v>
      </c>
      <c r="E33" s="47">
        <f t="shared" si="3"/>
        <v>0</v>
      </c>
      <c r="F33" s="47">
        <f t="shared" si="4"/>
        <v>0</v>
      </c>
      <c r="G33" s="47">
        <f t="shared" si="5"/>
        <v>0</v>
      </c>
      <c r="H33" s="47">
        <f t="shared" si="6"/>
        <v>0</v>
      </c>
      <c r="I33" s="47">
        <f t="shared" si="7"/>
        <v>0</v>
      </c>
      <c r="J33" s="47">
        <f t="shared" si="8"/>
        <v>0</v>
      </c>
      <c r="K33" s="63">
        <f t="shared" si="9"/>
        <v>0</v>
      </c>
      <c r="L33" s="55">
        <f t="shared" si="10"/>
        <v>0</v>
      </c>
      <c r="N33" s="33">
        <v>14</v>
      </c>
      <c r="O33" s="28"/>
      <c r="P33" s="88"/>
      <c r="Q33" s="88"/>
      <c r="R33" s="37"/>
      <c r="S33" s="20"/>
      <c r="T33" s="3"/>
      <c r="U33" s="3"/>
      <c r="V33" s="3"/>
      <c r="W33" s="3"/>
      <c r="X33" s="10"/>
      <c r="Y33" s="17"/>
      <c r="Z33" s="2"/>
      <c r="AA33" s="2"/>
      <c r="AB33" s="2"/>
      <c r="AC33" s="3"/>
      <c r="AD33" s="37"/>
      <c r="AE33" s="9"/>
      <c r="AF33" s="2"/>
      <c r="AG33" s="2"/>
      <c r="AH33" s="2"/>
      <c r="AI33" s="3"/>
      <c r="AJ33" s="10"/>
      <c r="AK33" s="28"/>
      <c r="AL33" s="3"/>
      <c r="AM33" s="3"/>
      <c r="AN33" s="10"/>
      <c r="AO33" s="28"/>
      <c r="AP33" s="28"/>
      <c r="AQ33" s="3"/>
      <c r="AR33" s="10"/>
      <c r="AS33" s="20"/>
      <c r="AT33" s="28"/>
      <c r="AU33" s="3"/>
      <c r="AV33" s="10"/>
      <c r="AW33" s="20"/>
      <c r="AX33" s="28"/>
      <c r="AY33" s="3"/>
      <c r="AZ33" s="10"/>
      <c r="BA33" s="20"/>
      <c r="BB33" s="28"/>
      <c r="BC33" s="3"/>
      <c r="BD33" s="10"/>
      <c r="BE33" s="23"/>
      <c r="BF33" s="28"/>
      <c r="BG33" s="3"/>
      <c r="BH33" s="10"/>
      <c r="BI33" s="20"/>
      <c r="BJ33" s="28"/>
      <c r="BK33" s="3"/>
      <c r="BL33" s="10"/>
    </row>
    <row r="34" spans="2:64" x14ac:dyDescent="0.3">
      <c r="B34" s="62">
        <f t="shared" si="0"/>
        <v>0</v>
      </c>
      <c r="C34" s="47">
        <f t="shared" si="1"/>
        <v>0</v>
      </c>
      <c r="D34" s="47">
        <f t="shared" si="2"/>
        <v>0</v>
      </c>
      <c r="E34" s="47">
        <f t="shared" si="3"/>
        <v>0</v>
      </c>
      <c r="F34" s="47">
        <f t="shared" si="4"/>
        <v>0</v>
      </c>
      <c r="G34" s="47">
        <f t="shared" si="5"/>
        <v>0</v>
      </c>
      <c r="H34" s="47">
        <f t="shared" si="6"/>
        <v>0</v>
      </c>
      <c r="I34" s="47">
        <f t="shared" si="7"/>
        <v>0</v>
      </c>
      <c r="J34" s="47">
        <f t="shared" si="8"/>
        <v>0</v>
      </c>
      <c r="K34" s="63">
        <f t="shared" si="9"/>
        <v>0</v>
      </c>
      <c r="L34" s="55">
        <f t="shared" si="10"/>
        <v>0</v>
      </c>
      <c r="N34" s="33">
        <v>15</v>
      </c>
      <c r="O34" s="28"/>
      <c r="P34" s="88"/>
      <c r="Q34" s="88"/>
      <c r="R34" s="37"/>
      <c r="S34" s="20"/>
      <c r="T34" s="3"/>
      <c r="U34" s="3"/>
      <c r="V34" s="3"/>
      <c r="W34" s="3"/>
      <c r="X34" s="10"/>
      <c r="Y34" s="17"/>
      <c r="Z34" s="2"/>
      <c r="AA34" s="2"/>
      <c r="AB34" s="2"/>
      <c r="AC34" s="3"/>
      <c r="AD34" s="37"/>
      <c r="AE34" s="9"/>
      <c r="AF34" s="2"/>
      <c r="AG34" s="2"/>
      <c r="AH34" s="2"/>
      <c r="AI34" s="3"/>
      <c r="AJ34" s="10"/>
      <c r="AK34" s="28"/>
      <c r="AL34" s="3"/>
      <c r="AM34" s="3"/>
      <c r="AN34" s="10"/>
      <c r="AO34" s="28"/>
      <c r="AP34" s="28"/>
      <c r="AQ34" s="3"/>
      <c r="AR34" s="10"/>
      <c r="AS34" s="20"/>
      <c r="AT34" s="28"/>
      <c r="AU34" s="3"/>
      <c r="AV34" s="10"/>
      <c r="AW34" s="20"/>
      <c r="AX34" s="28"/>
      <c r="AY34" s="3"/>
      <c r="AZ34" s="10"/>
      <c r="BA34" s="20"/>
      <c r="BB34" s="28"/>
      <c r="BC34" s="3"/>
      <c r="BD34" s="10"/>
      <c r="BE34" s="23"/>
      <c r="BF34" s="28"/>
      <c r="BG34" s="3"/>
      <c r="BH34" s="10"/>
      <c r="BI34" s="20"/>
      <c r="BJ34" s="28"/>
      <c r="BK34" s="3"/>
      <c r="BL34" s="10"/>
    </row>
    <row r="35" spans="2:64" x14ac:dyDescent="0.3">
      <c r="B35" s="62">
        <f t="shared" si="0"/>
        <v>0</v>
      </c>
      <c r="C35" s="47">
        <f t="shared" si="1"/>
        <v>0</v>
      </c>
      <c r="D35" s="47">
        <f t="shared" si="2"/>
        <v>0</v>
      </c>
      <c r="E35" s="47">
        <f t="shared" si="3"/>
        <v>0</v>
      </c>
      <c r="F35" s="47">
        <f t="shared" si="4"/>
        <v>0</v>
      </c>
      <c r="G35" s="47">
        <f t="shared" si="5"/>
        <v>0</v>
      </c>
      <c r="H35" s="47">
        <f t="shared" si="6"/>
        <v>0</v>
      </c>
      <c r="I35" s="47">
        <f t="shared" si="7"/>
        <v>0</v>
      </c>
      <c r="J35" s="47">
        <f t="shared" si="8"/>
        <v>0</v>
      </c>
      <c r="K35" s="63">
        <f t="shared" si="9"/>
        <v>0</v>
      </c>
      <c r="L35" s="55">
        <f t="shared" si="10"/>
        <v>0</v>
      </c>
      <c r="N35" s="33">
        <v>16</v>
      </c>
      <c r="O35" s="28"/>
      <c r="P35" s="88"/>
      <c r="Q35" s="88"/>
      <c r="R35" s="37"/>
      <c r="S35" s="20"/>
      <c r="T35" s="3"/>
      <c r="U35" s="3"/>
      <c r="V35" s="3"/>
      <c r="W35" s="3"/>
      <c r="X35" s="10"/>
      <c r="Y35" s="17"/>
      <c r="Z35" s="2"/>
      <c r="AA35" s="2"/>
      <c r="AB35" s="2"/>
      <c r="AC35" s="3"/>
      <c r="AD35" s="37"/>
      <c r="AE35" s="9"/>
      <c r="AF35" s="2"/>
      <c r="AG35" s="2"/>
      <c r="AH35" s="2"/>
      <c r="AI35" s="3"/>
      <c r="AJ35" s="10"/>
      <c r="AK35" s="28"/>
      <c r="AL35" s="3"/>
      <c r="AM35" s="3"/>
      <c r="AN35" s="10"/>
      <c r="AO35" s="28"/>
      <c r="AP35" s="28"/>
      <c r="AQ35" s="3"/>
      <c r="AR35" s="10"/>
      <c r="AS35" s="20"/>
      <c r="AT35" s="28"/>
      <c r="AU35" s="3"/>
      <c r="AV35" s="10"/>
      <c r="AW35" s="20"/>
      <c r="AX35" s="28"/>
      <c r="AY35" s="3"/>
      <c r="AZ35" s="10"/>
      <c r="BA35" s="20"/>
      <c r="BB35" s="28"/>
      <c r="BC35" s="3"/>
      <c r="BD35" s="10"/>
      <c r="BE35" s="23"/>
      <c r="BF35" s="28"/>
      <c r="BG35" s="3"/>
      <c r="BH35" s="10"/>
      <c r="BI35" s="20"/>
      <c r="BJ35" s="28"/>
      <c r="BK35" s="3"/>
      <c r="BL35" s="10"/>
    </row>
    <row r="36" spans="2:64" x14ac:dyDescent="0.3">
      <c r="B36" s="62">
        <f t="shared" si="0"/>
        <v>0</v>
      </c>
      <c r="C36" s="47">
        <f t="shared" si="1"/>
        <v>0</v>
      </c>
      <c r="D36" s="47">
        <f t="shared" si="2"/>
        <v>0</v>
      </c>
      <c r="E36" s="47">
        <f t="shared" si="3"/>
        <v>0</v>
      </c>
      <c r="F36" s="47">
        <f t="shared" si="4"/>
        <v>0</v>
      </c>
      <c r="G36" s="47">
        <f t="shared" si="5"/>
        <v>0</v>
      </c>
      <c r="H36" s="47">
        <f t="shared" si="6"/>
        <v>0</v>
      </c>
      <c r="I36" s="47">
        <f t="shared" si="7"/>
        <v>0</v>
      </c>
      <c r="J36" s="47">
        <f t="shared" si="8"/>
        <v>0</v>
      </c>
      <c r="K36" s="63">
        <f t="shared" si="9"/>
        <v>0</v>
      </c>
      <c r="L36" s="55">
        <f t="shared" si="10"/>
        <v>0</v>
      </c>
      <c r="N36" s="33">
        <v>17</v>
      </c>
      <c r="O36" s="28"/>
      <c r="P36" s="88"/>
      <c r="Q36" s="88"/>
      <c r="R36" s="37"/>
      <c r="S36" s="20"/>
      <c r="T36" s="3"/>
      <c r="U36" s="3"/>
      <c r="V36" s="3"/>
      <c r="W36" s="3"/>
      <c r="X36" s="10"/>
      <c r="Y36" s="17"/>
      <c r="Z36" s="2"/>
      <c r="AA36" s="2"/>
      <c r="AB36" s="2"/>
      <c r="AC36" s="3"/>
      <c r="AD36" s="37"/>
      <c r="AE36" s="9"/>
      <c r="AF36" s="2"/>
      <c r="AG36" s="2"/>
      <c r="AH36" s="2"/>
      <c r="AI36" s="3"/>
      <c r="AJ36" s="10"/>
      <c r="AK36" s="28"/>
      <c r="AL36" s="3"/>
      <c r="AM36" s="3"/>
      <c r="AN36" s="10"/>
      <c r="AO36" s="28"/>
      <c r="AP36" s="28"/>
      <c r="AQ36" s="3"/>
      <c r="AR36" s="10"/>
      <c r="AS36" s="20"/>
      <c r="AT36" s="28"/>
      <c r="AU36" s="3"/>
      <c r="AV36" s="10"/>
      <c r="AW36" s="20"/>
      <c r="AX36" s="28"/>
      <c r="AY36" s="3"/>
      <c r="AZ36" s="10"/>
      <c r="BA36" s="20"/>
      <c r="BB36" s="28"/>
      <c r="BC36" s="3"/>
      <c r="BD36" s="10"/>
      <c r="BE36" s="23"/>
      <c r="BF36" s="28"/>
      <c r="BG36" s="3"/>
      <c r="BH36" s="10"/>
      <c r="BI36" s="20"/>
      <c r="BJ36" s="28"/>
      <c r="BK36" s="3"/>
      <c r="BL36" s="10"/>
    </row>
    <row r="37" spans="2:64" x14ac:dyDescent="0.3">
      <c r="B37" s="62">
        <f t="shared" si="0"/>
        <v>0</v>
      </c>
      <c r="C37" s="47">
        <f t="shared" si="1"/>
        <v>0</v>
      </c>
      <c r="D37" s="47">
        <f t="shared" si="2"/>
        <v>0</v>
      </c>
      <c r="E37" s="47">
        <f t="shared" si="3"/>
        <v>0</v>
      </c>
      <c r="F37" s="47">
        <f t="shared" si="4"/>
        <v>0</v>
      </c>
      <c r="G37" s="47">
        <f t="shared" si="5"/>
        <v>0</v>
      </c>
      <c r="H37" s="47">
        <f t="shared" si="6"/>
        <v>0</v>
      </c>
      <c r="I37" s="47">
        <f t="shared" si="7"/>
        <v>0</v>
      </c>
      <c r="J37" s="47">
        <f t="shared" si="8"/>
        <v>0</v>
      </c>
      <c r="K37" s="63">
        <f t="shared" si="9"/>
        <v>0</v>
      </c>
      <c r="L37" s="55">
        <f t="shared" si="10"/>
        <v>0</v>
      </c>
      <c r="N37" s="33">
        <v>18</v>
      </c>
      <c r="O37" s="28"/>
      <c r="P37" s="88"/>
      <c r="Q37" s="88"/>
      <c r="R37" s="37"/>
      <c r="S37" s="20"/>
      <c r="T37" s="3"/>
      <c r="U37" s="3"/>
      <c r="V37" s="3"/>
      <c r="W37" s="3"/>
      <c r="X37" s="10"/>
      <c r="Y37" s="17"/>
      <c r="Z37" s="2"/>
      <c r="AA37" s="2"/>
      <c r="AB37" s="2"/>
      <c r="AC37" s="3"/>
      <c r="AD37" s="37"/>
      <c r="AE37" s="9"/>
      <c r="AF37" s="2"/>
      <c r="AG37" s="2"/>
      <c r="AH37" s="2"/>
      <c r="AI37" s="3"/>
      <c r="AJ37" s="10"/>
      <c r="AK37" s="28"/>
      <c r="AL37" s="3"/>
      <c r="AM37" s="3"/>
      <c r="AN37" s="10"/>
      <c r="AO37" s="28"/>
      <c r="AP37" s="28"/>
      <c r="AQ37" s="3"/>
      <c r="AR37" s="10"/>
      <c r="AS37" s="20"/>
      <c r="AT37" s="28"/>
      <c r="AU37" s="3"/>
      <c r="AV37" s="10"/>
      <c r="AW37" s="20"/>
      <c r="AX37" s="28"/>
      <c r="AY37" s="3"/>
      <c r="AZ37" s="10"/>
      <c r="BA37" s="20"/>
      <c r="BB37" s="28"/>
      <c r="BC37" s="3"/>
      <c r="BD37" s="10"/>
      <c r="BE37" s="23"/>
      <c r="BF37" s="28"/>
      <c r="BG37" s="3"/>
      <c r="BH37" s="10"/>
      <c r="BI37" s="20"/>
      <c r="BJ37" s="28"/>
      <c r="BK37" s="3"/>
      <c r="BL37" s="10"/>
    </row>
    <row r="38" spans="2:64" x14ac:dyDescent="0.3">
      <c r="B38" s="62">
        <f t="shared" si="0"/>
        <v>0</v>
      </c>
      <c r="C38" s="47">
        <f t="shared" si="1"/>
        <v>0</v>
      </c>
      <c r="D38" s="47">
        <f t="shared" si="2"/>
        <v>0</v>
      </c>
      <c r="E38" s="47">
        <f t="shared" si="3"/>
        <v>0</v>
      </c>
      <c r="F38" s="47">
        <f t="shared" si="4"/>
        <v>0</v>
      </c>
      <c r="G38" s="47">
        <f t="shared" si="5"/>
        <v>0</v>
      </c>
      <c r="H38" s="47">
        <f t="shared" si="6"/>
        <v>0</v>
      </c>
      <c r="I38" s="47">
        <f t="shared" si="7"/>
        <v>0</v>
      </c>
      <c r="J38" s="47">
        <f t="shared" si="8"/>
        <v>0</v>
      </c>
      <c r="K38" s="63">
        <f t="shared" si="9"/>
        <v>0</v>
      </c>
      <c r="L38" s="55">
        <f t="shared" si="10"/>
        <v>0</v>
      </c>
      <c r="N38" s="33">
        <v>19</v>
      </c>
      <c r="O38" s="28"/>
      <c r="P38" s="88"/>
      <c r="Q38" s="88"/>
      <c r="R38" s="37"/>
      <c r="S38" s="20"/>
      <c r="T38" s="3"/>
      <c r="U38" s="3"/>
      <c r="V38" s="3"/>
      <c r="W38" s="3"/>
      <c r="X38" s="10"/>
      <c r="Y38" s="17"/>
      <c r="Z38" s="2"/>
      <c r="AA38" s="2"/>
      <c r="AB38" s="2"/>
      <c r="AC38" s="3"/>
      <c r="AD38" s="37"/>
      <c r="AE38" s="9"/>
      <c r="AF38" s="2"/>
      <c r="AG38" s="2"/>
      <c r="AH38" s="2"/>
      <c r="AI38" s="3"/>
      <c r="AJ38" s="10"/>
      <c r="AK38" s="28"/>
      <c r="AL38" s="3"/>
      <c r="AM38" s="3"/>
      <c r="AN38" s="10"/>
      <c r="AO38" s="28"/>
      <c r="AP38" s="28"/>
      <c r="AQ38" s="3"/>
      <c r="AR38" s="10"/>
      <c r="AS38" s="20"/>
      <c r="AT38" s="28"/>
      <c r="AU38" s="3"/>
      <c r="AV38" s="10"/>
      <c r="AW38" s="20"/>
      <c r="AX38" s="28"/>
      <c r="AY38" s="3"/>
      <c r="AZ38" s="10"/>
      <c r="BA38" s="20"/>
      <c r="BB38" s="28"/>
      <c r="BC38" s="3"/>
      <c r="BD38" s="10"/>
      <c r="BE38" s="23"/>
      <c r="BF38" s="28"/>
      <c r="BG38" s="3"/>
      <c r="BH38" s="10"/>
      <c r="BI38" s="20"/>
      <c r="BJ38" s="28"/>
      <c r="BK38" s="3"/>
      <c r="BL38" s="10"/>
    </row>
    <row r="39" spans="2:64" x14ac:dyDescent="0.3">
      <c r="B39" s="62">
        <f t="shared" si="0"/>
        <v>0</v>
      </c>
      <c r="C39" s="47">
        <f t="shared" si="1"/>
        <v>0</v>
      </c>
      <c r="D39" s="47">
        <f t="shared" si="2"/>
        <v>0</v>
      </c>
      <c r="E39" s="47">
        <f t="shared" si="3"/>
        <v>0</v>
      </c>
      <c r="F39" s="47">
        <f t="shared" si="4"/>
        <v>0</v>
      </c>
      <c r="G39" s="47">
        <f t="shared" si="5"/>
        <v>0</v>
      </c>
      <c r="H39" s="47">
        <f t="shared" si="6"/>
        <v>0</v>
      </c>
      <c r="I39" s="47">
        <f t="shared" si="7"/>
        <v>0</v>
      </c>
      <c r="J39" s="47">
        <f t="shared" si="8"/>
        <v>0</v>
      </c>
      <c r="K39" s="63">
        <f t="shared" si="9"/>
        <v>0</v>
      </c>
      <c r="L39" s="55">
        <f t="shared" si="10"/>
        <v>0</v>
      </c>
      <c r="N39" s="33">
        <v>20</v>
      </c>
      <c r="O39" s="28"/>
      <c r="P39" s="88"/>
      <c r="Q39" s="88"/>
      <c r="R39" s="37"/>
      <c r="S39" s="20"/>
      <c r="T39" s="3"/>
      <c r="U39" s="3"/>
      <c r="V39" s="3"/>
      <c r="W39" s="3"/>
      <c r="X39" s="10"/>
      <c r="Y39" s="17"/>
      <c r="Z39" s="2"/>
      <c r="AA39" s="2"/>
      <c r="AB39" s="2"/>
      <c r="AC39" s="3"/>
      <c r="AD39" s="37"/>
      <c r="AE39" s="9"/>
      <c r="AF39" s="2"/>
      <c r="AG39" s="2"/>
      <c r="AH39" s="2"/>
      <c r="AI39" s="3"/>
      <c r="AJ39" s="10"/>
      <c r="AK39" s="28"/>
      <c r="AL39" s="3"/>
      <c r="AM39" s="3"/>
      <c r="AN39" s="10"/>
      <c r="AO39" s="28"/>
      <c r="AP39" s="28"/>
      <c r="AQ39" s="3"/>
      <c r="AR39" s="10"/>
      <c r="AS39" s="20"/>
      <c r="AT39" s="28"/>
      <c r="AU39" s="3"/>
      <c r="AV39" s="10"/>
      <c r="AW39" s="20"/>
      <c r="AX39" s="28"/>
      <c r="AY39" s="3"/>
      <c r="AZ39" s="10"/>
      <c r="BA39" s="20"/>
      <c r="BB39" s="28"/>
      <c r="BC39" s="3"/>
      <c r="BD39" s="10"/>
      <c r="BE39" s="23"/>
      <c r="BF39" s="28"/>
      <c r="BG39" s="3"/>
      <c r="BH39" s="10"/>
      <c r="BI39" s="20"/>
      <c r="BJ39" s="28"/>
      <c r="BK39" s="3"/>
      <c r="BL39" s="10"/>
    </row>
    <row r="40" spans="2:64" x14ac:dyDescent="0.3">
      <c r="B40" s="62">
        <f t="shared" si="0"/>
        <v>0</v>
      </c>
      <c r="C40" s="47">
        <f t="shared" si="1"/>
        <v>0</v>
      </c>
      <c r="D40" s="47">
        <f t="shared" si="2"/>
        <v>0</v>
      </c>
      <c r="E40" s="47">
        <f t="shared" si="3"/>
        <v>0</v>
      </c>
      <c r="F40" s="47">
        <f t="shared" si="4"/>
        <v>0</v>
      </c>
      <c r="G40" s="47">
        <f t="shared" si="5"/>
        <v>0</v>
      </c>
      <c r="H40" s="47">
        <f t="shared" si="6"/>
        <v>0</v>
      </c>
      <c r="I40" s="47">
        <f t="shared" si="7"/>
        <v>0</v>
      </c>
      <c r="J40" s="47">
        <f t="shared" si="8"/>
        <v>0</v>
      </c>
      <c r="K40" s="63">
        <f t="shared" si="9"/>
        <v>0</v>
      </c>
      <c r="L40" s="55">
        <f t="shared" si="10"/>
        <v>0</v>
      </c>
      <c r="N40" s="33">
        <v>21</v>
      </c>
      <c r="O40" s="28"/>
      <c r="P40" s="88"/>
      <c r="Q40" s="88"/>
      <c r="R40" s="37"/>
      <c r="S40" s="20"/>
      <c r="T40" s="3"/>
      <c r="U40" s="3"/>
      <c r="V40" s="3"/>
      <c r="W40" s="3"/>
      <c r="X40" s="10"/>
      <c r="Y40" s="17"/>
      <c r="Z40" s="2"/>
      <c r="AA40" s="2"/>
      <c r="AB40" s="2"/>
      <c r="AC40" s="3"/>
      <c r="AD40" s="37"/>
      <c r="AE40" s="9"/>
      <c r="AF40" s="2"/>
      <c r="AG40" s="2"/>
      <c r="AH40" s="2"/>
      <c r="AI40" s="3"/>
      <c r="AJ40" s="10"/>
      <c r="AK40" s="28"/>
      <c r="AL40" s="3"/>
      <c r="AM40" s="3"/>
      <c r="AN40" s="10"/>
      <c r="AO40" s="28"/>
      <c r="AP40" s="28"/>
      <c r="AQ40" s="3"/>
      <c r="AR40" s="10"/>
      <c r="AS40" s="20"/>
      <c r="AT40" s="28"/>
      <c r="AU40" s="3"/>
      <c r="AV40" s="10"/>
      <c r="AW40" s="20"/>
      <c r="AX40" s="28"/>
      <c r="AY40" s="3"/>
      <c r="AZ40" s="10"/>
      <c r="BA40" s="20"/>
      <c r="BB40" s="28"/>
      <c r="BC40" s="3"/>
      <c r="BD40" s="10"/>
      <c r="BE40" s="23"/>
      <c r="BF40" s="28"/>
      <c r="BG40" s="3"/>
      <c r="BH40" s="10"/>
      <c r="BI40" s="20"/>
      <c r="BJ40" s="28"/>
      <c r="BK40" s="3"/>
      <c r="BL40" s="10"/>
    </row>
    <row r="41" spans="2:64" x14ac:dyDescent="0.3">
      <c r="B41" s="62">
        <f t="shared" si="0"/>
        <v>0</v>
      </c>
      <c r="C41" s="47">
        <f t="shared" si="1"/>
        <v>0</v>
      </c>
      <c r="D41" s="47">
        <f t="shared" si="2"/>
        <v>0</v>
      </c>
      <c r="E41" s="47">
        <f t="shared" si="3"/>
        <v>0</v>
      </c>
      <c r="F41" s="47">
        <f t="shared" si="4"/>
        <v>0</v>
      </c>
      <c r="G41" s="47">
        <f t="shared" si="5"/>
        <v>0</v>
      </c>
      <c r="H41" s="47">
        <f t="shared" si="6"/>
        <v>0</v>
      </c>
      <c r="I41" s="47">
        <f t="shared" si="7"/>
        <v>0</v>
      </c>
      <c r="J41" s="47">
        <f t="shared" si="8"/>
        <v>0</v>
      </c>
      <c r="K41" s="63">
        <f t="shared" si="9"/>
        <v>0</v>
      </c>
      <c r="L41" s="55">
        <f t="shared" si="10"/>
        <v>0</v>
      </c>
      <c r="N41" s="33">
        <v>22</v>
      </c>
      <c r="O41" s="28"/>
      <c r="P41" s="88"/>
      <c r="Q41" s="88"/>
      <c r="R41" s="37"/>
      <c r="S41" s="20"/>
      <c r="T41" s="3"/>
      <c r="U41" s="3"/>
      <c r="V41" s="3"/>
      <c r="W41" s="3"/>
      <c r="X41" s="10"/>
      <c r="Y41" s="17"/>
      <c r="Z41" s="2"/>
      <c r="AA41" s="2"/>
      <c r="AB41" s="2"/>
      <c r="AC41" s="3"/>
      <c r="AD41" s="37"/>
      <c r="AE41" s="9"/>
      <c r="AF41" s="2"/>
      <c r="AG41" s="2"/>
      <c r="AH41" s="2"/>
      <c r="AI41" s="3"/>
      <c r="AJ41" s="10"/>
      <c r="AK41" s="28"/>
      <c r="AL41" s="3"/>
      <c r="AM41" s="3"/>
      <c r="AN41" s="10"/>
      <c r="AO41" s="28"/>
      <c r="AP41" s="28"/>
      <c r="AQ41" s="3"/>
      <c r="AR41" s="10"/>
      <c r="AS41" s="20"/>
      <c r="AT41" s="28"/>
      <c r="AU41" s="3"/>
      <c r="AV41" s="10"/>
      <c r="AW41" s="20"/>
      <c r="AX41" s="28"/>
      <c r="AY41" s="3"/>
      <c r="AZ41" s="10"/>
      <c r="BA41" s="20"/>
      <c r="BB41" s="28"/>
      <c r="BC41" s="3"/>
      <c r="BD41" s="10"/>
      <c r="BE41" s="23"/>
      <c r="BF41" s="28"/>
      <c r="BG41" s="3"/>
      <c r="BH41" s="10"/>
      <c r="BI41" s="20"/>
      <c r="BJ41" s="28"/>
      <c r="BK41" s="3"/>
      <c r="BL41" s="10"/>
    </row>
    <row r="42" spans="2:64" x14ac:dyDescent="0.3">
      <c r="B42" s="62">
        <f t="shared" si="0"/>
        <v>0</v>
      </c>
      <c r="C42" s="47">
        <f t="shared" si="1"/>
        <v>0</v>
      </c>
      <c r="D42" s="47">
        <f t="shared" si="2"/>
        <v>0</v>
      </c>
      <c r="E42" s="47">
        <f t="shared" si="3"/>
        <v>0</v>
      </c>
      <c r="F42" s="47">
        <f t="shared" si="4"/>
        <v>0</v>
      </c>
      <c r="G42" s="47">
        <f t="shared" si="5"/>
        <v>0</v>
      </c>
      <c r="H42" s="47">
        <f t="shared" si="6"/>
        <v>0</v>
      </c>
      <c r="I42" s="47">
        <f t="shared" si="7"/>
        <v>0</v>
      </c>
      <c r="J42" s="47">
        <f t="shared" si="8"/>
        <v>0</v>
      </c>
      <c r="K42" s="63">
        <f t="shared" si="9"/>
        <v>0</v>
      </c>
      <c r="L42" s="55">
        <f t="shared" si="10"/>
        <v>0</v>
      </c>
      <c r="N42" s="33">
        <v>23</v>
      </c>
      <c r="O42" s="28"/>
      <c r="P42" s="88"/>
      <c r="Q42" s="88"/>
      <c r="R42" s="37"/>
      <c r="S42" s="20"/>
      <c r="T42" s="3"/>
      <c r="U42" s="3"/>
      <c r="V42" s="3"/>
      <c r="W42" s="3"/>
      <c r="X42" s="10"/>
      <c r="Y42" s="17"/>
      <c r="Z42" s="2"/>
      <c r="AA42" s="2"/>
      <c r="AB42" s="2"/>
      <c r="AC42" s="3"/>
      <c r="AD42" s="37"/>
      <c r="AE42" s="9"/>
      <c r="AF42" s="2"/>
      <c r="AG42" s="2"/>
      <c r="AH42" s="2"/>
      <c r="AI42" s="3"/>
      <c r="AJ42" s="10"/>
      <c r="AK42" s="28"/>
      <c r="AL42" s="3"/>
      <c r="AM42" s="3"/>
      <c r="AN42" s="10"/>
      <c r="AO42" s="28"/>
      <c r="AP42" s="28"/>
      <c r="AQ42" s="3"/>
      <c r="AR42" s="10"/>
      <c r="AS42" s="20"/>
      <c r="AT42" s="28"/>
      <c r="AU42" s="3"/>
      <c r="AV42" s="10"/>
      <c r="AW42" s="20"/>
      <c r="AX42" s="28"/>
      <c r="AY42" s="3"/>
      <c r="AZ42" s="10"/>
      <c r="BA42" s="20"/>
      <c r="BB42" s="28"/>
      <c r="BC42" s="3"/>
      <c r="BD42" s="10"/>
      <c r="BE42" s="23"/>
      <c r="BF42" s="28"/>
      <c r="BG42" s="3"/>
      <c r="BH42" s="10"/>
      <c r="BI42" s="20"/>
      <c r="BJ42" s="28"/>
      <c r="BK42" s="3"/>
      <c r="BL42" s="10"/>
    </row>
    <row r="43" spans="2:64" x14ac:dyDescent="0.3">
      <c r="B43" s="62">
        <f t="shared" si="0"/>
        <v>0</v>
      </c>
      <c r="C43" s="47">
        <f t="shared" si="1"/>
        <v>0</v>
      </c>
      <c r="D43" s="47">
        <f t="shared" si="2"/>
        <v>0</v>
      </c>
      <c r="E43" s="47">
        <f t="shared" si="3"/>
        <v>0</v>
      </c>
      <c r="F43" s="47">
        <f t="shared" si="4"/>
        <v>0</v>
      </c>
      <c r="G43" s="47">
        <f t="shared" si="5"/>
        <v>0</v>
      </c>
      <c r="H43" s="47">
        <f t="shared" si="6"/>
        <v>0</v>
      </c>
      <c r="I43" s="47">
        <f t="shared" si="7"/>
        <v>0</v>
      </c>
      <c r="J43" s="47">
        <f t="shared" si="8"/>
        <v>0</v>
      </c>
      <c r="K43" s="63">
        <f t="shared" si="9"/>
        <v>0</v>
      </c>
      <c r="L43" s="55">
        <f t="shared" si="10"/>
        <v>0</v>
      </c>
      <c r="N43" s="33">
        <v>24</v>
      </c>
      <c r="O43" s="28"/>
      <c r="P43" s="88"/>
      <c r="Q43" s="88"/>
      <c r="R43" s="37"/>
      <c r="S43" s="20"/>
      <c r="T43" s="3"/>
      <c r="U43" s="3"/>
      <c r="V43" s="3"/>
      <c r="W43" s="3"/>
      <c r="X43" s="10"/>
      <c r="Y43" s="17"/>
      <c r="Z43" s="2"/>
      <c r="AA43" s="2"/>
      <c r="AB43" s="2"/>
      <c r="AC43" s="3"/>
      <c r="AD43" s="37"/>
      <c r="AE43" s="9"/>
      <c r="AF43" s="2"/>
      <c r="AG43" s="2"/>
      <c r="AH43" s="2"/>
      <c r="AI43" s="3"/>
      <c r="AJ43" s="10"/>
      <c r="AK43" s="28"/>
      <c r="AL43" s="3"/>
      <c r="AM43" s="3"/>
      <c r="AN43" s="10"/>
      <c r="AO43" s="28"/>
      <c r="AP43" s="28"/>
      <c r="AQ43" s="3"/>
      <c r="AR43" s="10"/>
      <c r="AS43" s="20"/>
      <c r="AT43" s="28"/>
      <c r="AU43" s="3"/>
      <c r="AV43" s="10"/>
      <c r="AW43" s="20"/>
      <c r="AX43" s="28"/>
      <c r="AY43" s="3"/>
      <c r="AZ43" s="10"/>
      <c r="BA43" s="20"/>
      <c r="BB43" s="28"/>
      <c r="BC43" s="3"/>
      <c r="BD43" s="10"/>
      <c r="BE43" s="23"/>
      <c r="BF43" s="28"/>
      <c r="BG43" s="3"/>
      <c r="BH43" s="10"/>
      <c r="BI43" s="20"/>
      <c r="BJ43" s="28"/>
      <c r="BK43" s="3"/>
      <c r="BL43" s="10"/>
    </row>
    <row r="44" spans="2:64" x14ac:dyDescent="0.3">
      <c r="B44" s="62">
        <f t="shared" si="0"/>
        <v>0</v>
      </c>
      <c r="C44" s="47">
        <f t="shared" si="1"/>
        <v>0</v>
      </c>
      <c r="D44" s="47">
        <f t="shared" si="2"/>
        <v>0</v>
      </c>
      <c r="E44" s="47">
        <f t="shared" si="3"/>
        <v>0</v>
      </c>
      <c r="F44" s="47">
        <f t="shared" si="4"/>
        <v>0</v>
      </c>
      <c r="G44" s="47">
        <f t="shared" si="5"/>
        <v>0</v>
      </c>
      <c r="H44" s="47">
        <f t="shared" si="6"/>
        <v>0</v>
      </c>
      <c r="I44" s="47">
        <f t="shared" si="7"/>
        <v>0</v>
      </c>
      <c r="J44" s="47">
        <f t="shared" si="8"/>
        <v>0</v>
      </c>
      <c r="K44" s="63">
        <f t="shared" si="9"/>
        <v>0</v>
      </c>
      <c r="L44" s="55">
        <f t="shared" si="10"/>
        <v>0</v>
      </c>
      <c r="N44" s="33">
        <v>25</v>
      </c>
      <c r="O44" s="28"/>
      <c r="P44" s="88"/>
      <c r="Q44" s="88"/>
      <c r="R44" s="37"/>
      <c r="S44" s="20"/>
      <c r="T44" s="3"/>
      <c r="U44" s="3"/>
      <c r="V44" s="3"/>
      <c r="W44" s="3"/>
      <c r="X44" s="10"/>
      <c r="Y44" s="17"/>
      <c r="Z44" s="2"/>
      <c r="AA44" s="2"/>
      <c r="AB44" s="2"/>
      <c r="AC44" s="3"/>
      <c r="AD44" s="37"/>
      <c r="AE44" s="9"/>
      <c r="AF44" s="2"/>
      <c r="AG44" s="2"/>
      <c r="AH44" s="2"/>
      <c r="AI44" s="3"/>
      <c r="AJ44" s="10"/>
      <c r="AK44" s="28"/>
      <c r="AL44" s="3"/>
      <c r="AM44" s="3"/>
      <c r="AN44" s="10"/>
      <c r="AO44" s="28"/>
      <c r="AP44" s="28"/>
      <c r="AQ44" s="3"/>
      <c r="AR44" s="10"/>
      <c r="AS44" s="20"/>
      <c r="AT44" s="28"/>
      <c r="AU44" s="3"/>
      <c r="AV44" s="10"/>
      <c r="AW44" s="20"/>
      <c r="AX44" s="28"/>
      <c r="AY44" s="3"/>
      <c r="AZ44" s="10"/>
      <c r="BA44" s="20"/>
      <c r="BB44" s="28"/>
      <c r="BC44" s="3"/>
      <c r="BD44" s="10"/>
      <c r="BE44" s="23"/>
      <c r="BF44" s="28"/>
      <c r="BG44" s="3"/>
      <c r="BH44" s="10"/>
      <c r="BI44" s="20"/>
      <c r="BJ44" s="28"/>
      <c r="BK44" s="3"/>
      <c r="BL44" s="10"/>
    </row>
    <row r="45" spans="2:64" x14ac:dyDescent="0.3">
      <c r="B45" s="62">
        <f t="shared" si="0"/>
        <v>0</v>
      </c>
      <c r="C45" s="47">
        <f t="shared" si="1"/>
        <v>0</v>
      </c>
      <c r="D45" s="47">
        <f t="shared" si="2"/>
        <v>0</v>
      </c>
      <c r="E45" s="47">
        <f t="shared" si="3"/>
        <v>0</v>
      </c>
      <c r="F45" s="47">
        <f t="shared" si="4"/>
        <v>0</v>
      </c>
      <c r="G45" s="47">
        <f t="shared" si="5"/>
        <v>0</v>
      </c>
      <c r="H45" s="47">
        <f t="shared" si="6"/>
        <v>0</v>
      </c>
      <c r="I45" s="47">
        <f t="shared" si="7"/>
        <v>0</v>
      </c>
      <c r="J45" s="47">
        <f t="shared" si="8"/>
        <v>0</v>
      </c>
      <c r="K45" s="63">
        <f t="shared" si="9"/>
        <v>0</v>
      </c>
      <c r="L45" s="55">
        <f t="shared" si="10"/>
        <v>0</v>
      </c>
      <c r="N45" s="33">
        <v>26</v>
      </c>
      <c r="O45" s="28"/>
      <c r="P45" s="88"/>
      <c r="Q45" s="88"/>
      <c r="R45" s="37"/>
      <c r="S45" s="20"/>
      <c r="T45" s="3"/>
      <c r="U45" s="3"/>
      <c r="V45" s="3"/>
      <c r="W45" s="3"/>
      <c r="X45" s="10"/>
      <c r="Y45" s="17"/>
      <c r="Z45" s="2"/>
      <c r="AA45" s="2"/>
      <c r="AB45" s="2"/>
      <c r="AC45" s="3"/>
      <c r="AD45" s="37"/>
      <c r="AE45" s="9"/>
      <c r="AF45" s="2"/>
      <c r="AG45" s="2"/>
      <c r="AH45" s="2"/>
      <c r="AI45" s="3"/>
      <c r="AJ45" s="10"/>
      <c r="AK45" s="28"/>
      <c r="AL45" s="3"/>
      <c r="AM45" s="3"/>
      <c r="AN45" s="10"/>
      <c r="AO45" s="28"/>
      <c r="AP45" s="28"/>
      <c r="AQ45" s="3"/>
      <c r="AR45" s="10"/>
      <c r="AS45" s="20"/>
      <c r="AT45" s="28"/>
      <c r="AU45" s="3"/>
      <c r="AV45" s="10"/>
      <c r="AW45" s="20"/>
      <c r="AX45" s="28"/>
      <c r="AY45" s="3"/>
      <c r="AZ45" s="10"/>
      <c r="BA45" s="20"/>
      <c r="BB45" s="28"/>
      <c r="BC45" s="3"/>
      <c r="BD45" s="10"/>
      <c r="BE45" s="23"/>
      <c r="BF45" s="28"/>
      <c r="BG45" s="3"/>
      <c r="BH45" s="10"/>
      <c r="BI45" s="20"/>
      <c r="BJ45" s="28"/>
      <c r="BK45" s="3"/>
      <c r="BL45" s="10"/>
    </row>
    <row r="46" spans="2:64" x14ac:dyDescent="0.3">
      <c r="B46" s="62">
        <f t="shared" si="0"/>
        <v>0</v>
      </c>
      <c r="C46" s="47">
        <f t="shared" si="1"/>
        <v>0</v>
      </c>
      <c r="D46" s="47">
        <f t="shared" si="2"/>
        <v>0</v>
      </c>
      <c r="E46" s="47">
        <f t="shared" si="3"/>
        <v>0</v>
      </c>
      <c r="F46" s="47">
        <f t="shared" si="4"/>
        <v>0</v>
      </c>
      <c r="G46" s="47">
        <f t="shared" si="5"/>
        <v>0</v>
      </c>
      <c r="H46" s="47">
        <f t="shared" si="6"/>
        <v>0</v>
      </c>
      <c r="I46" s="47">
        <f t="shared" si="7"/>
        <v>0</v>
      </c>
      <c r="J46" s="47">
        <f t="shared" si="8"/>
        <v>0</v>
      </c>
      <c r="K46" s="63">
        <f t="shared" si="9"/>
        <v>0</v>
      </c>
      <c r="L46" s="55">
        <f t="shared" si="10"/>
        <v>0</v>
      </c>
      <c r="N46" s="33">
        <v>27</v>
      </c>
      <c r="O46" s="28"/>
      <c r="P46" s="88"/>
      <c r="Q46" s="88"/>
      <c r="R46" s="37"/>
      <c r="S46" s="20"/>
      <c r="T46" s="3"/>
      <c r="U46" s="3"/>
      <c r="V46" s="3"/>
      <c r="W46" s="3"/>
      <c r="X46" s="10"/>
      <c r="Y46" s="17"/>
      <c r="Z46" s="2"/>
      <c r="AA46" s="2"/>
      <c r="AB46" s="2"/>
      <c r="AC46" s="3"/>
      <c r="AD46" s="37"/>
      <c r="AE46" s="9"/>
      <c r="AF46" s="2"/>
      <c r="AG46" s="2"/>
      <c r="AH46" s="2"/>
      <c r="AI46" s="3"/>
      <c r="AJ46" s="10"/>
      <c r="AK46" s="28"/>
      <c r="AL46" s="3"/>
      <c r="AM46" s="3"/>
      <c r="AN46" s="10"/>
      <c r="AO46" s="28"/>
      <c r="AP46" s="28"/>
      <c r="AQ46" s="3"/>
      <c r="AR46" s="10"/>
      <c r="AS46" s="20"/>
      <c r="AT46" s="28"/>
      <c r="AU46" s="3"/>
      <c r="AV46" s="10"/>
      <c r="AW46" s="20"/>
      <c r="AX46" s="28"/>
      <c r="AY46" s="3"/>
      <c r="AZ46" s="10"/>
      <c r="BA46" s="20"/>
      <c r="BB46" s="28"/>
      <c r="BC46" s="3"/>
      <c r="BD46" s="10"/>
      <c r="BE46" s="23"/>
      <c r="BF46" s="28"/>
      <c r="BG46" s="3"/>
      <c r="BH46" s="10"/>
      <c r="BI46" s="20"/>
      <c r="BJ46" s="28"/>
      <c r="BK46" s="3"/>
      <c r="BL46" s="10"/>
    </row>
    <row r="47" spans="2:64" x14ac:dyDescent="0.3">
      <c r="B47" s="62">
        <f t="shared" si="0"/>
        <v>0</v>
      </c>
      <c r="C47" s="47">
        <f t="shared" si="1"/>
        <v>0</v>
      </c>
      <c r="D47" s="47">
        <f t="shared" si="2"/>
        <v>0</v>
      </c>
      <c r="E47" s="47">
        <f t="shared" si="3"/>
        <v>0</v>
      </c>
      <c r="F47" s="47">
        <f t="shared" si="4"/>
        <v>0</v>
      </c>
      <c r="G47" s="47">
        <f t="shared" si="5"/>
        <v>0</v>
      </c>
      <c r="H47" s="47">
        <f t="shared" si="6"/>
        <v>0</v>
      </c>
      <c r="I47" s="47">
        <f t="shared" si="7"/>
        <v>0</v>
      </c>
      <c r="J47" s="47">
        <f t="shared" si="8"/>
        <v>0</v>
      </c>
      <c r="K47" s="63">
        <f t="shared" si="9"/>
        <v>0</v>
      </c>
      <c r="L47" s="55">
        <f t="shared" si="10"/>
        <v>0</v>
      </c>
      <c r="N47" s="33">
        <v>28</v>
      </c>
      <c r="O47" s="28"/>
      <c r="P47" s="88"/>
      <c r="Q47" s="88"/>
      <c r="R47" s="37"/>
      <c r="S47" s="20"/>
      <c r="T47" s="3"/>
      <c r="U47" s="3"/>
      <c r="V47" s="3"/>
      <c r="W47" s="3"/>
      <c r="X47" s="10"/>
      <c r="Y47" s="17"/>
      <c r="Z47" s="2"/>
      <c r="AA47" s="2"/>
      <c r="AB47" s="2"/>
      <c r="AC47" s="3"/>
      <c r="AD47" s="37"/>
      <c r="AE47" s="9"/>
      <c r="AF47" s="2"/>
      <c r="AG47" s="2"/>
      <c r="AH47" s="2"/>
      <c r="AI47" s="3"/>
      <c r="AJ47" s="10"/>
      <c r="AK47" s="28"/>
      <c r="AL47" s="3"/>
      <c r="AM47" s="3"/>
      <c r="AN47" s="10"/>
      <c r="AO47" s="28"/>
      <c r="AP47" s="28"/>
      <c r="AQ47" s="3"/>
      <c r="AR47" s="10"/>
      <c r="AS47" s="20"/>
      <c r="AT47" s="28"/>
      <c r="AU47" s="3"/>
      <c r="AV47" s="10"/>
      <c r="AW47" s="20"/>
      <c r="AX47" s="28"/>
      <c r="AY47" s="3"/>
      <c r="AZ47" s="10"/>
      <c r="BA47" s="20"/>
      <c r="BB47" s="28"/>
      <c r="BC47" s="3"/>
      <c r="BD47" s="10"/>
      <c r="BE47" s="23"/>
      <c r="BF47" s="28"/>
      <c r="BG47" s="3"/>
      <c r="BH47" s="10"/>
      <c r="BI47" s="20"/>
      <c r="BJ47" s="28"/>
      <c r="BK47" s="3"/>
      <c r="BL47" s="10"/>
    </row>
    <row r="48" spans="2:64" x14ac:dyDescent="0.3">
      <c r="B48" s="62">
        <f t="shared" si="0"/>
        <v>0</v>
      </c>
      <c r="C48" s="47">
        <f t="shared" si="1"/>
        <v>0</v>
      </c>
      <c r="D48" s="47">
        <f t="shared" si="2"/>
        <v>0</v>
      </c>
      <c r="E48" s="47">
        <f t="shared" si="3"/>
        <v>0</v>
      </c>
      <c r="F48" s="47">
        <f t="shared" si="4"/>
        <v>0</v>
      </c>
      <c r="G48" s="47">
        <f t="shared" si="5"/>
        <v>0</v>
      </c>
      <c r="H48" s="47">
        <f t="shared" si="6"/>
        <v>0</v>
      </c>
      <c r="I48" s="47">
        <f t="shared" si="7"/>
        <v>0</v>
      </c>
      <c r="J48" s="47">
        <f t="shared" si="8"/>
        <v>0</v>
      </c>
      <c r="K48" s="63">
        <f t="shared" si="9"/>
        <v>0</v>
      </c>
      <c r="L48" s="55">
        <f t="shared" si="10"/>
        <v>0</v>
      </c>
      <c r="N48" s="33">
        <v>29</v>
      </c>
      <c r="O48" s="28"/>
      <c r="P48" s="88"/>
      <c r="Q48" s="88"/>
      <c r="R48" s="37"/>
      <c r="S48" s="20"/>
      <c r="T48" s="3"/>
      <c r="U48" s="3"/>
      <c r="V48" s="3"/>
      <c r="W48" s="3"/>
      <c r="X48" s="10"/>
      <c r="Y48" s="17"/>
      <c r="Z48" s="2"/>
      <c r="AA48" s="2"/>
      <c r="AB48" s="2"/>
      <c r="AC48" s="3"/>
      <c r="AD48" s="37"/>
      <c r="AE48" s="9"/>
      <c r="AF48" s="2"/>
      <c r="AG48" s="2"/>
      <c r="AH48" s="2"/>
      <c r="AI48" s="3"/>
      <c r="AJ48" s="10"/>
      <c r="AK48" s="28"/>
      <c r="AL48" s="3"/>
      <c r="AM48" s="3"/>
      <c r="AN48" s="10"/>
      <c r="AO48" s="28"/>
      <c r="AP48" s="28"/>
      <c r="AQ48" s="3"/>
      <c r="AR48" s="10"/>
      <c r="AS48" s="20"/>
      <c r="AT48" s="28"/>
      <c r="AU48" s="3"/>
      <c r="AV48" s="10"/>
      <c r="AW48" s="20"/>
      <c r="AX48" s="28"/>
      <c r="AY48" s="3"/>
      <c r="AZ48" s="10"/>
      <c r="BA48" s="20"/>
      <c r="BB48" s="28"/>
      <c r="BC48" s="3"/>
      <c r="BD48" s="10"/>
      <c r="BE48" s="23"/>
      <c r="BF48" s="28"/>
      <c r="BG48" s="3"/>
      <c r="BH48" s="10"/>
      <c r="BI48" s="20"/>
      <c r="BJ48" s="28"/>
      <c r="BK48" s="3"/>
      <c r="BL48" s="10"/>
    </row>
    <row r="49" spans="2:64" x14ac:dyDescent="0.3">
      <c r="B49" s="62">
        <f t="shared" si="0"/>
        <v>0</v>
      </c>
      <c r="C49" s="47">
        <f t="shared" si="1"/>
        <v>0</v>
      </c>
      <c r="D49" s="47">
        <f t="shared" si="2"/>
        <v>0</v>
      </c>
      <c r="E49" s="47">
        <f t="shared" si="3"/>
        <v>0</v>
      </c>
      <c r="F49" s="47">
        <f t="shared" si="4"/>
        <v>0</v>
      </c>
      <c r="G49" s="47">
        <f t="shared" si="5"/>
        <v>0</v>
      </c>
      <c r="H49" s="47">
        <f t="shared" si="6"/>
        <v>0</v>
      </c>
      <c r="I49" s="47">
        <f t="shared" si="7"/>
        <v>0</v>
      </c>
      <c r="J49" s="47">
        <f t="shared" si="8"/>
        <v>0</v>
      </c>
      <c r="K49" s="63">
        <f t="shared" si="9"/>
        <v>0</v>
      </c>
      <c r="L49" s="55">
        <f t="shared" si="10"/>
        <v>0</v>
      </c>
      <c r="N49" s="33">
        <v>30</v>
      </c>
      <c r="O49" s="28"/>
      <c r="P49" s="88"/>
      <c r="Q49" s="88"/>
      <c r="R49" s="37"/>
      <c r="S49" s="20"/>
      <c r="T49" s="3"/>
      <c r="U49" s="3"/>
      <c r="V49" s="3"/>
      <c r="W49" s="3"/>
      <c r="X49" s="10"/>
      <c r="Y49" s="17"/>
      <c r="Z49" s="2"/>
      <c r="AA49" s="2"/>
      <c r="AB49" s="2"/>
      <c r="AC49" s="3"/>
      <c r="AD49" s="37"/>
      <c r="AE49" s="9"/>
      <c r="AF49" s="2"/>
      <c r="AG49" s="2"/>
      <c r="AH49" s="2"/>
      <c r="AI49" s="3"/>
      <c r="AJ49" s="10"/>
      <c r="AK49" s="28"/>
      <c r="AL49" s="3"/>
      <c r="AM49" s="3"/>
      <c r="AN49" s="10"/>
      <c r="AO49" s="28"/>
      <c r="AP49" s="28"/>
      <c r="AQ49" s="3"/>
      <c r="AR49" s="10"/>
      <c r="AS49" s="20"/>
      <c r="AT49" s="28"/>
      <c r="AU49" s="3"/>
      <c r="AV49" s="10"/>
      <c r="AW49" s="20"/>
      <c r="AX49" s="28"/>
      <c r="AY49" s="3"/>
      <c r="AZ49" s="10"/>
      <c r="BA49" s="20"/>
      <c r="BB49" s="28"/>
      <c r="BC49" s="3"/>
      <c r="BD49" s="10"/>
      <c r="BE49" s="23"/>
      <c r="BF49" s="28"/>
      <c r="BG49" s="3"/>
      <c r="BH49" s="10"/>
      <c r="BI49" s="20"/>
      <c r="BJ49" s="28"/>
      <c r="BK49" s="3"/>
      <c r="BL49" s="10"/>
    </row>
    <row r="50" spans="2:64" x14ac:dyDescent="0.3">
      <c r="B50" s="62">
        <f t="shared" si="0"/>
        <v>0</v>
      </c>
      <c r="C50" s="47">
        <f t="shared" si="1"/>
        <v>0</v>
      </c>
      <c r="D50" s="47">
        <f t="shared" si="2"/>
        <v>0</v>
      </c>
      <c r="E50" s="47">
        <f t="shared" si="3"/>
        <v>0</v>
      </c>
      <c r="F50" s="47">
        <f t="shared" si="4"/>
        <v>0</v>
      </c>
      <c r="G50" s="47">
        <f t="shared" si="5"/>
        <v>0</v>
      </c>
      <c r="H50" s="47">
        <f t="shared" si="6"/>
        <v>0</v>
      </c>
      <c r="I50" s="47">
        <f t="shared" si="7"/>
        <v>0</v>
      </c>
      <c r="J50" s="47">
        <f t="shared" si="8"/>
        <v>0</v>
      </c>
      <c r="K50" s="63">
        <f t="shared" si="9"/>
        <v>0</v>
      </c>
      <c r="L50" s="55">
        <f t="shared" si="10"/>
        <v>0</v>
      </c>
      <c r="N50" s="33">
        <v>31</v>
      </c>
      <c r="O50" s="28"/>
      <c r="P50" s="88"/>
      <c r="Q50" s="88"/>
      <c r="R50" s="37"/>
      <c r="S50" s="20"/>
      <c r="T50" s="3"/>
      <c r="U50" s="3"/>
      <c r="V50" s="3"/>
      <c r="W50" s="3"/>
      <c r="X50" s="10"/>
      <c r="Y50" s="17"/>
      <c r="Z50" s="2"/>
      <c r="AA50" s="2"/>
      <c r="AB50" s="2"/>
      <c r="AC50" s="3"/>
      <c r="AD50" s="37"/>
      <c r="AE50" s="9"/>
      <c r="AF50" s="2"/>
      <c r="AG50" s="2"/>
      <c r="AH50" s="2"/>
      <c r="AI50" s="3"/>
      <c r="AJ50" s="10"/>
      <c r="AK50" s="28"/>
      <c r="AL50" s="3"/>
      <c r="AM50" s="3"/>
      <c r="AN50" s="10"/>
      <c r="AO50" s="28"/>
      <c r="AP50" s="28"/>
      <c r="AQ50" s="3"/>
      <c r="AR50" s="10"/>
      <c r="AS50" s="20"/>
      <c r="AT50" s="28"/>
      <c r="AU50" s="3"/>
      <c r="AV50" s="10"/>
      <c r="AW50" s="20"/>
      <c r="AX50" s="28"/>
      <c r="AY50" s="3"/>
      <c r="AZ50" s="10"/>
      <c r="BA50" s="20"/>
      <c r="BB50" s="28"/>
      <c r="BC50" s="3"/>
      <c r="BD50" s="10"/>
      <c r="BE50" s="23"/>
      <c r="BF50" s="28"/>
      <c r="BG50" s="3"/>
      <c r="BH50" s="10"/>
      <c r="BI50" s="20"/>
      <c r="BJ50" s="28"/>
      <c r="BK50" s="3"/>
      <c r="BL50" s="10"/>
    </row>
    <row r="51" spans="2:64" ht="15" thickBot="1" x14ac:dyDescent="0.35">
      <c r="B51" s="64">
        <f t="shared" si="0"/>
        <v>0</v>
      </c>
      <c r="C51" s="65">
        <f t="shared" si="1"/>
        <v>0</v>
      </c>
      <c r="D51" s="65">
        <f t="shared" si="2"/>
        <v>0</v>
      </c>
      <c r="E51" s="65">
        <f t="shared" si="3"/>
        <v>0</v>
      </c>
      <c r="F51" s="65">
        <f t="shared" si="4"/>
        <v>0</v>
      </c>
      <c r="G51" s="65">
        <f t="shared" si="5"/>
        <v>0</v>
      </c>
      <c r="H51" s="65">
        <f t="shared" si="6"/>
        <v>0</v>
      </c>
      <c r="I51" s="65">
        <f t="shared" si="7"/>
        <v>0</v>
      </c>
      <c r="J51" s="65">
        <f t="shared" si="8"/>
        <v>0</v>
      </c>
      <c r="K51" s="66">
        <f t="shared" si="9"/>
        <v>0</v>
      </c>
      <c r="L51" s="55">
        <f t="shared" si="10"/>
        <v>0</v>
      </c>
      <c r="N51" s="33">
        <v>32</v>
      </c>
      <c r="O51" s="28"/>
      <c r="P51" s="88"/>
      <c r="Q51" s="88"/>
      <c r="R51" s="37"/>
      <c r="S51" s="20"/>
      <c r="T51" s="3"/>
      <c r="U51" s="3"/>
      <c r="V51" s="3"/>
      <c r="W51" s="3"/>
      <c r="X51" s="10"/>
      <c r="Y51" s="17"/>
      <c r="Z51" s="2"/>
      <c r="AA51" s="2"/>
      <c r="AB51" s="2"/>
      <c r="AC51" s="3"/>
      <c r="AD51" s="37"/>
      <c r="AE51" s="9"/>
      <c r="AF51" s="2"/>
      <c r="AG51" s="2"/>
      <c r="AH51" s="2"/>
      <c r="AI51" s="3"/>
      <c r="AJ51" s="10"/>
      <c r="AK51" s="28"/>
      <c r="AL51" s="3"/>
      <c r="AM51" s="3"/>
      <c r="AN51" s="10"/>
      <c r="AO51" s="28"/>
      <c r="AP51" s="28"/>
      <c r="AQ51" s="3"/>
      <c r="AR51" s="10"/>
      <c r="AS51" s="20"/>
      <c r="AT51" s="28"/>
      <c r="AU51" s="3"/>
      <c r="AV51" s="10"/>
      <c r="AW51" s="20"/>
      <c r="AX51" s="28"/>
      <c r="AY51" s="3"/>
      <c r="AZ51" s="10"/>
      <c r="BA51" s="20"/>
      <c r="BB51" s="28"/>
      <c r="BC51" s="3"/>
      <c r="BD51" s="10"/>
      <c r="BE51" s="23"/>
      <c r="BF51" s="28"/>
      <c r="BG51" s="3"/>
      <c r="BH51" s="10"/>
      <c r="BI51" s="20"/>
      <c r="BJ51" s="28"/>
      <c r="BK51" s="3"/>
      <c r="BL51" s="10"/>
    </row>
    <row r="52" spans="2:64" x14ac:dyDescent="0.3">
      <c r="N52" s="34" t="s">
        <v>25</v>
      </c>
      <c r="O52" s="29"/>
      <c r="P52" s="89"/>
      <c r="Q52" s="89"/>
      <c r="R52" s="38"/>
      <c r="S52" s="18">
        <f>AVERAGE(S20:S51)</f>
        <v>9.9999999999999995E-7</v>
      </c>
      <c r="T52" s="4">
        <f>AVERAGE(T20:T51)</f>
        <v>9.9999999999999995E-7</v>
      </c>
      <c r="U52" s="4">
        <f>AVERAGE(U20:U51)</f>
        <v>9.9999999999999995E-7</v>
      </c>
      <c r="V52" s="4" t="e">
        <f>AVERAGE(V20:V51)</f>
        <v>#DIV/0!</v>
      </c>
      <c r="W52" s="4">
        <f>(SUM(D20:D51)+SUM(T20:T51)+SUM(S20:S51)*0.35)/SUM(S20:U51)</f>
        <v>0.45</v>
      </c>
      <c r="X52" s="48" t="e">
        <f>AVERAGE(X20:X51)</f>
        <v>#DIV/0!</v>
      </c>
      <c r="Y52" s="58">
        <f>AVERAGE(Y20:Y51)</f>
        <v>9.9999999999999995E-7</v>
      </c>
      <c r="Z52" s="56">
        <f>AVERAGE(Z20:Z51)</f>
        <v>9.9999999999999995E-7</v>
      </c>
      <c r="AA52" s="56">
        <f>AVERAGE(AA20:AA51)</f>
        <v>9.9999999999999995E-7</v>
      </c>
      <c r="AB52" s="56" t="e">
        <f>AVERAGE(AB20:AB51)</f>
        <v>#DIV/0!</v>
      </c>
      <c r="AC52" s="56">
        <f>(SUM(B20:B51)+SUM(Z20:Z51)+SUM(Y20:Y51)*0.35)/SUM(Y20:AA51)</f>
        <v>0.45</v>
      </c>
      <c r="AD52" s="76" t="e">
        <f>AVERAGE(AD20:AD51)</f>
        <v>#DIV/0!</v>
      </c>
      <c r="AE52" s="79">
        <f>AVERAGE(AE20:AE51)</f>
        <v>1.5</v>
      </c>
      <c r="AF52" s="56">
        <f>AVERAGE(AF20:AF51)</f>
        <v>2.25</v>
      </c>
      <c r="AG52" s="56">
        <f>AVERAGE(AG20:AG51)</f>
        <v>1.25</v>
      </c>
      <c r="AH52" s="56" t="e">
        <f>AVERAGE(AH20:AH51)</f>
        <v>#DIV/0!</v>
      </c>
      <c r="AI52" s="56">
        <f>(SUM(C20:C51)+SUM(AF20:AF51)+SUM(AE20:AE51)*0.35)/SUM(AE20:AG51)</f>
        <v>1.0550000000000002</v>
      </c>
      <c r="AJ52" s="57">
        <f>AVERAGE(AJ20:AJ51)</f>
        <v>8.6666666666666661</v>
      </c>
      <c r="AK52" s="58">
        <f>AVERAGE(AK20:AK51)</f>
        <v>6.7500002500000003</v>
      </c>
      <c r="AL52" s="56">
        <f>AVERAGE(AL20:AL51)</f>
        <v>0</v>
      </c>
      <c r="AM52" s="56">
        <f>SUM(E20:E51)/SUM(AK20:AK51)</f>
        <v>2.4703702788751749</v>
      </c>
      <c r="AN52" s="57">
        <f>AVERAGE(AN20:AN51)</f>
        <v>8.6666666666666661</v>
      </c>
      <c r="AO52" s="58">
        <f>AVERAGE(AO20:AO51)</f>
        <v>7.5000004999999996</v>
      </c>
      <c r="AP52" s="56">
        <f>AVERAGE(AP20:AP51)</f>
        <v>2.5</v>
      </c>
      <c r="AQ52" s="56">
        <f>SUM(F20:F51)/SUM(AO20:AO51)</f>
        <v>3.9999997333333512</v>
      </c>
      <c r="AR52" s="57">
        <f>AVERAGE(AR20:AR51)</f>
        <v>10</v>
      </c>
      <c r="AS52" s="58">
        <f>AVERAGE(AS20:AS51)</f>
        <v>13.500000249999999</v>
      </c>
      <c r="AT52" s="56">
        <f>AVERAGE(AT20:AT51)</f>
        <v>0</v>
      </c>
      <c r="AU52" s="56">
        <f>SUM(G20:G51)/SUM(AS20:AS51)</f>
        <v>2.311111068312758</v>
      </c>
      <c r="AV52" s="57">
        <f>AVERAGE(AV20:AV51)</f>
        <v>9.3333333333333339</v>
      </c>
      <c r="AW52" s="58">
        <f>AVERAGE(AW20:AW51)</f>
        <v>6</v>
      </c>
      <c r="AX52" s="56">
        <f>AVERAGE(AX20:AX51)</f>
        <v>0</v>
      </c>
      <c r="AY52" s="56">
        <f>SUM(H20:H51)/SUM(AW20:AW51)</f>
        <v>0.69999999999999984</v>
      </c>
      <c r="AZ52" s="57">
        <f>AVERAGE(AZ20:AZ51)</f>
        <v>4</v>
      </c>
      <c r="BA52" s="58">
        <f>AVERAGE(BA20:BA51)</f>
        <v>9.9999999999999995E-7</v>
      </c>
      <c r="BB52" s="56">
        <f>AVERAGE(BB20:BB51)</f>
        <v>0</v>
      </c>
      <c r="BC52" s="56">
        <f>SUM(I20:I51)/SUM(BA20:BA51)</f>
        <v>0</v>
      </c>
      <c r="BD52" s="57" t="e">
        <f>AVERAGE(BD20:BD51)</f>
        <v>#DIV/0!</v>
      </c>
      <c r="BE52" s="58">
        <f>AVERAGE(BE20:BE51)</f>
        <v>9.9999999999999995E-7</v>
      </c>
      <c r="BF52" s="56">
        <f>AVERAGE(BF20:BF51)</f>
        <v>0</v>
      </c>
      <c r="BG52" s="56">
        <f>SUM(J20:J51)/SUM(BE20:BE51)</f>
        <v>0</v>
      </c>
      <c r="BH52" s="57" t="e">
        <f>AVERAGE(BH20:BH51)</f>
        <v>#DIV/0!</v>
      </c>
      <c r="BI52" s="58">
        <f>AVERAGE(BI20:BI51)</f>
        <v>9.9999999999999995E-7</v>
      </c>
      <c r="BJ52" s="56">
        <f>AVERAGE(BJ20:BJ51)</f>
        <v>0</v>
      </c>
      <c r="BK52" s="56">
        <f>SUM(K20:K51)/SUM(BI20:BI51)</f>
        <v>0</v>
      </c>
      <c r="BL52" s="57" t="e">
        <f>AVERAGE(BL20:BL51)</f>
        <v>#DIV/0!</v>
      </c>
    </row>
    <row r="53" spans="2:64" x14ac:dyDescent="0.3">
      <c r="N53" s="34" t="s">
        <v>30</v>
      </c>
      <c r="O53" s="29"/>
      <c r="P53" s="89"/>
      <c r="Q53" s="89"/>
      <c r="R53" s="38"/>
      <c r="S53" s="18"/>
      <c r="T53" s="4"/>
      <c r="U53" s="4"/>
      <c r="V53" s="4"/>
      <c r="W53" s="5">
        <f>SUM(D20:D51)/SUM(U20:U51)</f>
        <v>0</v>
      </c>
      <c r="X53" s="38"/>
      <c r="Y53" s="58"/>
      <c r="Z53" s="56"/>
      <c r="AA53" s="56"/>
      <c r="AB53" s="56"/>
      <c r="AC53" s="77">
        <f>SUM(B20:B51)/SUM(AA20:AA51)</f>
        <v>0</v>
      </c>
      <c r="AD53" s="78"/>
      <c r="AE53" s="79"/>
      <c r="AF53" s="56"/>
      <c r="AG53" s="56"/>
      <c r="AH53" s="56"/>
      <c r="AI53" s="77">
        <f>SUM(C20:C51)/SUM(AG20:AG51)</f>
        <v>2</v>
      </c>
      <c r="AJ53" s="80"/>
      <c r="AK53" s="29"/>
      <c r="AL53" s="5"/>
      <c r="AM53" s="5"/>
      <c r="AN53" s="12"/>
      <c r="AO53" s="29"/>
      <c r="AP53" s="29"/>
      <c r="AQ53" s="5"/>
      <c r="AR53" s="12"/>
      <c r="AS53" s="21"/>
      <c r="AT53" s="29"/>
      <c r="AU53" s="5"/>
      <c r="AV53" s="12"/>
      <c r="AW53" s="21"/>
      <c r="AX53" s="29"/>
      <c r="AY53" s="5"/>
      <c r="AZ53" s="12"/>
      <c r="BA53" s="21"/>
      <c r="BB53" s="29"/>
      <c r="BC53" s="5"/>
      <c r="BD53" s="12"/>
      <c r="BE53" s="21"/>
      <c r="BF53" s="29"/>
      <c r="BG53" s="5"/>
      <c r="BH53" s="12"/>
      <c r="BI53" s="21"/>
      <c r="BJ53" s="29"/>
      <c r="BK53" s="5"/>
      <c r="BL53" s="12"/>
    </row>
    <row r="54" spans="2:64" x14ac:dyDescent="0.3">
      <c r="N54" s="34" t="s">
        <v>11</v>
      </c>
      <c r="O54" s="29"/>
      <c r="P54" s="89"/>
      <c r="Q54" s="89"/>
      <c r="R54" s="38"/>
      <c r="S54" s="21"/>
      <c r="T54" s="5"/>
      <c r="U54" s="5"/>
      <c r="V54" s="5"/>
      <c r="W54" s="5"/>
      <c r="X54" s="12"/>
      <c r="Y54" s="18"/>
      <c r="Z54" s="4"/>
      <c r="AA54" s="4"/>
      <c r="AB54" s="4"/>
      <c r="AC54" s="5"/>
      <c r="AD54" s="38"/>
      <c r="AE54" s="11"/>
      <c r="AF54" s="4"/>
      <c r="AG54" s="4"/>
      <c r="AH54" s="4"/>
      <c r="AI54" s="5"/>
      <c r="AJ54" s="12"/>
      <c r="AK54" s="29"/>
      <c r="AL54" s="5"/>
      <c r="AM54" s="5"/>
      <c r="AN54" s="12"/>
      <c r="AO54" s="29"/>
      <c r="AP54" s="29"/>
      <c r="AQ54" s="5"/>
      <c r="AR54" s="12"/>
      <c r="AS54" s="21"/>
      <c r="AT54" s="29"/>
      <c r="AU54" s="5"/>
      <c r="AV54" s="12"/>
      <c r="AW54" s="21"/>
      <c r="AX54" s="29"/>
      <c r="AY54" s="5"/>
      <c r="AZ54" s="12"/>
      <c r="BA54" s="21"/>
      <c r="BB54" s="29"/>
      <c r="BC54" s="5"/>
      <c r="BD54" s="12"/>
      <c r="BE54" s="21"/>
      <c r="BF54" s="29"/>
      <c r="BG54" s="5"/>
      <c r="BH54" s="12"/>
      <c r="BI54" s="21"/>
      <c r="BJ54" s="29"/>
      <c r="BK54" s="5"/>
      <c r="BL54" s="12"/>
    </row>
    <row r="55" spans="2:64" ht="15" thickBot="1" x14ac:dyDescent="0.35">
      <c r="N55" s="35" t="s">
        <v>12</v>
      </c>
      <c r="O55" s="30"/>
      <c r="P55" s="90"/>
      <c r="Q55" s="90"/>
      <c r="R55" s="39"/>
      <c r="S55" s="22"/>
      <c r="T55" s="15"/>
      <c r="U55" s="15"/>
      <c r="V55" s="15"/>
      <c r="W55" s="15"/>
      <c r="X55" s="16"/>
      <c r="Y55" s="19"/>
      <c r="Z55" s="14"/>
      <c r="AA55" s="14"/>
      <c r="AB55" s="14"/>
      <c r="AC55" s="15"/>
      <c r="AD55" s="39"/>
      <c r="AE55" s="13"/>
      <c r="AF55" s="14"/>
      <c r="AG55" s="14"/>
      <c r="AH55" s="14"/>
      <c r="AI55" s="15"/>
      <c r="AJ55" s="16"/>
      <c r="AK55" s="30"/>
      <c r="AL55" s="15"/>
      <c r="AM55" s="15"/>
      <c r="AN55" s="16"/>
      <c r="AO55" s="30"/>
      <c r="AP55" s="30"/>
      <c r="AQ55" s="15"/>
      <c r="AR55" s="16"/>
      <c r="AS55" s="22"/>
      <c r="AT55" s="30"/>
      <c r="AU55" s="15"/>
      <c r="AV55" s="16"/>
      <c r="AW55" s="22"/>
      <c r="AX55" s="30"/>
      <c r="AY55" s="15"/>
      <c r="AZ55" s="16"/>
      <c r="BA55" s="22"/>
      <c r="BB55" s="30"/>
      <c r="BC55" s="15"/>
      <c r="BD55" s="16"/>
      <c r="BE55" s="22"/>
      <c r="BF55" s="30"/>
      <c r="BG55" s="15"/>
      <c r="BH55" s="16"/>
      <c r="BI55" s="22"/>
      <c r="BJ55" s="30"/>
      <c r="BK55" s="15"/>
      <c r="BL55" s="16"/>
    </row>
    <row r="60" spans="2:64" ht="15" thickBot="1" x14ac:dyDescent="0.35">
      <c r="U60">
        <f>T13</f>
        <v>0</v>
      </c>
      <c r="V60" t="s">
        <v>33</v>
      </c>
    </row>
    <row r="61" spans="2:64" ht="15" thickBot="1" x14ac:dyDescent="0.35">
      <c r="B61" s="59" t="s">
        <v>44</v>
      </c>
      <c r="C61" s="60"/>
      <c r="D61" s="61"/>
      <c r="E61" s="47"/>
      <c r="F61" s="47"/>
      <c r="I61" s="47"/>
      <c r="J61" s="47"/>
      <c r="K61" s="47"/>
      <c r="O61" t="s">
        <v>161</v>
      </c>
    </row>
    <row r="62" spans="2:64" ht="15" thickBot="1" x14ac:dyDescent="0.35">
      <c r="B62" s="73" t="str">
        <f>V62</f>
        <v>D, см</v>
      </c>
      <c r="C62" s="74" t="str">
        <f>W62</f>
        <v>h, м</v>
      </c>
      <c r="D62" s="75" t="str">
        <f>X62</f>
        <v>A, лет</v>
      </c>
      <c r="E62" s="47"/>
      <c r="F62" s="47"/>
      <c r="I62" s="47"/>
      <c r="J62" s="47"/>
      <c r="K62" s="47"/>
      <c r="O62" s="115"/>
      <c r="P62" s="116"/>
      <c r="Q62" s="116"/>
      <c r="R62" s="116"/>
      <c r="S62" s="116"/>
      <c r="T62" s="116"/>
      <c r="U62" s="116" t="s">
        <v>24</v>
      </c>
      <c r="V62" s="116" t="str">
        <f>AB19</f>
        <v>D, см</v>
      </c>
      <c r="W62" s="116" t="str">
        <f>AC19</f>
        <v>h, м</v>
      </c>
      <c r="X62" s="117" t="str">
        <f>AD19</f>
        <v>A, лет</v>
      </c>
    </row>
    <row r="63" spans="2:64" x14ac:dyDescent="0.3">
      <c r="B63" s="81" t="e">
        <f>V63*U63</f>
        <v>#DIV/0!</v>
      </c>
      <c r="C63" s="82">
        <f>W63*U63</f>
        <v>1.352643064548127E-6</v>
      </c>
      <c r="D63" s="83" t="e">
        <f>X63*U63</f>
        <v>#DIV/0!</v>
      </c>
      <c r="E63" s="47"/>
      <c r="F63" s="85"/>
      <c r="H63" s="47"/>
      <c r="I63" s="47"/>
      <c r="J63" s="47"/>
      <c r="K63" s="47"/>
      <c r="O63" s="138">
        <f t="shared" ref="O63:O72" si="11">U63/$U$75*10</f>
        <v>7.7419334859526463E-7</v>
      </c>
      <c r="P63" s="139"/>
      <c r="Q63" s="139"/>
      <c r="R63" s="47" t="str">
        <f>S18</f>
        <v>Сосна</v>
      </c>
      <c r="S63" s="47"/>
      <c r="T63" s="47"/>
      <c r="U63" s="123">
        <f>SUM(S52:U52)/(AE16*AE16*3.15/10000*1000)</f>
        <v>3.0058734767736153E-6</v>
      </c>
      <c r="V63" s="139" t="e">
        <f>V52</f>
        <v>#DIV/0!</v>
      </c>
      <c r="W63" s="139">
        <f>W52</f>
        <v>0.45</v>
      </c>
      <c r="X63" s="140" t="e">
        <f>X52</f>
        <v>#DIV/0!</v>
      </c>
      <c r="Y63" s="55"/>
    </row>
    <row r="64" spans="2:64" x14ac:dyDescent="0.3">
      <c r="B64" s="81" t="e">
        <f t="shared" ref="B64:B72" si="12">V64*U64</f>
        <v>#DIV/0!</v>
      </c>
      <c r="C64" s="82">
        <f t="shared" ref="C64:C72" si="13">W64*U64</f>
        <v>1.352643064548127E-6</v>
      </c>
      <c r="D64" s="83" t="e">
        <f t="shared" ref="D64:D72" si="14">X64*U64</f>
        <v>#DIV/0!</v>
      </c>
      <c r="E64" s="47"/>
      <c r="F64" s="85"/>
      <c r="H64" s="47"/>
      <c r="I64" s="47"/>
      <c r="J64" s="47"/>
      <c r="K64" s="47"/>
      <c r="O64" s="138">
        <f t="shared" si="11"/>
        <v>7.7419334859526463E-7</v>
      </c>
      <c r="P64" s="139"/>
      <c r="Q64" s="139"/>
      <c r="R64" s="47" t="str">
        <f>Y18</f>
        <v>Ель из подроста</v>
      </c>
      <c r="S64" s="47"/>
      <c r="T64" s="47"/>
      <c r="U64" s="123">
        <f>SUM(Y52:AA52)/(AE16*AE16*3.15/10000*1000)</f>
        <v>3.0058734767736153E-6</v>
      </c>
      <c r="V64" s="139" t="e">
        <f>AB52</f>
        <v>#DIV/0!</v>
      </c>
      <c r="W64" s="139">
        <f>AC52</f>
        <v>0.45</v>
      </c>
      <c r="X64" s="140" t="e">
        <f>AD52</f>
        <v>#DIV/0!</v>
      </c>
      <c r="Y64" s="55"/>
    </row>
    <row r="65" spans="2:25" x14ac:dyDescent="0.3">
      <c r="B65" s="81" t="e">
        <f t="shared" si="12"/>
        <v>#DIV/0!</v>
      </c>
      <c r="C65" s="82">
        <f t="shared" si="13"/>
        <v>5.2853275299936078</v>
      </c>
      <c r="D65" s="83">
        <f t="shared" si="14"/>
        <v>43.418172442285552</v>
      </c>
      <c r="E65" s="47"/>
      <c r="F65" s="47"/>
      <c r="G65" s="47"/>
      <c r="H65" s="47"/>
      <c r="I65" s="47"/>
      <c r="J65" s="47"/>
      <c r="K65" s="47"/>
      <c r="O65" s="138">
        <f t="shared" si="11"/>
        <v>1.2903222476587746</v>
      </c>
      <c r="P65" s="139"/>
      <c r="Q65" s="139"/>
      <c r="R65" s="47" t="str">
        <f>AE18</f>
        <v>ЕЛЬ лесные культуры</v>
      </c>
      <c r="S65" s="47"/>
      <c r="T65" s="47"/>
      <c r="U65" s="123">
        <f>SUM(AE52:AG52)/(AE16*AE16*3.15/10000*1000)</f>
        <v>5.0097891279560258</v>
      </c>
      <c r="V65" s="139" t="e">
        <f>AH52</f>
        <v>#DIV/0!</v>
      </c>
      <c r="W65" s="139">
        <f>AI52</f>
        <v>1.0550000000000002</v>
      </c>
      <c r="X65" s="140">
        <f>AJ52</f>
        <v>8.6666666666666661</v>
      </c>
      <c r="Y65" s="55"/>
    </row>
    <row r="66" spans="2:25" x14ac:dyDescent="0.3">
      <c r="B66" s="81">
        <f t="shared" si="12"/>
        <v>0</v>
      </c>
      <c r="C66" s="82">
        <f t="shared" si="13"/>
        <v>16.707646741733349</v>
      </c>
      <c r="D66" s="83">
        <f t="shared" si="14"/>
        <v>58.614534967994125</v>
      </c>
      <c r="E66" s="47"/>
      <c r="F66" s="47"/>
      <c r="G66" s="47"/>
      <c r="H66" s="47"/>
      <c r="I66" s="47"/>
      <c r="J66" s="47"/>
      <c r="K66" s="47"/>
      <c r="O66" s="138">
        <f t="shared" si="11"/>
        <v>1.7419350988554583</v>
      </c>
      <c r="P66" s="139"/>
      <c r="Q66" s="139"/>
      <c r="R66" s="47" t="str">
        <f>AK18</f>
        <v>Берёза</v>
      </c>
      <c r="S66" s="47"/>
      <c r="T66" s="47"/>
      <c r="U66" s="123">
        <f>AK52/(AE16*AE16*3.15/10000*1000)</f>
        <v>6.7632155732300916</v>
      </c>
      <c r="V66" s="139">
        <f>AL52</f>
        <v>0</v>
      </c>
      <c r="W66" s="139">
        <f>AM52</f>
        <v>2.4703702788751749</v>
      </c>
      <c r="X66" s="140">
        <f>AN52</f>
        <v>8.6666666666666661</v>
      </c>
      <c r="Y66" s="55"/>
    </row>
    <row r="67" spans="2:25" x14ac:dyDescent="0.3">
      <c r="B67" s="81">
        <f t="shared" si="12"/>
        <v>18.786710482282377</v>
      </c>
      <c r="C67" s="82">
        <f t="shared" si="13"/>
        <v>30.058734767736151</v>
      </c>
      <c r="D67" s="83">
        <f t="shared" si="14"/>
        <v>75.146841929129508</v>
      </c>
      <c r="E67" s="47"/>
      <c r="F67" s="47"/>
      <c r="G67" s="47"/>
      <c r="H67" s="47"/>
      <c r="I67" s="47"/>
      <c r="J67" s="47"/>
      <c r="K67" s="47"/>
      <c r="O67" s="138">
        <f t="shared" si="11"/>
        <v>1.9354835005203863</v>
      </c>
      <c r="P67" s="139"/>
      <c r="Q67" s="139"/>
      <c r="R67" s="47" t="str">
        <f>AO18</f>
        <v>Осина</v>
      </c>
      <c r="S67" s="47"/>
      <c r="T67" s="47"/>
      <c r="U67" s="123">
        <f>AO52/(AE16*AE16*3.15/10000*1000)</f>
        <v>7.5146841929129504</v>
      </c>
      <c r="V67" s="139">
        <f>AP52</f>
        <v>2.5</v>
      </c>
      <c r="W67" s="139">
        <f>AQ52</f>
        <v>3.9999997333333512</v>
      </c>
      <c r="X67" s="140">
        <f>AR52</f>
        <v>10</v>
      </c>
      <c r="Y67" s="55"/>
    </row>
    <row r="68" spans="2:25" x14ac:dyDescent="0.3">
      <c r="B68" s="81">
        <f t="shared" si="12"/>
        <v>0</v>
      </c>
      <c r="C68" s="82">
        <f t="shared" si="13"/>
        <v>31.261084158445598</v>
      </c>
      <c r="D68" s="83">
        <f t="shared" si="14"/>
        <v>126.24668836239344</v>
      </c>
      <c r="E68" s="47"/>
      <c r="F68" s="47"/>
      <c r="G68" s="47"/>
      <c r="H68" s="47"/>
      <c r="I68" s="47"/>
      <c r="J68" s="47"/>
      <c r="K68" s="47"/>
      <c r="O68" s="138">
        <f t="shared" si="11"/>
        <v>3.4838701331948037</v>
      </c>
      <c r="P68" s="139"/>
      <c r="Q68" s="139"/>
      <c r="R68" s="47" t="str">
        <f>AS18</f>
        <v>Ольха серая</v>
      </c>
      <c r="S68" s="47"/>
      <c r="T68" s="47"/>
      <c r="U68" s="123">
        <f>AS52/(AE16*AE16*3.15/10000*1000)</f>
        <v>13.526430895970725</v>
      </c>
      <c r="V68" s="139">
        <f>AT52</f>
        <v>0</v>
      </c>
      <c r="W68" s="139">
        <f>AU52</f>
        <v>2.311111068312758</v>
      </c>
      <c r="X68" s="140">
        <f>AV52</f>
        <v>9.3333333333333339</v>
      </c>
      <c r="Y68" s="55"/>
    </row>
    <row r="69" spans="2:25" x14ac:dyDescent="0.3">
      <c r="B69" s="81">
        <f t="shared" si="12"/>
        <v>0</v>
      </c>
      <c r="C69" s="82">
        <f t="shared" si="13"/>
        <v>4.2082228674830606</v>
      </c>
      <c r="D69" s="83">
        <f t="shared" si="14"/>
        <v>24.046987814188924</v>
      </c>
      <c r="E69" s="47"/>
      <c r="F69" s="47"/>
      <c r="G69" s="47"/>
      <c r="H69" s="47"/>
      <c r="I69" s="47"/>
      <c r="J69" s="47"/>
      <c r="K69" s="47"/>
      <c r="O69" s="138">
        <f t="shared" si="11"/>
        <v>1.5483866971905293</v>
      </c>
      <c r="P69" s="139"/>
      <c r="Q69" s="139"/>
      <c r="R69" s="47" t="str">
        <f>AW18</f>
        <v>Ива</v>
      </c>
      <c r="S69" s="47"/>
      <c r="T69" s="47"/>
      <c r="U69" s="123">
        <f>AW52/(AE16*AE16*3.15/10000*1000)</f>
        <v>6.011746953547231</v>
      </c>
      <c r="V69" s="139">
        <f>AX52</f>
        <v>0</v>
      </c>
      <c r="W69" s="139">
        <f>AY52</f>
        <v>0.69999999999999984</v>
      </c>
      <c r="X69" s="140">
        <f>AZ52</f>
        <v>4</v>
      </c>
      <c r="Y69" s="55"/>
    </row>
    <row r="70" spans="2:25" x14ac:dyDescent="0.3">
      <c r="B70" s="81">
        <f t="shared" si="12"/>
        <v>0</v>
      </c>
      <c r="C70" s="82">
        <f t="shared" si="13"/>
        <v>0</v>
      </c>
      <c r="D70" s="83" t="e">
        <f t="shared" si="14"/>
        <v>#DIV/0!</v>
      </c>
      <c r="E70" s="47"/>
      <c r="F70" s="47"/>
      <c r="G70" s="47"/>
      <c r="H70" s="47"/>
      <c r="I70" s="47"/>
      <c r="J70" s="47"/>
      <c r="K70" s="47"/>
      <c r="O70" s="138">
        <f t="shared" si="11"/>
        <v>2.5806444953175486E-7</v>
      </c>
      <c r="P70" s="139"/>
      <c r="Q70" s="139"/>
      <c r="R70" s="47" t="str">
        <f>BA18</f>
        <v>Чёрёмуха</v>
      </c>
      <c r="S70" s="47"/>
      <c r="T70" s="47"/>
      <c r="U70" s="123">
        <f>BA52/(AE16*AE16*3.15/10000*1000)</f>
        <v>1.001957825591205E-6</v>
      </c>
      <c r="V70" s="139">
        <f>BB52</f>
        <v>0</v>
      </c>
      <c r="W70" s="139">
        <f>BC52</f>
        <v>0</v>
      </c>
      <c r="X70" s="140" t="e">
        <f>BD52</f>
        <v>#DIV/0!</v>
      </c>
      <c r="Y70" s="55"/>
    </row>
    <row r="71" spans="2:25" x14ac:dyDescent="0.3">
      <c r="B71" s="81">
        <f t="shared" si="12"/>
        <v>0</v>
      </c>
      <c r="C71" s="82">
        <f t="shared" si="13"/>
        <v>0</v>
      </c>
      <c r="D71" s="83" t="e">
        <f t="shared" si="14"/>
        <v>#DIV/0!</v>
      </c>
      <c r="E71" s="47"/>
      <c r="F71" s="47"/>
      <c r="G71" s="47"/>
      <c r="H71" s="47"/>
      <c r="I71" s="47"/>
      <c r="J71" s="47"/>
      <c r="K71" s="47"/>
      <c r="O71" s="138">
        <f t="shared" si="11"/>
        <v>2.5806444953175486E-7</v>
      </c>
      <c r="P71" s="139"/>
      <c r="Q71" s="139"/>
      <c r="R71" s="47" t="str">
        <f>BE18</f>
        <v>Дуб</v>
      </c>
      <c r="S71" s="47"/>
      <c r="T71" s="47"/>
      <c r="U71" s="123">
        <f>BE52/(AE16*AE16*3.15/10000*1000)</f>
        <v>1.001957825591205E-6</v>
      </c>
      <c r="V71" s="139">
        <f>BF52</f>
        <v>0</v>
      </c>
      <c r="W71" s="139">
        <f>BG52</f>
        <v>0</v>
      </c>
      <c r="X71" s="140" t="e">
        <f>BH52</f>
        <v>#DIV/0!</v>
      </c>
      <c r="Y71" s="55"/>
    </row>
    <row r="72" spans="2:25" x14ac:dyDescent="0.3">
      <c r="B72" s="81">
        <f t="shared" si="12"/>
        <v>0</v>
      </c>
      <c r="C72" s="82">
        <f t="shared" si="13"/>
        <v>0</v>
      </c>
      <c r="D72" s="83" t="e">
        <f t="shared" si="14"/>
        <v>#DIV/0!</v>
      </c>
      <c r="E72" s="47"/>
      <c r="F72" s="47"/>
      <c r="G72" s="47"/>
      <c r="H72" s="47"/>
      <c r="I72" s="47"/>
      <c r="J72" s="47"/>
      <c r="K72" s="47"/>
      <c r="O72" s="138">
        <f t="shared" si="11"/>
        <v>2.5806444953175486E-7</v>
      </c>
      <c r="P72" s="139"/>
      <c r="Q72" s="139"/>
      <c r="R72" s="47" t="str">
        <f>BI18</f>
        <v>Рябина</v>
      </c>
      <c r="S72" s="47"/>
      <c r="T72" s="47"/>
      <c r="U72" s="123">
        <f>BI52/(AE16*AE16*3.15/10000*1000)</f>
        <v>1.001957825591205E-6</v>
      </c>
      <c r="V72" s="139">
        <f>BJ52</f>
        <v>0</v>
      </c>
      <c r="W72" s="139">
        <f>BK52</f>
        <v>0</v>
      </c>
      <c r="X72" s="140" t="e">
        <f>BL52</f>
        <v>#DIV/0!</v>
      </c>
      <c r="Y72" s="55"/>
    </row>
    <row r="73" spans="2:25" x14ac:dyDescent="0.3">
      <c r="B73" s="62">
        <f>AC72*AA72</f>
        <v>0</v>
      </c>
      <c r="C73" s="71">
        <f>AI72*AG72</f>
        <v>0</v>
      </c>
      <c r="D73" s="63"/>
      <c r="E73" s="47"/>
      <c r="F73" s="47"/>
      <c r="G73" s="47"/>
      <c r="H73" s="47"/>
      <c r="I73" s="47"/>
      <c r="J73" s="47"/>
      <c r="K73" s="47"/>
      <c r="O73" s="118"/>
      <c r="P73" s="47"/>
      <c r="Q73" s="47"/>
      <c r="R73" s="47"/>
      <c r="S73" s="47"/>
      <c r="T73" s="47"/>
      <c r="U73" s="141"/>
      <c r="V73" s="141"/>
      <c r="W73" s="141"/>
      <c r="X73" s="140"/>
      <c r="Y73" s="55"/>
    </row>
    <row r="74" spans="2:25" x14ac:dyDescent="0.3">
      <c r="B74" s="62">
        <f>AC73*AA73</f>
        <v>0</v>
      </c>
      <c r="C74" s="71">
        <f>AI73*AG73</f>
        <v>0</v>
      </c>
      <c r="D74" s="63">
        <f>W73*U73</f>
        <v>0</v>
      </c>
      <c r="E74" s="47"/>
      <c r="F74" s="47"/>
      <c r="G74" s="47"/>
      <c r="H74" s="47"/>
      <c r="I74" s="47"/>
      <c r="J74" s="47"/>
      <c r="K74" s="47"/>
      <c r="O74" s="118"/>
      <c r="P74" s="47"/>
      <c r="Q74" s="47"/>
      <c r="R74" s="47"/>
      <c r="S74" s="47"/>
      <c r="T74" s="47"/>
      <c r="U74" s="141"/>
      <c r="V74" s="141"/>
      <c r="W74" s="141"/>
      <c r="X74" s="140"/>
      <c r="Y74" s="55"/>
    </row>
    <row r="75" spans="2:25" x14ac:dyDescent="0.3">
      <c r="B75" s="62">
        <f>AC74*AA74</f>
        <v>0</v>
      </c>
      <c r="C75" s="71">
        <f>AI74*AG74</f>
        <v>0</v>
      </c>
      <c r="D75" s="63">
        <f>W74*U74</f>
        <v>0</v>
      </c>
      <c r="E75" s="47"/>
      <c r="F75" s="47"/>
      <c r="G75" s="47"/>
      <c r="H75" s="47"/>
      <c r="I75" s="47"/>
      <c r="J75" s="47"/>
      <c r="K75" s="47"/>
      <c r="O75" s="142">
        <f>SUM(O63:O72)</f>
        <v>10</v>
      </c>
      <c r="P75" s="143"/>
      <c r="Q75" s="143"/>
      <c r="R75" s="45" t="s">
        <v>27</v>
      </c>
      <c r="S75" s="45"/>
      <c r="T75" s="45"/>
      <c r="U75" s="144">
        <f>SUM(U63:U72)</f>
        <v>38.825875761237462</v>
      </c>
      <c r="V75" s="144" t="e">
        <f>SUM(B63:B72)/$U$75</f>
        <v>#DIV/0!</v>
      </c>
      <c r="W75" s="144">
        <f>SUM(C63:C72)/$U$75</f>
        <v>2.2541930363372806</v>
      </c>
      <c r="X75" s="145" t="e">
        <f>SUM(D63:D72)/$U$75</f>
        <v>#DIV/0!</v>
      </c>
      <c r="Y75" s="55"/>
    </row>
    <row r="76" spans="2:25" x14ac:dyDescent="0.3">
      <c r="B76" s="62">
        <f>AC75*AA75</f>
        <v>0</v>
      </c>
      <c r="C76" s="71">
        <f>AI75*AG75</f>
        <v>0</v>
      </c>
      <c r="D76" s="63"/>
      <c r="E76" s="47"/>
      <c r="F76" s="47"/>
      <c r="G76" s="47"/>
      <c r="H76" s="47"/>
      <c r="I76" s="47"/>
      <c r="J76" s="47"/>
      <c r="K76" s="47"/>
    </row>
    <row r="77" spans="2:25" ht="15" thickBot="1" x14ac:dyDescent="0.35">
      <c r="B77" s="64">
        <f>AC93*AA93</f>
        <v>0</v>
      </c>
      <c r="C77" s="72">
        <f>AI93*AG93</f>
        <v>0</v>
      </c>
      <c r="D77" s="66">
        <f>W93*U93</f>
        <v>0</v>
      </c>
      <c r="E77" s="47"/>
      <c r="F77" s="47"/>
      <c r="G77" s="47"/>
      <c r="H77" s="47"/>
      <c r="I77" s="47"/>
      <c r="J77" s="47"/>
      <c r="K77" s="47"/>
    </row>
  </sheetData>
  <mergeCells count="11">
    <mergeCell ref="AO18:AR18"/>
    <mergeCell ref="O18:R18"/>
    <mergeCell ref="S18:X18"/>
    <mergeCell ref="Y18:AD18"/>
    <mergeCell ref="AE18:AJ18"/>
    <mergeCell ref="AK18:AN18"/>
    <mergeCell ref="AS18:AV18"/>
    <mergeCell ref="AW18:AZ18"/>
    <mergeCell ref="BA18:BD18"/>
    <mergeCell ref="BE18:BH18"/>
    <mergeCell ref="BI18:BL18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BL77"/>
  <sheetViews>
    <sheetView zoomScale="80" zoomScaleNormal="80" workbookViewId="0">
      <pane xSplit="18" ySplit="19" topLeftCell="S20" activePane="bottomRight" state="frozen"/>
      <selection pane="topRight" activeCell="Q1" sqref="Q1"/>
      <selection pane="bottomLeft" activeCell="A11" sqref="A11"/>
      <selection pane="bottomRight" activeCell="AN33" sqref="AN33"/>
    </sheetView>
  </sheetViews>
  <sheetFormatPr defaultRowHeight="14.4" x14ac:dyDescent="0.3"/>
  <cols>
    <col min="2" max="2" width="16.109375" hidden="1" customWidth="1"/>
    <col min="3" max="3" width="17.5546875" hidden="1" customWidth="1"/>
    <col min="4" max="11" width="12.88671875" hidden="1" customWidth="1"/>
    <col min="18" max="18" width="11" customWidth="1"/>
    <col min="21" max="21" width="9" customWidth="1"/>
    <col min="34" max="56" width="9.88671875" bestFit="1" customWidth="1"/>
  </cols>
  <sheetData>
    <row r="1" spans="14:39" ht="15" thickBot="1" x14ac:dyDescent="0.35"/>
    <row r="2" spans="14:39" x14ac:dyDescent="0.3">
      <c r="V2" s="59"/>
      <c r="W2" s="67" t="s">
        <v>38</v>
      </c>
      <c r="X2" s="67"/>
      <c r="Y2" s="60"/>
      <c r="Z2" s="60"/>
      <c r="AA2" s="60"/>
      <c r="AB2" s="60"/>
      <c r="AC2" s="60"/>
      <c r="AD2" s="60"/>
      <c r="AE2" s="60">
        <v>8</v>
      </c>
      <c r="AF2" s="60" t="s">
        <v>142</v>
      </c>
      <c r="AG2" s="60"/>
      <c r="AH2" s="60"/>
      <c r="AI2" s="60"/>
      <c r="AJ2" s="60"/>
      <c r="AK2" s="60"/>
      <c r="AL2" s="60"/>
      <c r="AM2" s="61"/>
    </row>
    <row r="3" spans="14:39" x14ac:dyDescent="0.3">
      <c r="V3" s="62">
        <v>1</v>
      </c>
      <c r="W3" s="47" t="s">
        <v>158</v>
      </c>
      <c r="X3" s="47"/>
      <c r="Y3" s="47"/>
      <c r="Z3" s="47"/>
      <c r="AA3" s="47"/>
      <c r="AB3" s="47"/>
      <c r="AC3" s="47"/>
      <c r="AD3" s="47"/>
      <c r="AE3" s="47">
        <v>9</v>
      </c>
      <c r="AF3" s="47" t="s">
        <v>156</v>
      </c>
      <c r="AG3" s="47"/>
      <c r="AH3" s="47"/>
      <c r="AI3" s="47"/>
      <c r="AJ3" s="47"/>
      <c r="AK3" s="47"/>
      <c r="AL3" s="47"/>
      <c r="AM3" s="63"/>
    </row>
    <row r="4" spans="14:39" x14ac:dyDescent="0.3">
      <c r="V4" s="62">
        <v>2</v>
      </c>
      <c r="W4" s="47" t="s">
        <v>159</v>
      </c>
      <c r="X4" s="47"/>
      <c r="Y4" s="47"/>
      <c r="Z4" s="47"/>
      <c r="AA4" s="47"/>
      <c r="AB4" s="47"/>
      <c r="AC4" s="47"/>
      <c r="AD4" s="47"/>
      <c r="AE4" s="47">
        <v>10</v>
      </c>
      <c r="AF4" s="47" t="s">
        <v>157</v>
      </c>
      <c r="AG4" s="47"/>
      <c r="AH4" s="47"/>
      <c r="AI4" s="47"/>
      <c r="AJ4" s="47"/>
      <c r="AK4" s="47"/>
      <c r="AL4" s="47"/>
      <c r="AM4" s="63"/>
    </row>
    <row r="5" spans="14:39" x14ac:dyDescent="0.3">
      <c r="V5" s="62">
        <v>3</v>
      </c>
      <c r="W5" s="47" t="s">
        <v>34</v>
      </c>
      <c r="X5" s="47"/>
      <c r="Y5" s="47"/>
      <c r="Z5" s="47"/>
      <c r="AA5" s="47"/>
      <c r="AB5" s="47"/>
      <c r="AC5" s="47"/>
      <c r="AD5" s="47"/>
      <c r="AE5" s="47">
        <v>11</v>
      </c>
      <c r="AF5" s="47" t="s">
        <v>39</v>
      </c>
      <c r="AG5" s="47"/>
      <c r="AH5" s="47"/>
      <c r="AI5" s="47"/>
      <c r="AJ5" s="47"/>
      <c r="AK5" s="47"/>
      <c r="AL5" s="47"/>
      <c r="AM5" s="63"/>
    </row>
    <row r="6" spans="14:39" x14ac:dyDescent="0.3">
      <c r="V6" s="62">
        <v>4</v>
      </c>
      <c r="W6" s="47" t="s">
        <v>35</v>
      </c>
      <c r="X6" s="47"/>
      <c r="Y6" s="47"/>
      <c r="Z6" s="47"/>
      <c r="AA6" s="47"/>
      <c r="AB6" s="47"/>
      <c r="AC6" s="47"/>
      <c r="AD6" s="47"/>
      <c r="AE6" s="47">
        <v>12</v>
      </c>
      <c r="AF6" s="47" t="s">
        <v>40</v>
      </c>
      <c r="AG6" s="47"/>
      <c r="AH6" s="47"/>
      <c r="AI6" s="47"/>
      <c r="AJ6" s="47"/>
      <c r="AK6" s="47"/>
      <c r="AL6" s="47"/>
      <c r="AM6" s="63"/>
    </row>
    <row r="7" spans="14:39" x14ac:dyDescent="0.3">
      <c r="V7" s="62">
        <v>5</v>
      </c>
      <c r="W7" s="47" t="s">
        <v>36</v>
      </c>
      <c r="X7" s="47"/>
      <c r="Y7" s="47"/>
      <c r="Z7" s="47"/>
      <c r="AA7" s="47"/>
      <c r="AB7" s="47"/>
      <c r="AC7" s="47"/>
      <c r="AD7" s="47"/>
      <c r="AE7" s="47">
        <v>13</v>
      </c>
      <c r="AF7" s="47" t="s">
        <v>41</v>
      </c>
      <c r="AG7" s="47"/>
      <c r="AH7" s="47"/>
      <c r="AI7" s="47"/>
      <c r="AJ7" s="47"/>
      <c r="AK7" s="47"/>
      <c r="AL7" s="47"/>
      <c r="AM7" s="63"/>
    </row>
    <row r="8" spans="14:39" x14ac:dyDescent="0.3">
      <c r="V8" s="62">
        <v>6</v>
      </c>
      <c r="W8" s="47" t="s">
        <v>141</v>
      </c>
      <c r="X8" s="47"/>
      <c r="Y8" s="47"/>
      <c r="Z8" s="47"/>
      <c r="AA8" s="47"/>
      <c r="AB8" s="47"/>
      <c r="AC8" s="47"/>
      <c r="AD8" s="47"/>
      <c r="AE8" s="47">
        <v>14</v>
      </c>
      <c r="AF8" s="47"/>
      <c r="AG8" s="47"/>
      <c r="AH8" s="47"/>
      <c r="AI8" s="47"/>
      <c r="AJ8" s="47"/>
      <c r="AK8" s="47"/>
      <c r="AL8" s="47"/>
      <c r="AM8" s="63"/>
    </row>
    <row r="9" spans="14:39" ht="15" thickBot="1" x14ac:dyDescent="0.35">
      <c r="V9" s="64">
        <v>7</v>
      </c>
      <c r="W9" s="65" t="s">
        <v>37</v>
      </c>
      <c r="X9" s="65"/>
      <c r="Y9" s="65"/>
      <c r="Z9" s="65"/>
      <c r="AA9" s="65"/>
      <c r="AB9" s="65"/>
      <c r="AC9" s="65"/>
      <c r="AD9" s="65"/>
      <c r="AE9" s="65">
        <v>15</v>
      </c>
      <c r="AF9" s="65"/>
      <c r="AG9" s="65"/>
      <c r="AH9" s="65"/>
      <c r="AI9" s="65"/>
      <c r="AJ9" s="65"/>
      <c r="AK9" s="65"/>
      <c r="AL9" s="65"/>
      <c r="AM9" s="66"/>
    </row>
    <row r="13" spans="14:39" x14ac:dyDescent="0.3">
      <c r="N13" t="s">
        <v>32</v>
      </c>
      <c r="T13" s="45"/>
    </row>
    <row r="16" spans="14:39" x14ac:dyDescent="0.3">
      <c r="N16" s="46" t="s">
        <v>13</v>
      </c>
      <c r="S16">
        <v>1</v>
      </c>
      <c r="U16" s="45" t="s">
        <v>14</v>
      </c>
      <c r="V16" s="45">
        <v>183</v>
      </c>
      <c r="W16" s="45"/>
      <c r="X16" s="45" t="s">
        <v>15</v>
      </c>
      <c r="Y16" s="45">
        <v>17</v>
      </c>
      <c r="Z16" s="45" t="s">
        <v>16</v>
      </c>
      <c r="AA16" s="45">
        <v>2</v>
      </c>
      <c r="AB16" s="47"/>
      <c r="AC16" s="85" t="s">
        <v>45</v>
      </c>
      <c r="AE16" s="45">
        <v>1.78</v>
      </c>
      <c r="AG16" s="44" t="s">
        <v>28</v>
      </c>
      <c r="AI16" s="44"/>
    </row>
    <row r="17" spans="2:64" ht="15" thickBot="1" x14ac:dyDescent="0.35"/>
    <row r="18" spans="2:64" ht="15.6" thickTop="1" thickBot="1" x14ac:dyDescent="0.35">
      <c r="B18" s="59" t="s">
        <v>31</v>
      </c>
      <c r="C18" s="60"/>
      <c r="D18" s="60"/>
      <c r="E18" s="60"/>
      <c r="F18" s="60"/>
      <c r="G18" s="60"/>
      <c r="H18" s="60"/>
      <c r="I18" s="60"/>
      <c r="J18" s="60"/>
      <c r="K18" s="61"/>
      <c r="N18" s="1" t="s">
        <v>0</v>
      </c>
      <c r="O18" s="202" t="s">
        <v>1</v>
      </c>
      <c r="P18" s="194"/>
      <c r="Q18" s="194"/>
      <c r="R18" s="195"/>
      <c r="S18" s="193" t="s">
        <v>43</v>
      </c>
      <c r="T18" s="194"/>
      <c r="U18" s="194"/>
      <c r="V18" s="194"/>
      <c r="W18" s="194"/>
      <c r="X18" s="195"/>
      <c r="Y18" s="203" t="s">
        <v>17</v>
      </c>
      <c r="Z18" s="204"/>
      <c r="AA18" s="204"/>
      <c r="AB18" s="204"/>
      <c r="AC18" s="204"/>
      <c r="AD18" s="205"/>
      <c r="AE18" s="206" t="s">
        <v>18</v>
      </c>
      <c r="AF18" s="207"/>
      <c r="AG18" s="207"/>
      <c r="AH18" s="207"/>
      <c r="AI18" s="207"/>
      <c r="AJ18" s="208"/>
      <c r="AK18" s="193" t="s">
        <v>19</v>
      </c>
      <c r="AL18" s="194"/>
      <c r="AM18" s="194"/>
      <c r="AN18" s="195"/>
      <c r="AO18" s="193" t="s">
        <v>20</v>
      </c>
      <c r="AP18" s="194"/>
      <c r="AQ18" s="194"/>
      <c r="AR18" s="195"/>
      <c r="AS18" s="193" t="s">
        <v>21</v>
      </c>
      <c r="AT18" s="194"/>
      <c r="AU18" s="194"/>
      <c r="AV18" s="195"/>
      <c r="AW18" s="193" t="s">
        <v>26</v>
      </c>
      <c r="AX18" s="194"/>
      <c r="AY18" s="194"/>
      <c r="AZ18" s="195"/>
      <c r="BA18" s="193" t="s">
        <v>22</v>
      </c>
      <c r="BB18" s="194"/>
      <c r="BC18" s="194"/>
      <c r="BD18" s="195"/>
      <c r="BE18" s="193" t="s">
        <v>29</v>
      </c>
      <c r="BF18" s="194"/>
      <c r="BG18" s="194"/>
      <c r="BH18" s="195"/>
      <c r="BI18" s="193" t="s">
        <v>42</v>
      </c>
      <c r="BJ18" s="194"/>
      <c r="BK18" s="194"/>
      <c r="BL18" s="195"/>
    </row>
    <row r="19" spans="2:64" ht="21" thickBot="1" x14ac:dyDescent="0.35">
      <c r="B19" s="64" t="str">
        <f>Y18</f>
        <v>Ель из подроста</v>
      </c>
      <c r="C19" s="65" t="str">
        <f>AE18</f>
        <v>ЕЛЬ лесные культуры</v>
      </c>
      <c r="D19" s="65" t="str">
        <f>S18</f>
        <v>Сосна</v>
      </c>
      <c r="E19" s="65" t="str">
        <f>AK18</f>
        <v>Берёза</v>
      </c>
      <c r="F19" s="65" t="str">
        <f>AO18</f>
        <v>Осина</v>
      </c>
      <c r="G19" s="65" t="str">
        <f>AS18</f>
        <v>Ольха серая</v>
      </c>
      <c r="H19" s="65" t="str">
        <f>AW18</f>
        <v>Ива</v>
      </c>
      <c r="I19" s="65" t="str">
        <f>BA18</f>
        <v>Чёрёмуха</v>
      </c>
      <c r="J19" s="65" t="str">
        <f>BE18</f>
        <v>Дуб</v>
      </c>
      <c r="K19" s="66" t="str">
        <f>BI18</f>
        <v>Рябина</v>
      </c>
      <c r="L19" t="s">
        <v>46</v>
      </c>
      <c r="N19" s="31" t="s">
        <v>2</v>
      </c>
      <c r="O19" s="25" t="s">
        <v>3</v>
      </c>
      <c r="P19" s="86" t="s">
        <v>48</v>
      </c>
      <c r="Q19" s="86" t="s">
        <v>47</v>
      </c>
      <c r="R19" s="68" t="s">
        <v>4</v>
      </c>
      <c r="S19" s="41" t="s">
        <v>5</v>
      </c>
      <c r="T19" s="42" t="s">
        <v>6</v>
      </c>
      <c r="U19" s="42" t="s">
        <v>7</v>
      </c>
      <c r="V19" s="42" t="s">
        <v>23</v>
      </c>
      <c r="W19" s="43" t="s">
        <v>8</v>
      </c>
      <c r="X19" s="26" t="s">
        <v>9</v>
      </c>
      <c r="Y19" s="70" t="s">
        <v>5</v>
      </c>
      <c r="Z19" s="42" t="s">
        <v>6</v>
      </c>
      <c r="AA19" s="42" t="s">
        <v>7</v>
      </c>
      <c r="AB19" s="42" t="s">
        <v>23</v>
      </c>
      <c r="AC19" s="43" t="s">
        <v>8</v>
      </c>
      <c r="AD19" s="26" t="s">
        <v>9</v>
      </c>
      <c r="AE19" s="53" t="s">
        <v>5</v>
      </c>
      <c r="AF19" s="50" t="s">
        <v>6</v>
      </c>
      <c r="AG19" s="50" t="s">
        <v>7</v>
      </c>
      <c r="AH19" s="50" t="s">
        <v>23</v>
      </c>
      <c r="AI19" s="51" t="s">
        <v>8</v>
      </c>
      <c r="AJ19" s="54" t="s">
        <v>9</v>
      </c>
      <c r="AK19" s="49" t="s">
        <v>10</v>
      </c>
      <c r="AL19" s="50" t="s">
        <v>23</v>
      </c>
      <c r="AM19" s="51" t="s">
        <v>8</v>
      </c>
      <c r="AN19" s="52" t="s">
        <v>9</v>
      </c>
      <c r="AO19" s="25" t="s">
        <v>10</v>
      </c>
      <c r="AP19" s="42" t="s">
        <v>23</v>
      </c>
      <c r="AQ19" s="43" t="s">
        <v>8</v>
      </c>
      <c r="AR19" s="26" t="s">
        <v>9</v>
      </c>
      <c r="AS19" s="25" t="s">
        <v>10</v>
      </c>
      <c r="AT19" s="42" t="s">
        <v>23</v>
      </c>
      <c r="AU19" s="43" t="s">
        <v>8</v>
      </c>
      <c r="AV19" s="26" t="s">
        <v>9</v>
      </c>
      <c r="AW19" s="25" t="s">
        <v>10</v>
      </c>
      <c r="AX19" s="42" t="s">
        <v>23</v>
      </c>
      <c r="AY19" s="43" t="s">
        <v>8</v>
      </c>
      <c r="AZ19" s="26" t="s">
        <v>9</v>
      </c>
      <c r="BA19" s="25" t="s">
        <v>10</v>
      </c>
      <c r="BB19" s="42" t="s">
        <v>23</v>
      </c>
      <c r="BC19" s="43" t="s">
        <v>8</v>
      </c>
      <c r="BD19" s="26" t="s">
        <v>9</v>
      </c>
      <c r="BE19" s="25" t="s">
        <v>10</v>
      </c>
      <c r="BF19" s="42" t="s">
        <v>23</v>
      </c>
      <c r="BG19" s="43" t="s">
        <v>8</v>
      </c>
      <c r="BH19" s="26" t="s">
        <v>9</v>
      </c>
      <c r="BI19" s="25" t="s">
        <v>10</v>
      </c>
      <c r="BJ19" s="42" t="s">
        <v>23</v>
      </c>
      <c r="BK19" s="43" t="s">
        <v>8</v>
      </c>
      <c r="BL19" s="26" t="s">
        <v>9</v>
      </c>
    </row>
    <row r="20" spans="2:64" x14ac:dyDescent="0.3">
      <c r="B20" s="62">
        <f>AC20*AA20</f>
        <v>1.8</v>
      </c>
      <c r="C20" s="47">
        <f>AI20*AG20</f>
        <v>0</v>
      </c>
      <c r="D20" s="47">
        <f>W20*U20</f>
        <v>0</v>
      </c>
      <c r="E20" s="47">
        <f>AK20*AM20</f>
        <v>25</v>
      </c>
      <c r="F20" s="47">
        <f>AO20*AQ20</f>
        <v>0</v>
      </c>
      <c r="G20" s="47">
        <f>AS20*AU20</f>
        <v>0</v>
      </c>
      <c r="H20" s="47">
        <f>AW20*AY20</f>
        <v>0</v>
      </c>
      <c r="I20" s="47">
        <f>BA20*BC20</f>
        <v>0</v>
      </c>
      <c r="J20" s="47">
        <f>BE20*BG20</f>
        <v>0</v>
      </c>
      <c r="K20" s="63">
        <f>BI20*BK20</f>
        <v>0</v>
      </c>
      <c r="L20" s="55">
        <f>SUM(S20:U20,Y20:AA20,AE20:AG20,AK20,AO20,AS20,AW20,BA20,BE20,BI20)/($AE$16*$AE$16*3.15/10000*1000)</f>
        <v>12.023506932546189</v>
      </c>
      <c r="N20" s="32">
        <v>1</v>
      </c>
      <c r="O20" s="27">
        <v>913</v>
      </c>
      <c r="P20" s="87" t="s">
        <v>172</v>
      </c>
      <c r="Q20" s="87"/>
      <c r="R20" s="69"/>
      <c r="S20" s="40">
        <v>9.9999999999999995E-7</v>
      </c>
      <c r="T20" s="40">
        <v>9.9999999999999995E-7</v>
      </c>
      <c r="U20" s="40">
        <v>9.9999999999999995E-7</v>
      </c>
      <c r="V20" s="40"/>
      <c r="W20" s="40"/>
      <c r="X20" s="24"/>
      <c r="Y20" s="40">
        <v>1</v>
      </c>
      <c r="Z20" s="40">
        <v>9.9999999999999995E-7</v>
      </c>
      <c r="AA20" s="40">
        <v>1</v>
      </c>
      <c r="AB20" s="6"/>
      <c r="AC20" s="7">
        <v>1.8</v>
      </c>
      <c r="AD20" s="36">
        <v>9</v>
      </c>
      <c r="AE20" s="40">
        <v>9.9999999999999995E-7</v>
      </c>
      <c r="AF20" s="40">
        <v>9.9999999999999995E-7</v>
      </c>
      <c r="AG20" s="40">
        <v>9.9999999999999995E-7</v>
      </c>
      <c r="AH20" s="6"/>
      <c r="AI20" s="7"/>
      <c r="AJ20" s="8"/>
      <c r="AK20" s="40">
        <v>10</v>
      </c>
      <c r="AL20" s="7"/>
      <c r="AM20" s="7">
        <v>2.5</v>
      </c>
      <c r="AN20" s="8">
        <v>9</v>
      </c>
      <c r="AO20" s="40">
        <v>9.9999999999999995E-7</v>
      </c>
      <c r="AP20" s="27"/>
      <c r="AQ20" s="40"/>
      <c r="AR20" s="24"/>
      <c r="AS20" s="40">
        <v>9.9999999999999995E-7</v>
      </c>
      <c r="AT20" s="27"/>
      <c r="AU20" s="40"/>
      <c r="AV20" s="24"/>
      <c r="AW20" s="40">
        <v>9.9999999999999995E-7</v>
      </c>
      <c r="AX20" s="27"/>
      <c r="AY20" s="40"/>
      <c r="AZ20" s="24"/>
      <c r="BA20" s="40">
        <v>9.9999999999999995E-7</v>
      </c>
      <c r="BB20" s="27"/>
      <c r="BC20" s="40"/>
      <c r="BD20" s="24"/>
      <c r="BE20" s="40">
        <v>9.9999999999999995E-7</v>
      </c>
      <c r="BF20" s="27"/>
      <c r="BG20" s="40"/>
      <c r="BH20" s="24"/>
      <c r="BI20" s="40">
        <v>9.9999999999999995E-7</v>
      </c>
      <c r="BJ20" s="27"/>
      <c r="BK20" s="40"/>
      <c r="BL20" s="24"/>
    </row>
    <row r="21" spans="2:64" x14ac:dyDescent="0.3">
      <c r="B21" s="62">
        <f t="shared" ref="B21:B51" si="0">AC21*AA21</f>
        <v>0</v>
      </c>
      <c r="C21" s="47">
        <f t="shared" ref="C21:C51" si="1">AI21*AG21</f>
        <v>0</v>
      </c>
      <c r="D21" s="47">
        <f t="shared" ref="D21:D51" si="2">W21*U21</f>
        <v>0</v>
      </c>
      <c r="E21" s="47">
        <f t="shared" ref="E21:E51" si="3">AK21*AM21</f>
        <v>19.5</v>
      </c>
      <c r="F21" s="47">
        <f t="shared" ref="F21:F51" si="4">AO21*AQ21</f>
        <v>3.4</v>
      </c>
      <c r="G21" s="47">
        <f t="shared" ref="G21:G51" si="5">AS21*AU21</f>
        <v>4.8</v>
      </c>
      <c r="H21" s="47">
        <f t="shared" ref="H21:H51" si="6">AW21*AY21</f>
        <v>0</v>
      </c>
      <c r="I21" s="47">
        <f t="shared" ref="I21:I51" si="7">BA21*BC21</f>
        <v>0</v>
      </c>
      <c r="J21" s="47">
        <f t="shared" ref="J21:J51" si="8">BE21*BG21</f>
        <v>0</v>
      </c>
      <c r="K21" s="63">
        <f t="shared" ref="K21:K51" si="9">BI21*BK21</f>
        <v>0</v>
      </c>
      <c r="L21" s="55">
        <f t="shared" ref="L21:L51" si="10">SUM(S21:U21,Y21:AA21,AE21:AG21,AK21,AO21,AS21,AW21,BA21,BE21,BI21)/($AE$16*$AE$16*3.15/10000*1000)</f>
        <v>21.041114337415308</v>
      </c>
      <c r="N21" s="33">
        <v>2</v>
      </c>
      <c r="O21" s="28">
        <v>908</v>
      </c>
      <c r="P21" s="87" t="s">
        <v>172</v>
      </c>
      <c r="Q21" s="88"/>
      <c r="R21" s="37"/>
      <c r="S21" s="20"/>
      <c r="T21" s="3"/>
      <c r="U21" s="3"/>
      <c r="V21" s="3"/>
      <c r="W21" s="3"/>
      <c r="X21" s="10"/>
      <c r="Y21" s="17">
        <v>0</v>
      </c>
      <c r="Z21" s="2">
        <v>0</v>
      </c>
      <c r="AA21" s="2">
        <v>0</v>
      </c>
      <c r="AB21" s="2"/>
      <c r="AC21" s="3"/>
      <c r="AD21" s="37"/>
      <c r="AE21" s="9"/>
      <c r="AF21" s="2"/>
      <c r="AG21" s="2"/>
      <c r="AH21" s="2"/>
      <c r="AI21" s="3"/>
      <c r="AJ21" s="10"/>
      <c r="AK21" s="28">
        <v>15</v>
      </c>
      <c r="AL21" s="3"/>
      <c r="AM21" s="3">
        <v>1.3</v>
      </c>
      <c r="AN21" s="10">
        <v>7</v>
      </c>
      <c r="AO21" s="28">
        <v>2</v>
      </c>
      <c r="AP21" s="28"/>
      <c r="AQ21" s="3">
        <v>1.7</v>
      </c>
      <c r="AR21" s="10">
        <v>7</v>
      </c>
      <c r="AS21" s="20">
        <v>4</v>
      </c>
      <c r="AT21" s="28"/>
      <c r="AU21" s="3">
        <v>1.2</v>
      </c>
      <c r="AV21" s="10">
        <v>7</v>
      </c>
      <c r="AW21" s="20"/>
      <c r="AX21" s="28"/>
      <c r="AY21" s="3"/>
      <c r="AZ21" s="10"/>
      <c r="BA21" s="20"/>
      <c r="BB21" s="28"/>
      <c r="BC21" s="3"/>
      <c r="BD21" s="10"/>
      <c r="BE21" s="23"/>
      <c r="BF21" s="28"/>
      <c r="BG21" s="3"/>
      <c r="BH21" s="10"/>
      <c r="BI21" s="23"/>
      <c r="BJ21" s="28"/>
      <c r="BK21" s="3"/>
      <c r="BL21" s="10"/>
    </row>
    <row r="22" spans="2:64" x14ac:dyDescent="0.3">
      <c r="B22" s="62">
        <f t="shared" si="0"/>
        <v>0</v>
      </c>
      <c r="C22" s="47">
        <f t="shared" si="1"/>
        <v>0</v>
      </c>
      <c r="D22" s="47">
        <f t="shared" si="2"/>
        <v>0</v>
      </c>
      <c r="E22" s="47">
        <f t="shared" si="3"/>
        <v>1.7</v>
      </c>
      <c r="F22" s="47">
        <f t="shared" si="4"/>
        <v>1.7</v>
      </c>
      <c r="G22" s="47">
        <f t="shared" si="5"/>
        <v>0</v>
      </c>
      <c r="H22" s="47">
        <f t="shared" si="6"/>
        <v>0</v>
      </c>
      <c r="I22" s="47">
        <f t="shared" si="7"/>
        <v>0</v>
      </c>
      <c r="J22" s="47">
        <f t="shared" si="8"/>
        <v>0</v>
      </c>
      <c r="K22" s="63">
        <f t="shared" si="9"/>
        <v>0</v>
      </c>
      <c r="L22" s="55">
        <f t="shared" si="10"/>
        <v>5.0097891279560258</v>
      </c>
      <c r="N22" s="33">
        <v>3</v>
      </c>
      <c r="O22" s="28">
        <v>909</v>
      </c>
      <c r="P22" s="87" t="s">
        <v>172</v>
      </c>
      <c r="Q22" s="88"/>
      <c r="R22" s="37"/>
      <c r="S22" s="20"/>
      <c r="T22" s="3"/>
      <c r="U22" s="3"/>
      <c r="V22" s="3"/>
      <c r="W22" s="3"/>
      <c r="X22" s="10"/>
      <c r="Y22" s="17">
        <v>1</v>
      </c>
      <c r="Z22" s="2">
        <v>2</v>
      </c>
      <c r="AA22" s="2">
        <v>0</v>
      </c>
      <c r="AB22" s="2"/>
      <c r="AC22" s="3"/>
      <c r="AD22" s="37">
        <v>8</v>
      </c>
      <c r="AE22" s="9"/>
      <c r="AF22" s="2"/>
      <c r="AG22" s="2"/>
      <c r="AH22" s="2"/>
      <c r="AI22" s="3"/>
      <c r="AJ22" s="10"/>
      <c r="AK22" s="28">
        <v>1</v>
      </c>
      <c r="AL22" s="3"/>
      <c r="AM22" s="3">
        <v>1.7</v>
      </c>
      <c r="AN22" s="10">
        <v>8</v>
      </c>
      <c r="AO22" s="28">
        <v>1</v>
      </c>
      <c r="AP22" s="28"/>
      <c r="AQ22" s="3">
        <v>1.7</v>
      </c>
      <c r="AR22" s="10">
        <v>8</v>
      </c>
      <c r="AS22" s="20">
        <v>0</v>
      </c>
      <c r="AT22" s="28"/>
      <c r="AU22" s="3"/>
      <c r="AV22" s="10"/>
      <c r="AW22" s="20"/>
      <c r="AX22" s="28"/>
      <c r="AY22" s="3"/>
      <c r="AZ22" s="10"/>
      <c r="BA22" s="20"/>
      <c r="BB22" s="28"/>
      <c r="BC22" s="3"/>
      <c r="BD22" s="10"/>
      <c r="BE22" s="23"/>
      <c r="BF22" s="28"/>
      <c r="BG22" s="3"/>
      <c r="BH22" s="10"/>
      <c r="BI22" s="23"/>
      <c r="BJ22" s="28"/>
      <c r="BK22" s="3"/>
      <c r="BL22" s="10"/>
    </row>
    <row r="23" spans="2:64" x14ac:dyDescent="0.3">
      <c r="B23" s="62">
        <f t="shared" si="0"/>
        <v>1.9</v>
      </c>
      <c r="C23" s="47">
        <f t="shared" si="1"/>
        <v>0</v>
      </c>
      <c r="D23" s="47">
        <f t="shared" si="2"/>
        <v>0</v>
      </c>
      <c r="E23" s="47">
        <f t="shared" si="3"/>
        <v>16.099999999999998</v>
      </c>
      <c r="F23" s="47">
        <f t="shared" si="4"/>
        <v>2.4</v>
      </c>
      <c r="G23" s="47">
        <f t="shared" si="5"/>
        <v>0</v>
      </c>
      <c r="H23" s="47">
        <f t="shared" si="6"/>
        <v>0</v>
      </c>
      <c r="I23" s="47">
        <f t="shared" si="7"/>
        <v>0</v>
      </c>
      <c r="J23" s="47">
        <f t="shared" si="8"/>
        <v>0</v>
      </c>
      <c r="K23" s="63">
        <f t="shared" si="9"/>
        <v>0</v>
      </c>
      <c r="L23" s="55">
        <f t="shared" si="10"/>
        <v>13.025451732685667</v>
      </c>
      <c r="N23" s="33">
        <v>4</v>
      </c>
      <c r="O23" s="27">
        <v>910</v>
      </c>
      <c r="P23" s="87" t="s">
        <v>173</v>
      </c>
      <c r="Q23" s="87"/>
      <c r="R23" s="37" t="s">
        <v>171</v>
      </c>
      <c r="S23" s="20"/>
      <c r="T23" s="3"/>
      <c r="U23" s="3"/>
      <c r="V23" s="3"/>
      <c r="W23" s="3"/>
      <c r="X23" s="10"/>
      <c r="Y23" s="17">
        <v>0</v>
      </c>
      <c r="Z23" s="2">
        <v>3</v>
      </c>
      <c r="AA23" s="2">
        <v>1</v>
      </c>
      <c r="AB23" s="2"/>
      <c r="AC23" s="3">
        <v>1.9</v>
      </c>
      <c r="AD23" s="37">
        <v>8</v>
      </c>
      <c r="AE23" s="9"/>
      <c r="AF23" s="2"/>
      <c r="AG23" s="2"/>
      <c r="AH23" s="2"/>
      <c r="AI23" s="3"/>
      <c r="AJ23" s="10"/>
      <c r="AK23" s="28">
        <v>7</v>
      </c>
      <c r="AL23" s="3"/>
      <c r="AM23" s="3">
        <v>2.2999999999999998</v>
      </c>
      <c r="AN23" s="10">
        <v>8</v>
      </c>
      <c r="AO23" s="28">
        <v>2</v>
      </c>
      <c r="AP23" s="28"/>
      <c r="AQ23" s="3">
        <v>1.2</v>
      </c>
      <c r="AR23" s="10">
        <v>7</v>
      </c>
      <c r="AS23" s="20">
        <v>0</v>
      </c>
      <c r="AT23" s="28"/>
      <c r="AU23" s="3"/>
      <c r="AV23" s="10"/>
      <c r="AW23" s="20"/>
      <c r="AX23" s="28"/>
      <c r="AY23" s="3"/>
      <c r="AZ23" s="10"/>
      <c r="BA23" s="20"/>
      <c r="BB23" s="28"/>
      <c r="BC23" s="3"/>
      <c r="BD23" s="10"/>
      <c r="BE23" s="23"/>
      <c r="BF23" s="28"/>
      <c r="BG23" s="3"/>
      <c r="BH23" s="10"/>
      <c r="BI23" s="23"/>
      <c r="BJ23" s="28"/>
      <c r="BK23" s="3"/>
      <c r="BL23" s="10"/>
    </row>
    <row r="24" spans="2:64" x14ac:dyDescent="0.3">
      <c r="B24" s="62">
        <f t="shared" si="0"/>
        <v>0</v>
      </c>
      <c r="C24" s="47">
        <f t="shared" si="1"/>
        <v>0</v>
      </c>
      <c r="D24" s="47">
        <f t="shared" si="2"/>
        <v>0</v>
      </c>
      <c r="E24" s="47">
        <f t="shared" si="3"/>
        <v>15.2</v>
      </c>
      <c r="F24" s="47">
        <f t="shared" si="4"/>
        <v>0</v>
      </c>
      <c r="G24" s="47">
        <f t="shared" si="5"/>
        <v>0</v>
      </c>
      <c r="H24" s="47">
        <f t="shared" si="6"/>
        <v>0</v>
      </c>
      <c r="I24" s="47">
        <f t="shared" si="7"/>
        <v>0</v>
      </c>
      <c r="J24" s="47">
        <f t="shared" si="8"/>
        <v>0</v>
      </c>
      <c r="K24" s="63">
        <f t="shared" si="9"/>
        <v>0</v>
      </c>
      <c r="L24" s="55">
        <f t="shared" si="10"/>
        <v>14.027409558276872</v>
      </c>
      <c r="N24" s="33">
        <v>5</v>
      </c>
      <c r="O24" s="28">
        <v>911</v>
      </c>
      <c r="P24" s="87" t="s">
        <v>173</v>
      </c>
      <c r="Q24" s="88"/>
      <c r="R24" s="37"/>
      <c r="S24" s="20"/>
      <c r="T24" s="3"/>
      <c r="U24" s="3"/>
      <c r="V24" s="3"/>
      <c r="W24" s="3"/>
      <c r="X24" s="10"/>
      <c r="Y24" s="17">
        <v>1</v>
      </c>
      <c r="Z24" s="2">
        <v>5</v>
      </c>
      <c r="AA24" s="2">
        <v>0</v>
      </c>
      <c r="AB24" s="2"/>
      <c r="AC24" s="3"/>
      <c r="AD24" s="37">
        <v>7</v>
      </c>
      <c r="AE24" s="9"/>
      <c r="AF24" s="2"/>
      <c r="AG24" s="2"/>
      <c r="AH24" s="2"/>
      <c r="AI24" s="3"/>
      <c r="AJ24" s="10"/>
      <c r="AK24" s="28">
        <v>8</v>
      </c>
      <c r="AL24" s="3"/>
      <c r="AM24" s="3">
        <v>1.9</v>
      </c>
      <c r="AN24" s="10">
        <v>8</v>
      </c>
      <c r="AO24" s="28">
        <v>0</v>
      </c>
      <c r="AP24" s="28"/>
      <c r="AQ24" s="3"/>
      <c r="AR24" s="10"/>
      <c r="AS24" s="20">
        <v>0</v>
      </c>
      <c r="AT24" s="28"/>
      <c r="AU24" s="3"/>
      <c r="AV24" s="10"/>
      <c r="AW24" s="20"/>
      <c r="AX24" s="28"/>
      <c r="AY24" s="3"/>
      <c r="AZ24" s="10"/>
      <c r="BA24" s="20"/>
      <c r="BB24" s="28"/>
      <c r="BC24" s="3"/>
      <c r="BD24" s="10"/>
      <c r="BE24" s="23"/>
      <c r="BF24" s="28"/>
      <c r="BG24" s="3"/>
      <c r="BH24" s="10"/>
      <c r="BI24" s="20"/>
      <c r="BJ24" s="28"/>
      <c r="BK24" s="3"/>
      <c r="BL24" s="10"/>
    </row>
    <row r="25" spans="2:64" x14ac:dyDescent="0.3">
      <c r="B25" s="62">
        <f t="shared" si="0"/>
        <v>0</v>
      </c>
      <c r="C25" s="47">
        <f t="shared" si="1"/>
        <v>0</v>
      </c>
      <c r="D25" s="47">
        <f t="shared" si="2"/>
        <v>0</v>
      </c>
      <c r="E25" s="47">
        <f t="shared" si="3"/>
        <v>70.400000000000006</v>
      </c>
      <c r="F25" s="47">
        <f t="shared" si="4"/>
        <v>0</v>
      </c>
      <c r="G25" s="47">
        <f t="shared" si="5"/>
        <v>0</v>
      </c>
      <c r="H25" s="47">
        <f t="shared" si="6"/>
        <v>0</v>
      </c>
      <c r="I25" s="47">
        <f t="shared" si="7"/>
        <v>0</v>
      </c>
      <c r="J25" s="47">
        <f t="shared" si="8"/>
        <v>0</v>
      </c>
      <c r="K25" s="63">
        <f t="shared" si="9"/>
        <v>0</v>
      </c>
      <c r="L25" s="55">
        <f t="shared" si="10"/>
        <v>28.054819116553745</v>
      </c>
      <c r="N25" s="33">
        <v>6</v>
      </c>
      <c r="O25" s="28">
        <v>912</v>
      </c>
      <c r="P25" s="87" t="s">
        <v>172</v>
      </c>
      <c r="Q25" s="88"/>
      <c r="R25" s="37" t="s">
        <v>174</v>
      </c>
      <c r="S25" s="20"/>
      <c r="T25" s="3"/>
      <c r="U25" s="3"/>
      <c r="V25" s="3"/>
      <c r="W25" s="3"/>
      <c r="X25" s="10"/>
      <c r="Y25" s="17">
        <v>2</v>
      </c>
      <c r="Z25" s="2">
        <v>4</v>
      </c>
      <c r="AA25" s="2">
        <v>0</v>
      </c>
      <c r="AB25" s="2"/>
      <c r="AC25" s="3"/>
      <c r="AD25" s="37">
        <v>8</v>
      </c>
      <c r="AE25" s="9"/>
      <c r="AF25" s="2"/>
      <c r="AG25" s="2"/>
      <c r="AH25" s="2"/>
      <c r="AI25" s="3"/>
      <c r="AJ25" s="10"/>
      <c r="AK25" s="28">
        <v>22</v>
      </c>
      <c r="AL25" s="3"/>
      <c r="AM25" s="3">
        <v>3.2</v>
      </c>
      <c r="AN25" s="10">
        <v>8</v>
      </c>
      <c r="AO25" s="28">
        <v>0</v>
      </c>
      <c r="AP25" s="28"/>
      <c r="AQ25" s="3"/>
      <c r="AR25" s="10"/>
      <c r="AS25" s="20">
        <v>0</v>
      </c>
      <c r="AT25" s="28"/>
      <c r="AU25" s="3"/>
      <c r="AV25" s="10"/>
      <c r="AW25" s="20"/>
      <c r="AX25" s="28"/>
      <c r="AY25" s="3"/>
      <c r="AZ25" s="10"/>
      <c r="BA25" s="20"/>
      <c r="BB25" s="28"/>
      <c r="BC25" s="3"/>
      <c r="BD25" s="10"/>
      <c r="BE25" s="23"/>
      <c r="BF25" s="28"/>
      <c r="BG25" s="3"/>
      <c r="BH25" s="10"/>
      <c r="BI25" s="20"/>
      <c r="BJ25" s="28"/>
      <c r="BK25" s="3"/>
      <c r="BL25" s="10"/>
    </row>
    <row r="26" spans="2:64" x14ac:dyDescent="0.3">
      <c r="B26" s="62">
        <f t="shared" si="0"/>
        <v>0</v>
      </c>
      <c r="C26" s="47">
        <f t="shared" si="1"/>
        <v>0</v>
      </c>
      <c r="D26" s="47">
        <f t="shared" si="2"/>
        <v>0</v>
      </c>
      <c r="E26" s="47">
        <f t="shared" si="3"/>
        <v>0</v>
      </c>
      <c r="F26" s="47">
        <f t="shared" si="4"/>
        <v>0</v>
      </c>
      <c r="G26" s="47">
        <f t="shared" si="5"/>
        <v>0</v>
      </c>
      <c r="H26" s="47">
        <f t="shared" si="6"/>
        <v>0</v>
      </c>
      <c r="I26" s="47">
        <f t="shared" si="7"/>
        <v>0</v>
      </c>
      <c r="J26" s="47">
        <f t="shared" si="8"/>
        <v>0</v>
      </c>
      <c r="K26" s="63">
        <f t="shared" si="9"/>
        <v>0</v>
      </c>
      <c r="L26" s="55">
        <f t="shared" si="10"/>
        <v>0</v>
      </c>
      <c r="N26" s="33">
        <v>7</v>
      </c>
      <c r="O26" s="27"/>
      <c r="P26" s="87"/>
      <c r="Q26" s="87"/>
      <c r="R26" s="37"/>
      <c r="S26" s="20"/>
      <c r="T26" s="3"/>
      <c r="U26" s="3"/>
      <c r="V26" s="3"/>
      <c r="W26" s="3"/>
      <c r="X26" s="10"/>
      <c r="Y26" s="17"/>
      <c r="Z26" s="2"/>
      <c r="AA26" s="2"/>
      <c r="AB26" s="2"/>
      <c r="AC26" s="3"/>
      <c r="AD26" s="37"/>
      <c r="AE26" s="9"/>
      <c r="AF26" s="2"/>
      <c r="AG26" s="2"/>
      <c r="AH26" s="2"/>
      <c r="AI26" s="3"/>
      <c r="AJ26" s="10"/>
      <c r="AK26" s="28"/>
      <c r="AL26" s="3"/>
      <c r="AM26" s="3"/>
      <c r="AN26" s="10"/>
      <c r="AO26" s="28"/>
      <c r="AP26" s="28"/>
      <c r="AQ26" s="3"/>
      <c r="AR26" s="10"/>
      <c r="AS26" s="20"/>
      <c r="AT26" s="28"/>
      <c r="AU26" s="3"/>
      <c r="AV26" s="10"/>
      <c r="AW26" s="20"/>
      <c r="AX26" s="28"/>
      <c r="AY26" s="3"/>
      <c r="AZ26" s="10"/>
      <c r="BA26" s="20"/>
      <c r="BB26" s="28"/>
      <c r="BC26" s="3"/>
      <c r="BD26" s="10"/>
      <c r="BE26" s="23"/>
      <c r="BF26" s="28"/>
      <c r="BG26" s="3"/>
      <c r="BH26" s="10"/>
      <c r="BI26" s="20"/>
      <c r="BJ26" s="28"/>
      <c r="BK26" s="3"/>
      <c r="BL26" s="10"/>
    </row>
    <row r="27" spans="2:64" x14ac:dyDescent="0.3">
      <c r="B27" s="62">
        <f t="shared" si="0"/>
        <v>0</v>
      </c>
      <c r="C27" s="47">
        <f t="shared" si="1"/>
        <v>0</v>
      </c>
      <c r="D27" s="47">
        <f t="shared" si="2"/>
        <v>0</v>
      </c>
      <c r="E27" s="47">
        <f t="shared" si="3"/>
        <v>0</v>
      </c>
      <c r="F27" s="47">
        <f t="shared" si="4"/>
        <v>0</v>
      </c>
      <c r="G27" s="47">
        <f t="shared" si="5"/>
        <v>0</v>
      </c>
      <c r="H27" s="47">
        <f t="shared" si="6"/>
        <v>0</v>
      </c>
      <c r="I27" s="47">
        <f t="shared" si="7"/>
        <v>0</v>
      </c>
      <c r="J27" s="47">
        <f t="shared" si="8"/>
        <v>0</v>
      </c>
      <c r="K27" s="63">
        <f t="shared" si="9"/>
        <v>0</v>
      </c>
      <c r="L27" s="55">
        <f t="shared" si="10"/>
        <v>0</v>
      </c>
      <c r="N27" s="33">
        <v>8</v>
      </c>
      <c r="O27" s="28"/>
      <c r="P27" s="88"/>
      <c r="Q27" s="88"/>
      <c r="R27" s="37"/>
      <c r="S27" s="20"/>
      <c r="T27" s="3"/>
      <c r="U27" s="3"/>
      <c r="V27" s="3"/>
      <c r="W27" s="3"/>
      <c r="X27" s="10"/>
      <c r="Y27" s="17"/>
      <c r="Z27" s="2"/>
      <c r="AA27" s="2"/>
      <c r="AB27" s="2"/>
      <c r="AC27" s="3"/>
      <c r="AD27" s="37"/>
      <c r="AE27" s="9"/>
      <c r="AF27" s="2"/>
      <c r="AG27" s="2"/>
      <c r="AH27" s="2"/>
      <c r="AI27" s="3"/>
      <c r="AJ27" s="10"/>
      <c r="AK27" s="28"/>
      <c r="AL27" s="3"/>
      <c r="AM27" s="3"/>
      <c r="AN27" s="10"/>
      <c r="AO27" s="28"/>
      <c r="AP27" s="28"/>
      <c r="AQ27" s="3"/>
      <c r="AR27" s="10"/>
      <c r="AS27" s="20"/>
      <c r="AT27" s="28"/>
      <c r="AU27" s="3"/>
      <c r="AV27" s="10"/>
      <c r="AW27" s="20"/>
      <c r="AX27" s="28"/>
      <c r="AY27" s="3"/>
      <c r="AZ27" s="10"/>
      <c r="BA27" s="20"/>
      <c r="BB27" s="28"/>
      <c r="BC27" s="3"/>
      <c r="BD27" s="10"/>
      <c r="BE27" s="23"/>
      <c r="BF27" s="28"/>
      <c r="BG27" s="3"/>
      <c r="BH27" s="10"/>
      <c r="BI27" s="20"/>
      <c r="BJ27" s="28"/>
      <c r="BK27" s="3"/>
      <c r="BL27" s="10"/>
    </row>
    <row r="28" spans="2:64" x14ac:dyDescent="0.3">
      <c r="B28" s="62">
        <f t="shared" si="0"/>
        <v>0</v>
      </c>
      <c r="C28" s="47">
        <f t="shared" si="1"/>
        <v>0</v>
      </c>
      <c r="D28" s="47">
        <f t="shared" si="2"/>
        <v>0</v>
      </c>
      <c r="E28" s="47">
        <f t="shared" si="3"/>
        <v>0</v>
      </c>
      <c r="F28" s="47">
        <f t="shared" si="4"/>
        <v>0</v>
      </c>
      <c r="G28" s="47">
        <f t="shared" si="5"/>
        <v>0</v>
      </c>
      <c r="H28" s="47">
        <f t="shared" si="6"/>
        <v>0</v>
      </c>
      <c r="I28" s="47">
        <f t="shared" si="7"/>
        <v>0</v>
      </c>
      <c r="J28" s="47">
        <f t="shared" si="8"/>
        <v>0</v>
      </c>
      <c r="K28" s="63">
        <f t="shared" si="9"/>
        <v>0</v>
      </c>
      <c r="L28" s="55">
        <f t="shared" si="10"/>
        <v>0</v>
      </c>
      <c r="N28" s="33">
        <v>9</v>
      </c>
      <c r="O28" s="28"/>
      <c r="P28" s="88"/>
      <c r="Q28" s="88"/>
      <c r="R28" s="37"/>
      <c r="S28" s="20"/>
      <c r="T28" s="3"/>
      <c r="U28" s="3"/>
      <c r="V28" s="3"/>
      <c r="W28" s="3"/>
      <c r="X28" s="10"/>
      <c r="Y28" s="17"/>
      <c r="Z28" s="2"/>
      <c r="AA28" s="2"/>
      <c r="AB28" s="2"/>
      <c r="AC28" s="3"/>
      <c r="AD28" s="37"/>
      <c r="AE28" s="9"/>
      <c r="AF28" s="2"/>
      <c r="AG28" s="2"/>
      <c r="AH28" s="2"/>
      <c r="AI28" s="3"/>
      <c r="AJ28" s="10"/>
      <c r="AK28" s="28"/>
      <c r="AL28" s="3"/>
      <c r="AM28" s="3"/>
      <c r="AN28" s="10"/>
      <c r="AO28" s="28"/>
      <c r="AP28" s="28"/>
      <c r="AQ28" s="3"/>
      <c r="AR28" s="10"/>
      <c r="AS28" s="20"/>
      <c r="AT28" s="28"/>
      <c r="AU28" s="3"/>
      <c r="AV28" s="10"/>
      <c r="AW28" s="20"/>
      <c r="AX28" s="28"/>
      <c r="AY28" s="3"/>
      <c r="AZ28" s="10"/>
      <c r="BA28" s="20"/>
      <c r="BB28" s="28"/>
      <c r="BC28" s="3"/>
      <c r="BD28" s="10"/>
      <c r="BE28" s="23"/>
      <c r="BF28" s="28"/>
      <c r="BG28" s="3"/>
      <c r="BH28" s="10"/>
      <c r="BI28" s="20"/>
      <c r="BJ28" s="28"/>
      <c r="BK28" s="3"/>
      <c r="BL28" s="10"/>
    </row>
    <row r="29" spans="2:64" x14ac:dyDescent="0.3">
      <c r="B29" s="62">
        <f t="shared" si="0"/>
        <v>0</v>
      </c>
      <c r="C29" s="47">
        <f t="shared" si="1"/>
        <v>0</v>
      </c>
      <c r="D29" s="47">
        <f t="shared" si="2"/>
        <v>0</v>
      </c>
      <c r="E29" s="47">
        <f t="shared" si="3"/>
        <v>0</v>
      </c>
      <c r="F29" s="47">
        <f t="shared" si="4"/>
        <v>0</v>
      </c>
      <c r="G29" s="47">
        <f t="shared" si="5"/>
        <v>0</v>
      </c>
      <c r="H29" s="47">
        <f t="shared" si="6"/>
        <v>0</v>
      </c>
      <c r="I29" s="47">
        <f t="shared" si="7"/>
        <v>0</v>
      </c>
      <c r="J29" s="47">
        <f t="shared" si="8"/>
        <v>0</v>
      </c>
      <c r="K29" s="63">
        <f t="shared" si="9"/>
        <v>0</v>
      </c>
      <c r="L29" s="55">
        <f t="shared" si="10"/>
        <v>0</v>
      </c>
      <c r="N29" s="33">
        <v>10</v>
      </c>
      <c r="O29" s="27"/>
      <c r="P29" s="87"/>
      <c r="Q29" s="87"/>
      <c r="R29" s="37"/>
      <c r="S29" s="20"/>
      <c r="T29" s="3"/>
      <c r="U29" s="3"/>
      <c r="V29" s="3"/>
      <c r="W29" s="3"/>
      <c r="X29" s="10"/>
      <c r="Y29" s="17"/>
      <c r="Z29" s="2"/>
      <c r="AA29" s="2"/>
      <c r="AB29" s="2"/>
      <c r="AC29" s="3"/>
      <c r="AD29" s="37"/>
      <c r="AE29" s="9"/>
      <c r="AF29" s="2"/>
      <c r="AG29" s="2"/>
      <c r="AH29" s="2"/>
      <c r="AI29" s="3"/>
      <c r="AJ29" s="10"/>
      <c r="AK29" s="28"/>
      <c r="AL29" s="3"/>
      <c r="AM29" s="3"/>
      <c r="AN29" s="10"/>
      <c r="AO29" s="28"/>
      <c r="AP29" s="28"/>
      <c r="AQ29" s="3"/>
      <c r="AR29" s="10"/>
      <c r="AS29" s="20"/>
      <c r="AT29" s="28"/>
      <c r="AU29" s="3"/>
      <c r="AV29" s="10"/>
      <c r="AW29" s="20"/>
      <c r="AX29" s="28"/>
      <c r="AY29" s="3"/>
      <c r="AZ29" s="10"/>
      <c r="BA29" s="20"/>
      <c r="BB29" s="28"/>
      <c r="BC29" s="3"/>
      <c r="BD29" s="10"/>
      <c r="BE29" s="23"/>
      <c r="BF29" s="28"/>
      <c r="BG29" s="3"/>
      <c r="BH29" s="10"/>
      <c r="BI29" s="20"/>
      <c r="BJ29" s="28"/>
      <c r="BK29" s="3"/>
      <c r="BL29" s="10"/>
    </row>
    <row r="30" spans="2:64" x14ac:dyDescent="0.3">
      <c r="B30" s="62">
        <f t="shared" si="0"/>
        <v>0</v>
      </c>
      <c r="C30" s="47">
        <f t="shared" si="1"/>
        <v>0</v>
      </c>
      <c r="D30" s="47">
        <f t="shared" si="2"/>
        <v>0</v>
      </c>
      <c r="E30" s="47">
        <f t="shared" si="3"/>
        <v>0</v>
      </c>
      <c r="F30" s="47">
        <f t="shared" si="4"/>
        <v>0</v>
      </c>
      <c r="G30" s="47">
        <f t="shared" si="5"/>
        <v>0</v>
      </c>
      <c r="H30" s="47">
        <f t="shared" si="6"/>
        <v>0</v>
      </c>
      <c r="I30" s="47">
        <f t="shared" si="7"/>
        <v>0</v>
      </c>
      <c r="J30" s="47">
        <f t="shared" si="8"/>
        <v>0</v>
      </c>
      <c r="K30" s="63">
        <f t="shared" si="9"/>
        <v>0</v>
      </c>
      <c r="L30" s="55">
        <f t="shared" si="10"/>
        <v>0</v>
      </c>
      <c r="N30" s="33">
        <v>11</v>
      </c>
      <c r="O30" s="28"/>
      <c r="P30" s="88"/>
      <c r="Q30" s="88"/>
      <c r="R30" s="37"/>
      <c r="S30" s="20"/>
      <c r="T30" s="3"/>
      <c r="U30" s="3"/>
      <c r="V30" s="3"/>
      <c r="W30" s="3"/>
      <c r="X30" s="10"/>
      <c r="Y30" s="17"/>
      <c r="Z30" s="2"/>
      <c r="AA30" s="2"/>
      <c r="AB30" s="2"/>
      <c r="AC30" s="3"/>
      <c r="AD30" s="37"/>
      <c r="AE30" s="9"/>
      <c r="AF30" s="2"/>
      <c r="AG30" s="2"/>
      <c r="AH30" s="2"/>
      <c r="AI30" s="3"/>
      <c r="AJ30" s="10"/>
      <c r="AK30" s="28"/>
      <c r="AL30" s="3"/>
      <c r="AM30" s="3"/>
      <c r="AN30" s="10"/>
      <c r="AO30" s="28"/>
      <c r="AP30" s="28"/>
      <c r="AQ30" s="3"/>
      <c r="AR30" s="10"/>
      <c r="AS30" s="20"/>
      <c r="AT30" s="28"/>
      <c r="AU30" s="3"/>
      <c r="AV30" s="10"/>
      <c r="AW30" s="20"/>
      <c r="AX30" s="28"/>
      <c r="AY30" s="3"/>
      <c r="AZ30" s="10"/>
      <c r="BA30" s="20"/>
      <c r="BB30" s="28"/>
      <c r="BC30" s="3"/>
      <c r="BD30" s="10"/>
      <c r="BE30" s="23"/>
      <c r="BF30" s="28"/>
      <c r="BG30" s="3"/>
      <c r="BH30" s="10"/>
      <c r="BI30" s="20"/>
      <c r="BJ30" s="28"/>
      <c r="BK30" s="3"/>
      <c r="BL30" s="10"/>
    </row>
    <row r="31" spans="2:64" x14ac:dyDescent="0.3">
      <c r="B31" s="62">
        <f t="shared" si="0"/>
        <v>0</v>
      </c>
      <c r="C31" s="47">
        <f t="shared" si="1"/>
        <v>0</v>
      </c>
      <c r="D31" s="47">
        <f t="shared" si="2"/>
        <v>0</v>
      </c>
      <c r="E31" s="47">
        <f t="shared" si="3"/>
        <v>0</v>
      </c>
      <c r="F31" s="47">
        <f t="shared" si="4"/>
        <v>0</v>
      </c>
      <c r="G31" s="47">
        <f t="shared" si="5"/>
        <v>0</v>
      </c>
      <c r="H31" s="47">
        <f t="shared" si="6"/>
        <v>0</v>
      </c>
      <c r="I31" s="47">
        <f t="shared" si="7"/>
        <v>0</v>
      </c>
      <c r="J31" s="47">
        <f t="shared" si="8"/>
        <v>0</v>
      </c>
      <c r="K31" s="63">
        <f t="shared" si="9"/>
        <v>0</v>
      </c>
      <c r="L31" s="55">
        <f t="shared" si="10"/>
        <v>0</v>
      </c>
      <c r="N31" s="33">
        <v>12</v>
      </c>
      <c r="O31" s="28"/>
      <c r="P31" s="88"/>
      <c r="Q31" s="88"/>
      <c r="R31" s="37"/>
      <c r="S31" s="20"/>
      <c r="T31" s="3"/>
      <c r="U31" s="3"/>
      <c r="V31" s="3"/>
      <c r="W31" s="3"/>
      <c r="X31" s="10"/>
      <c r="Y31" s="17"/>
      <c r="Z31" s="2"/>
      <c r="AA31" s="2"/>
      <c r="AB31" s="2"/>
      <c r="AC31" s="3"/>
      <c r="AD31" s="37"/>
      <c r="AE31" s="9"/>
      <c r="AF31" s="2"/>
      <c r="AG31" s="2"/>
      <c r="AH31" s="2"/>
      <c r="AI31" s="3"/>
      <c r="AJ31" s="10"/>
      <c r="AK31" s="28"/>
      <c r="AL31" s="3"/>
      <c r="AM31" s="3"/>
      <c r="AN31" s="10"/>
      <c r="AO31" s="28"/>
      <c r="AP31" s="28"/>
      <c r="AQ31" s="3"/>
      <c r="AR31" s="10"/>
      <c r="AS31" s="20"/>
      <c r="AT31" s="28"/>
      <c r="AU31" s="3"/>
      <c r="AV31" s="10"/>
      <c r="AW31" s="20"/>
      <c r="AX31" s="28"/>
      <c r="AY31" s="3"/>
      <c r="AZ31" s="10"/>
      <c r="BA31" s="20"/>
      <c r="BB31" s="28"/>
      <c r="BC31" s="3"/>
      <c r="BD31" s="10"/>
      <c r="BE31" s="23"/>
      <c r="BF31" s="28"/>
      <c r="BG31" s="3"/>
      <c r="BH31" s="10"/>
      <c r="BI31" s="20"/>
      <c r="BJ31" s="28"/>
      <c r="BK31" s="3"/>
      <c r="BL31" s="10"/>
    </row>
    <row r="32" spans="2:64" x14ac:dyDescent="0.3">
      <c r="B32" s="62">
        <f t="shared" si="0"/>
        <v>0</v>
      </c>
      <c r="C32" s="47">
        <f t="shared" si="1"/>
        <v>0</v>
      </c>
      <c r="D32" s="47">
        <f t="shared" si="2"/>
        <v>0</v>
      </c>
      <c r="E32" s="47">
        <f t="shared" si="3"/>
        <v>0</v>
      </c>
      <c r="F32" s="47">
        <f t="shared" si="4"/>
        <v>0</v>
      </c>
      <c r="G32" s="47">
        <f t="shared" si="5"/>
        <v>0</v>
      </c>
      <c r="H32" s="47">
        <f t="shared" si="6"/>
        <v>0</v>
      </c>
      <c r="I32" s="47">
        <f t="shared" si="7"/>
        <v>0</v>
      </c>
      <c r="J32" s="47">
        <f t="shared" si="8"/>
        <v>0</v>
      </c>
      <c r="K32" s="63">
        <f t="shared" si="9"/>
        <v>0</v>
      </c>
      <c r="L32" s="55">
        <f t="shared" si="10"/>
        <v>0</v>
      </c>
      <c r="N32" s="33">
        <v>13</v>
      </c>
      <c r="O32" s="28"/>
      <c r="P32" s="88"/>
      <c r="Q32" s="88"/>
      <c r="R32" s="37"/>
      <c r="S32" s="20"/>
      <c r="T32" s="3"/>
      <c r="U32" s="3"/>
      <c r="V32" s="3"/>
      <c r="W32" s="3"/>
      <c r="X32" s="10"/>
      <c r="Y32" s="17"/>
      <c r="Z32" s="2"/>
      <c r="AA32" s="2"/>
      <c r="AB32" s="2"/>
      <c r="AC32" s="3"/>
      <c r="AD32" s="37"/>
      <c r="AE32" s="9"/>
      <c r="AF32" s="2"/>
      <c r="AG32" s="2"/>
      <c r="AH32" s="2"/>
      <c r="AI32" s="3"/>
      <c r="AJ32" s="10"/>
      <c r="AK32" s="28"/>
      <c r="AL32" s="3"/>
      <c r="AM32" s="3"/>
      <c r="AN32" s="10"/>
      <c r="AO32" s="28"/>
      <c r="AP32" s="28"/>
      <c r="AQ32" s="3"/>
      <c r="AR32" s="10"/>
      <c r="AS32" s="20"/>
      <c r="AT32" s="28"/>
      <c r="AU32" s="3"/>
      <c r="AV32" s="10"/>
      <c r="AW32" s="20"/>
      <c r="AX32" s="28"/>
      <c r="AY32" s="3"/>
      <c r="AZ32" s="10"/>
      <c r="BA32" s="20"/>
      <c r="BB32" s="28"/>
      <c r="BC32" s="3"/>
      <c r="BD32" s="10"/>
      <c r="BE32" s="23"/>
      <c r="BF32" s="28"/>
      <c r="BG32" s="3"/>
      <c r="BH32" s="10"/>
      <c r="BI32" s="20"/>
      <c r="BJ32" s="28"/>
      <c r="BK32" s="3"/>
      <c r="BL32" s="10"/>
    </row>
    <row r="33" spans="2:64" x14ac:dyDescent="0.3">
      <c r="B33" s="62">
        <f t="shared" si="0"/>
        <v>0</v>
      </c>
      <c r="C33" s="47">
        <f t="shared" si="1"/>
        <v>0</v>
      </c>
      <c r="D33" s="47">
        <f t="shared" si="2"/>
        <v>0</v>
      </c>
      <c r="E33" s="47">
        <f t="shared" si="3"/>
        <v>0</v>
      </c>
      <c r="F33" s="47">
        <f t="shared" si="4"/>
        <v>0</v>
      </c>
      <c r="G33" s="47">
        <f t="shared" si="5"/>
        <v>0</v>
      </c>
      <c r="H33" s="47">
        <f t="shared" si="6"/>
        <v>0</v>
      </c>
      <c r="I33" s="47">
        <f t="shared" si="7"/>
        <v>0</v>
      </c>
      <c r="J33" s="47">
        <f t="shared" si="8"/>
        <v>0</v>
      </c>
      <c r="K33" s="63">
        <f t="shared" si="9"/>
        <v>0</v>
      </c>
      <c r="L33" s="55">
        <f t="shared" si="10"/>
        <v>0</v>
      </c>
      <c r="N33" s="33">
        <v>14</v>
      </c>
      <c r="O33" s="28"/>
      <c r="P33" s="88"/>
      <c r="Q33" s="88"/>
      <c r="R33" s="37"/>
      <c r="S33" s="20"/>
      <c r="T33" s="3"/>
      <c r="U33" s="3"/>
      <c r="V33" s="3"/>
      <c r="W33" s="3"/>
      <c r="X33" s="10"/>
      <c r="Y33" s="17"/>
      <c r="Z33" s="2"/>
      <c r="AA33" s="2"/>
      <c r="AB33" s="2"/>
      <c r="AC33" s="3"/>
      <c r="AD33" s="37"/>
      <c r="AE33" s="9"/>
      <c r="AF33" s="2"/>
      <c r="AG33" s="2"/>
      <c r="AH33" s="2"/>
      <c r="AI33" s="3"/>
      <c r="AJ33" s="10"/>
      <c r="AK33" s="28"/>
      <c r="AL33" s="3"/>
      <c r="AM33" s="3"/>
      <c r="AN33" s="10"/>
      <c r="AO33" s="28"/>
      <c r="AP33" s="28"/>
      <c r="AQ33" s="3"/>
      <c r="AR33" s="10"/>
      <c r="AS33" s="20"/>
      <c r="AT33" s="28"/>
      <c r="AU33" s="3"/>
      <c r="AV33" s="10"/>
      <c r="AW33" s="20"/>
      <c r="AX33" s="28"/>
      <c r="AY33" s="3"/>
      <c r="AZ33" s="10"/>
      <c r="BA33" s="20"/>
      <c r="BB33" s="28"/>
      <c r="BC33" s="3"/>
      <c r="BD33" s="10"/>
      <c r="BE33" s="23"/>
      <c r="BF33" s="28"/>
      <c r="BG33" s="3"/>
      <c r="BH33" s="10"/>
      <c r="BI33" s="20"/>
      <c r="BJ33" s="28"/>
      <c r="BK33" s="3"/>
      <c r="BL33" s="10"/>
    </row>
    <row r="34" spans="2:64" x14ac:dyDescent="0.3">
      <c r="B34" s="62">
        <f t="shared" si="0"/>
        <v>0</v>
      </c>
      <c r="C34" s="47">
        <f t="shared" si="1"/>
        <v>0</v>
      </c>
      <c r="D34" s="47">
        <f t="shared" si="2"/>
        <v>0</v>
      </c>
      <c r="E34" s="47">
        <f t="shared" si="3"/>
        <v>0</v>
      </c>
      <c r="F34" s="47">
        <f t="shared" si="4"/>
        <v>0</v>
      </c>
      <c r="G34" s="47">
        <f t="shared" si="5"/>
        <v>0</v>
      </c>
      <c r="H34" s="47">
        <f t="shared" si="6"/>
        <v>0</v>
      </c>
      <c r="I34" s="47">
        <f t="shared" si="7"/>
        <v>0</v>
      </c>
      <c r="J34" s="47">
        <f t="shared" si="8"/>
        <v>0</v>
      </c>
      <c r="K34" s="63">
        <f t="shared" si="9"/>
        <v>0</v>
      </c>
      <c r="L34" s="55">
        <f t="shared" si="10"/>
        <v>0</v>
      </c>
      <c r="N34" s="33">
        <v>15</v>
      </c>
      <c r="O34" s="28"/>
      <c r="P34" s="88"/>
      <c r="Q34" s="88"/>
      <c r="R34" s="37"/>
      <c r="S34" s="20"/>
      <c r="T34" s="3"/>
      <c r="U34" s="3"/>
      <c r="V34" s="3"/>
      <c r="W34" s="3"/>
      <c r="X34" s="10"/>
      <c r="Y34" s="17"/>
      <c r="Z34" s="2"/>
      <c r="AA34" s="2"/>
      <c r="AB34" s="2"/>
      <c r="AC34" s="3"/>
      <c r="AD34" s="37"/>
      <c r="AE34" s="9"/>
      <c r="AF34" s="2"/>
      <c r="AG34" s="2"/>
      <c r="AH34" s="2"/>
      <c r="AI34" s="3"/>
      <c r="AJ34" s="10"/>
      <c r="AK34" s="28"/>
      <c r="AL34" s="3"/>
      <c r="AM34" s="3"/>
      <c r="AN34" s="10"/>
      <c r="AO34" s="28"/>
      <c r="AP34" s="28"/>
      <c r="AQ34" s="3"/>
      <c r="AR34" s="10"/>
      <c r="AS34" s="20"/>
      <c r="AT34" s="28"/>
      <c r="AU34" s="3"/>
      <c r="AV34" s="10"/>
      <c r="AW34" s="20"/>
      <c r="AX34" s="28"/>
      <c r="AY34" s="3"/>
      <c r="AZ34" s="10"/>
      <c r="BA34" s="20"/>
      <c r="BB34" s="28"/>
      <c r="BC34" s="3"/>
      <c r="BD34" s="10"/>
      <c r="BE34" s="23"/>
      <c r="BF34" s="28"/>
      <c r="BG34" s="3"/>
      <c r="BH34" s="10"/>
      <c r="BI34" s="20"/>
      <c r="BJ34" s="28"/>
      <c r="BK34" s="3"/>
      <c r="BL34" s="10"/>
    </row>
    <row r="35" spans="2:64" x14ac:dyDescent="0.3">
      <c r="B35" s="62">
        <f t="shared" si="0"/>
        <v>0</v>
      </c>
      <c r="C35" s="47">
        <f t="shared" si="1"/>
        <v>0</v>
      </c>
      <c r="D35" s="47">
        <f t="shared" si="2"/>
        <v>0</v>
      </c>
      <c r="E35" s="47">
        <f t="shared" si="3"/>
        <v>0</v>
      </c>
      <c r="F35" s="47">
        <f t="shared" si="4"/>
        <v>0</v>
      </c>
      <c r="G35" s="47">
        <f t="shared" si="5"/>
        <v>0</v>
      </c>
      <c r="H35" s="47">
        <f t="shared" si="6"/>
        <v>0</v>
      </c>
      <c r="I35" s="47">
        <f t="shared" si="7"/>
        <v>0</v>
      </c>
      <c r="J35" s="47">
        <f t="shared" si="8"/>
        <v>0</v>
      </c>
      <c r="K35" s="63">
        <f t="shared" si="9"/>
        <v>0</v>
      </c>
      <c r="L35" s="55">
        <f t="shared" si="10"/>
        <v>0</v>
      </c>
      <c r="N35" s="33">
        <v>16</v>
      </c>
      <c r="O35" s="28"/>
      <c r="P35" s="88"/>
      <c r="Q35" s="88"/>
      <c r="R35" s="37"/>
      <c r="S35" s="20"/>
      <c r="T35" s="3"/>
      <c r="U35" s="3"/>
      <c r="V35" s="3"/>
      <c r="W35" s="3"/>
      <c r="X35" s="10"/>
      <c r="Y35" s="17"/>
      <c r="Z35" s="2"/>
      <c r="AA35" s="2"/>
      <c r="AB35" s="2"/>
      <c r="AC35" s="3"/>
      <c r="AD35" s="37"/>
      <c r="AE35" s="9"/>
      <c r="AF35" s="2"/>
      <c r="AG35" s="2"/>
      <c r="AH35" s="2"/>
      <c r="AI35" s="3"/>
      <c r="AJ35" s="10"/>
      <c r="AK35" s="28"/>
      <c r="AL35" s="3"/>
      <c r="AM35" s="3"/>
      <c r="AN35" s="10"/>
      <c r="AO35" s="28"/>
      <c r="AP35" s="28"/>
      <c r="AQ35" s="3"/>
      <c r="AR35" s="10"/>
      <c r="AS35" s="20"/>
      <c r="AT35" s="28"/>
      <c r="AU35" s="3"/>
      <c r="AV35" s="10"/>
      <c r="AW35" s="20"/>
      <c r="AX35" s="28"/>
      <c r="AY35" s="3"/>
      <c r="AZ35" s="10"/>
      <c r="BA35" s="20"/>
      <c r="BB35" s="28"/>
      <c r="BC35" s="3"/>
      <c r="BD35" s="10"/>
      <c r="BE35" s="23"/>
      <c r="BF35" s="28"/>
      <c r="BG35" s="3"/>
      <c r="BH35" s="10"/>
      <c r="BI35" s="20"/>
      <c r="BJ35" s="28"/>
      <c r="BK35" s="3"/>
      <c r="BL35" s="10"/>
    </row>
    <row r="36" spans="2:64" x14ac:dyDescent="0.3">
      <c r="B36" s="62">
        <f t="shared" si="0"/>
        <v>0</v>
      </c>
      <c r="C36" s="47">
        <f t="shared" si="1"/>
        <v>0</v>
      </c>
      <c r="D36" s="47">
        <f t="shared" si="2"/>
        <v>0</v>
      </c>
      <c r="E36" s="47">
        <f t="shared" si="3"/>
        <v>0</v>
      </c>
      <c r="F36" s="47">
        <f t="shared" si="4"/>
        <v>0</v>
      </c>
      <c r="G36" s="47">
        <f t="shared" si="5"/>
        <v>0</v>
      </c>
      <c r="H36" s="47">
        <f t="shared" si="6"/>
        <v>0</v>
      </c>
      <c r="I36" s="47">
        <f t="shared" si="7"/>
        <v>0</v>
      </c>
      <c r="J36" s="47">
        <f t="shared" si="8"/>
        <v>0</v>
      </c>
      <c r="K36" s="63">
        <f t="shared" si="9"/>
        <v>0</v>
      </c>
      <c r="L36" s="55">
        <f t="shared" si="10"/>
        <v>0</v>
      </c>
      <c r="N36" s="33">
        <v>17</v>
      </c>
      <c r="O36" s="28"/>
      <c r="P36" s="88"/>
      <c r="Q36" s="88"/>
      <c r="R36" s="37"/>
      <c r="S36" s="20"/>
      <c r="T36" s="3"/>
      <c r="U36" s="3"/>
      <c r="V36" s="3"/>
      <c r="W36" s="3"/>
      <c r="X36" s="10"/>
      <c r="Y36" s="17"/>
      <c r="Z36" s="2"/>
      <c r="AA36" s="2"/>
      <c r="AB36" s="2"/>
      <c r="AC36" s="3"/>
      <c r="AD36" s="37"/>
      <c r="AE36" s="9"/>
      <c r="AF36" s="2"/>
      <c r="AG36" s="2"/>
      <c r="AH36" s="2"/>
      <c r="AI36" s="3"/>
      <c r="AJ36" s="10"/>
      <c r="AK36" s="28"/>
      <c r="AL36" s="3"/>
      <c r="AM36" s="3"/>
      <c r="AN36" s="10"/>
      <c r="AO36" s="28"/>
      <c r="AP36" s="28"/>
      <c r="AQ36" s="3"/>
      <c r="AR36" s="10"/>
      <c r="AS36" s="20"/>
      <c r="AT36" s="28"/>
      <c r="AU36" s="3"/>
      <c r="AV36" s="10"/>
      <c r="AW36" s="20"/>
      <c r="AX36" s="28"/>
      <c r="AY36" s="3"/>
      <c r="AZ36" s="10"/>
      <c r="BA36" s="20"/>
      <c r="BB36" s="28"/>
      <c r="BC36" s="3"/>
      <c r="BD36" s="10"/>
      <c r="BE36" s="23"/>
      <c r="BF36" s="28"/>
      <c r="BG36" s="3"/>
      <c r="BH36" s="10"/>
      <c r="BI36" s="20"/>
      <c r="BJ36" s="28"/>
      <c r="BK36" s="3"/>
      <c r="BL36" s="10"/>
    </row>
    <row r="37" spans="2:64" x14ac:dyDescent="0.3">
      <c r="B37" s="62">
        <f t="shared" si="0"/>
        <v>0</v>
      </c>
      <c r="C37" s="47">
        <f t="shared" si="1"/>
        <v>0</v>
      </c>
      <c r="D37" s="47">
        <f t="shared" si="2"/>
        <v>0</v>
      </c>
      <c r="E37" s="47">
        <f t="shared" si="3"/>
        <v>0</v>
      </c>
      <c r="F37" s="47">
        <f t="shared" si="4"/>
        <v>0</v>
      </c>
      <c r="G37" s="47">
        <f t="shared" si="5"/>
        <v>0</v>
      </c>
      <c r="H37" s="47">
        <f t="shared" si="6"/>
        <v>0</v>
      </c>
      <c r="I37" s="47">
        <f t="shared" si="7"/>
        <v>0</v>
      </c>
      <c r="J37" s="47">
        <f t="shared" si="8"/>
        <v>0</v>
      </c>
      <c r="K37" s="63">
        <f t="shared" si="9"/>
        <v>0</v>
      </c>
      <c r="L37" s="55">
        <f t="shared" si="10"/>
        <v>0</v>
      </c>
      <c r="N37" s="33">
        <v>18</v>
      </c>
      <c r="O37" s="28"/>
      <c r="P37" s="88"/>
      <c r="Q37" s="88"/>
      <c r="R37" s="37"/>
      <c r="S37" s="20"/>
      <c r="T37" s="3"/>
      <c r="U37" s="3"/>
      <c r="V37" s="3"/>
      <c r="W37" s="3"/>
      <c r="X37" s="10"/>
      <c r="Y37" s="17"/>
      <c r="Z37" s="2"/>
      <c r="AA37" s="2"/>
      <c r="AB37" s="2"/>
      <c r="AC37" s="3"/>
      <c r="AD37" s="37"/>
      <c r="AE37" s="9"/>
      <c r="AF37" s="2"/>
      <c r="AG37" s="2"/>
      <c r="AH37" s="2"/>
      <c r="AI37" s="3"/>
      <c r="AJ37" s="10"/>
      <c r="AK37" s="28"/>
      <c r="AL37" s="3"/>
      <c r="AM37" s="3"/>
      <c r="AN37" s="10"/>
      <c r="AO37" s="28"/>
      <c r="AP37" s="28"/>
      <c r="AQ37" s="3"/>
      <c r="AR37" s="10"/>
      <c r="AS37" s="20"/>
      <c r="AT37" s="28"/>
      <c r="AU37" s="3"/>
      <c r="AV37" s="10"/>
      <c r="AW37" s="20"/>
      <c r="AX37" s="28"/>
      <c r="AY37" s="3"/>
      <c r="AZ37" s="10"/>
      <c r="BA37" s="20"/>
      <c r="BB37" s="28"/>
      <c r="BC37" s="3"/>
      <c r="BD37" s="10"/>
      <c r="BE37" s="23"/>
      <c r="BF37" s="28"/>
      <c r="BG37" s="3"/>
      <c r="BH37" s="10"/>
      <c r="BI37" s="20"/>
      <c r="BJ37" s="28"/>
      <c r="BK37" s="3"/>
      <c r="BL37" s="10"/>
    </row>
    <row r="38" spans="2:64" x14ac:dyDescent="0.3">
      <c r="B38" s="62">
        <f t="shared" si="0"/>
        <v>0</v>
      </c>
      <c r="C38" s="47">
        <f t="shared" si="1"/>
        <v>0</v>
      </c>
      <c r="D38" s="47">
        <f t="shared" si="2"/>
        <v>0</v>
      </c>
      <c r="E38" s="47">
        <f t="shared" si="3"/>
        <v>0</v>
      </c>
      <c r="F38" s="47">
        <f t="shared" si="4"/>
        <v>0</v>
      </c>
      <c r="G38" s="47">
        <f t="shared" si="5"/>
        <v>0</v>
      </c>
      <c r="H38" s="47">
        <f t="shared" si="6"/>
        <v>0</v>
      </c>
      <c r="I38" s="47">
        <f t="shared" si="7"/>
        <v>0</v>
      </c>
      <c r="J38" s="47">
        <f t="shared" si="8"/>
        <v>0</v>
      </c>
      <c r="K38" s="63">
        <f t="shared" si="9"/>
        <v>0</v>
      </c>
      <c r="L38" s="55">
        <f t="shared" si="10"/>
        <v>0</v>
      </c>
      <c r="N38" s="33">
        <v>19</v>
      </c>
      <c r="O38" s="28"/>
      <c r="P38" s="88"/>
      <c r="Q38" s="88"/>
      <c r="R38" s="37"/>
      <c r="S38" s="20"/>
      <c r="T38" s="3"/>
      <c r="U38" s="3"/>
      <c r="V38" s="3"/>
      <c r="W38" s="3"/>
      <c r="X38" s="10"/>
      <c r="Y38" s="17"/>
      <c r="Z38" s="2"/>
      <c r="AA38" s="2"/>
      <c r="AB38" s="2"/>
      <c r="AC38" s="3"/>
      <c r="AD38" s="37"/>
      <c r="AE38" s="9"/>
      <c r="AF38" s="2"/>
      <c r="AG38" s="2"/>
      <c r="AH38" s="2"/>
      <c r="AI38" s="3"/>
      <c r="AJ38" s="10"/>
      <c r="AK38" s="28"/>
      <c r="AL38" s="3"/>
      <c r="AM38" s="3"/>
      <c r="AN38" s="10"/>
      <c r="AO38" s="28"/>
      <c r="AP38" s="28"/>
      <c r="AQ38" s="3"/>
      <c r="AR38" s="10"/>
      <c r="AS38" s="20"/>
      <c r="AT38" s="28"/>
      <c r="AU38" s="3"/>
      <c r="AV38" s="10"/>
      <c r="AW38" s="20"/>
      <c r="AX38" s="28"/>
      <c r="AY38" s="3"/>
      <c r="AZ38" s="10"/>
      <c r="BA38" s="20"/>
      <c r="BB38" s="28"/>
      <c r="BC38" s="3"/>
      <c r="BD38" s="10"/>
      <c r="BE38" s="23"/>
      <c r="BF38" s="28"/>
      <c r="BG38" s="3"/>
      <c r="BH38" s="10"/>
      <c r="BI38" s="20"/>
      <c r="BJ38" s="28"/>
      <c r="BK38" s="3"/>
      <c r="BL38" s="10"/>
    </row>
    <row r="39" spans="2:64" x14ac:dyDescent="0.3">
      <c r="B39" s="62">
        <f t="shared" si="0"/>
        <v>0</v>
      </c>
      <c r="C39" s="47">
        <f t="shared" si="1"/>
        <v>0</v>
      </c>
      <c r="D39" s="47">
        <f t="shared" si="2"/>
        <v>0</v>
      </c>
      <c r="E39" s="47">
        <f t="shared" si="3"/>
        <v>0</v>
      </c>
      <c r="F39" s="47">
        <f t="shared" si="4"/>
        <v>0</v>
      </c>
      <c r="G39" s="47">
        <f t="shared" si="5"/>
        <v>0</v>
      </c>
      <c r="H39" s="47">
        <f t="shared" si="6"/>
        <v>0</v>
      </c>
      <c r="I39" s="47">
        <f t="shared" si="7"/>
        <v>0</v>
      </c>
      <c r="J39" s="47">
        <f t="shared" si="8"/>
        <v>0</v>
      </c>
      <c r="K39" s="63">
        <f t="shared" si="9"/>
        <v>0</v>
      </c>
      <c r="L39" s="55">
        <f t="shared" si="10"/>
        <v>0</v>
      </c>
      <c r="N39" s="33">
        <v>20</v>
      </c>
      <c r="O39" s="28"/>
      <c r="P39" s="88"/>
      <c r="Q39" s="88"/>
      <c r="R39" s="37"/>
      <c r="S39" s="20"/>
      <c r="T39" s="3"/>
      <c r="U39" s="3"/>
      <c r="V39" s="3"/>
      <c r="W39" s="3"/>
      <c r="X39" s="10"/>
      <c r="Y39" s="17"/>
      <c r="Z39" s="2"/>
      <c r="AA39" s="2"/>
      <c r="AB39" s="2"/>
      <c r="AC39" s="3"/>
      <c r="AD39" s="37"/>
      <c r="AE39" s="9"/>
      <c r="AF39" s="2"/>
      <c r="AG39" s="2"/>
      <c r="AH39" s="2"/>
      <c r="AI39" s="3"/>
      <c r="AJ39" s="10"/>
      <c r="AK39" s="28"/>
      <c r="AL39" s="3"/>
      <c r="AM39" s="3"/>
      <c r="AN39" s="10"/>
      <c r="AO39" s="28"/>
      <c r="AP39" s="28"/>
      <c r="AQ39" s="3"/>
      <c r="AR39" s="10"/>
      <c r="AS39" s="20"/>
      <c r="AT39" s="28"/>
      <c r="AU39" s="3"/>
      <c r="AV39" s="10"/>
      <c r="AW39" s="20"/>
      <c r="AX39" s="28"/>
      <c r="AY39" s="3"/>
      <c r="AZ39" s="10"/>
      <c r="BA39" s="20"/>
      <c r="BB39" s="28"/>
      <c r="BC39" s="3"/>
      <c r="BD39" s="10"/>
      <c r="BE39" s="23"/>
      <c r="BF39" s="28"/>
      <c r="BG39" s="3"/>
      <c r="BH39" s="10"/>
      <c r="BI39" s="20"/>
      <c r="BJ39" s="28"/>
      <c r="BK39" s="3"/>
      <c r="BL39" s="10"/>
    </row>
    <row r="40" spans="2:64" x14ac:dyDescent="0.3">
      <c r="B40" s="62">
        <f t="shared" si="0"/>
        <v>0</v>
      </c>
      <c r="C40" s="47">
        <f t="shared" si="1"/>
        <v>0</v>
      </c>
      <c r="D40" s="47">
        <f t="shared" si="2"/>
        <v>0</v>
      </c>
      <c r="E40" s="47">
        <f t="shared" si="3"/>
        <v>0</v>
      </c>
      <c r="F40" s="47">
        <f t="shared" si="4"/>
        <v>0</v>
      </c>
      <c r="G40" s="47">
        <f t="shared" si="5"/>
        <v>0</v>
      </c>
      <c r="H40" s="47">
        <f t="shared" si="6"/>
        <v>0</v>
      </c>
      <c r="I40" s="47">
        <f t="shared" si="7"/>
        <v>0</v>
      </c>
      <c r="J40" s="47">
        <f t="shared" si="8"/>
        <v>0</v>
      </c>
      <c r="K40" s="63">
        <f t="shared" si="9"/>
        <v>0</v>
      </c>
      <c r="L40" s="55">
        <f t="shared" si="10"/>
        <v>0</v>
      </c>
      <c r="N40" s="33">
        <v>21</v>
      </c>
      <c r="O40" s="28"/>
      <c r="P40" s="88"/>
      <c r="Q40" s="88"/>
      <c r="R40" s="37"/>
      <c r="S40" s="20"/>
      <c r="T40" s="3"/>
      <c r="U40" s="3"/>
      <c r="V40" s="3"/>
      <c r="W40" s="3"/>
      <c r="X40" s="10"/>
      <c r="Y40" s="17"/>
      <c r="Z40" s="2"/>
      <c r="AA40" s="2"/>
      <c r="AB40" s="2"/>
      <c r="AC40" s="3"/>
      <c r="AD40" s="37"/>
      <c r="AE40" s="9"/>
      <c r="AF40" s="2"/>
      <c r="AG40" s="2"/>
      <c r="AH40" s="2"/>
      <c r="AI40" s="3"/>
      <c r="AJ40" s="10"/>
      <c r="AK40" s="28"/>
      <c r="AL40" s="3"/>
      <c r="AM40" s="3"/>
      <c r="AN40" s="10"/>
      <c r="AO40" s="28"/>
      <c r="AP40" s="28"/>
      <c r="AQ40" s="3"/>
      <c r="AR40" s="10"/>
      <c r="AS40" s="20"/>
      <c r="AT40" s="28"/>
      <c r="AU40" s="3"/>
      <c r="AV40" s="10"/>
      <c r="AW40" s="20"/>
      <c r="AX40" s="28"/>
      <c r="AY40" s="3"/>
      <c r="AZ40" s="10"/>
      <c r="BA40" s="20"/>
      <c r="BB40" s="28"/>
      <c r="BC40" s="3"/>
      <c r="BD40" s="10"/>
      <c r="BE40" s="23"/>
      <c r="BF40" s="28"/>
      <c r="BG40" s="3"/>
      <c r="BH40" s="10"/>
      <c r="BI40" s="20"/>
      <c r="BJ40" s="28"/>
      <c r="BK40" s="3"/>
      <c r="BL40" s="10"/>
    </row>
    <row r="41" spans="2:64" x14ac:dyDescent="0.3">
      <c r="B41" s="62">
        <f t="shared" si="0"/>
        <v>0</v>
      </c>
      <c r="C41" s="47">
        <f t="shared" si="1"/>
        <v>0</v>
      </c>
      <c r="D41" s="47">
        <f t="shared" si="2"/>
        <v>0</v>
      </c>
      <c r="E41" s="47">
        <f t="shared" si="3"/>
        <v>0</v>
      </c>
      <c r="F41" s="47">
        <f t="shared" si="4"/>
        <v>0</v>
      </c>
      <c r="G41" s="47">
        <f t="shared" si="5"/>
        <v>0</v>
      </c>
      <c r="H41" s="47">
        <f t="shared" si="6"/>
        <v>0</v>
      </c>
      <c r="I41" s="47">
        <f t="shared" si="7"/>
        <v>0</v>
      </c>
      <c r="J41" s="47">
        <f t="shared" si="8"/>
        <v>0</v>
      </c>
      <c r="K41" s="63">
        <f t="shared" si="9"/>
        <v>0</v>
      </c>
      <c r="L41" s="55">
        <f t="shared" si="10"/>
        <v>0</v>
      </c>
      <c r="N41" s="33">
        <v>22</v>
      </c>
      <c r="O41" s="28"/>
      <c r="P41" s="88"/>
      <c r="Q41" s="88"/>
      <c r="R41" s="37"/>
      <c r="S41" s="20"/>
      <c r="T41" s="3"/>
      <c r="U41" s="3"/>
      <c r="V41" s="3"/>
      <c r="W41" s="3"/>
      <c r="X41" s="10"/>
      <c r="Y41" s="17"/>
      <c r="Z41" s="2"/>
      <c r="AA41" s="2"/>
      <c r="AB41" s="2"/>
      <c r="AC41" s="3"/>
      <c r="AD41" s="37"/>
      <c r="AE41" s="9"/>
      <c r="AF41" s="2"/>
      <c r="AG41" s="2"/>
      <c r="AH41" s="2"/>
      <c r="AI41" s="3"/>
      <c r="AJ41" s="10"/>
      <c r="AK41" s="28"/>
      <c r="AL41" s="3"/>
      <c r="AM41" s="3"/>
      <c r="AN41" s="10"/>
      <c r="AO41" s="28"/>
      <c r="AP41" s="28"/>
      <c r="AQ41" s="3"/>
      <c r="AR41" s="10"/>
      <c r="AS41" s="20"/>
      <c r="AT41" s="28"/>
      <c r="AU41" s="3"/>
      <c r="AV41" s="10"/>
      <c r="AW41" s="20"/>
      <c r="AX41" s="28"/>
      <c r="AY41" s="3"/>
      <c r="AZ41" s="10"/>
      <c r="BA41" s="20"/>
      <c r="BB41" s="28"/>
      <c r="BC41" s="3"/>
      <c r="BD41" s="10"/>
      <c r="BE41" s="23"/>
      <c r="BF41" s="28"/>
      <c r="BG41" s="3"/>
      <c r="BH41" s="10"/>
      <c r="BI41" s="20"/>
      <c r="BJ41" s="28"/>
      <c r="BK41" s="3"/>
      <c r="BL41" s="10"/>
    </row>
    <row r="42" spans="2:64" x14ac:dyDescent="0.3">
      <c r="B42" s="62">
        <f t="shared" si="0"/>
        <v>0</v>
      </c>
      <c r="C42" s="47">
        <f t="shared" si="1"/>
        <v>0</v>
      </c>
      <c r="D42" s="47">
        <f t="shared" si="2"/>
        <v>0</v>
      </c>
      <c r="E42" s="47">
        <f t="shared" si="3"/>
        <v>0</v>
      </c>
      <c r="F42" s="47">
        <f t="shared" si="4"/>
        <v>0</v>
      </c>
      <c r="G42" s="47">
        <f t="shared" si="5"/>
        <v>0</v>
      </c>
      <c r="H42" s="47">
        <f t="shared" si="6"/>
        <v>0</v>
      </c>
      <c r="I42" s="47">
        <f t="shared" si="7"/>
        <v>0</v>
      </c>
      <c r="J42" s="47">
        <f t="shared" si="8"/>
        <v>0</v>
      </c>
      <c r="K42" s="63">
        <f t="shared" si="9"/>
        <v>0</v>
      </c>
      <c r="L42" s="55">
        <f t="shared" si="10"/>
        <v>0</v>
      </c>
      <c r="N42" s="33">
        <v>23</v>
      </c>
      <c r="O42" s="28"/>
      <c r="P42" s="88"/>
      <c r="Q42" s="88"/>
      <c r="R42" s="37"/>
      <c r="S42" s="20"/>
      <c r="T42" s="3"/>
      <c r="U42" s="3"/>
      <c r="V42" s="3"/>
      <c r="W42" s="3"/>
      <c r="X42" s="10"/>
      <c r="Y42" s="17"/>
      <c r="Z42" s="2"/>
      <c r="AA42" s="2"/>
      <c r="AB42" s="2"/>
      <c r="AC42" s="3"/>
      <c r="AD42" s="37"/>
      <c r="AE42" s="9"/>
      <c r="AF42" s="2"/>
      <c r="AG42" s="2"/>
      <c r="AH42" s="2"/>
      <c r="AI42" s="3"/>
      <c r="AJ42" s="10"/>
      <c r="AK42" s="28"/>
      <c r="AL42" s="3"/>
      <c r="AM42" s="3"/>
      <c r="AN42" s="10"/>
      <c r="AO42" s="28"/>
      <c r="AP42" s="28"/>
      <c r="AQ42" s="3"/>
      <c r="AR42" s="10"/>
      <c r="AS42" s="20"/>
      <c r="AT42" s="28"/>
      <c r="AU42" s="3"/>
      <c r="AV42" s="10"/>
      <c r="AW42" s="20"/>
      <c r="AX42" s="28"/>
      <c r="AY42" s="3"/>
      <c r="AZ42" s="10"/>
      <c r="BA42" s="20"/>
      <c r="BB42" s="28"/>
      <c r="BC42" s="3"/>
      <c r="BD42" s="10"/>
      <c r="BE42" s="23"/>
      <c r="BF42" s="28"/>
      <c r="BG42" s="3"/>
      <c r="BH42" s="10"/>
      <c r="BI42" s="20"/>
      <c r="BJ42" s="28"/>
      <c r="BK42" s="3"/>
      <c r="BL42" s="10"/>
    </row>
    <row r="43" spans="2:64" x14ac:dyDescent="0.3">
      <c r="B43" s="62">
        <f t="shared" si="0"/>
        <v>0</v>
      </c>
      <c r="C43" s="47">
        <f t="shared" si="1"/>
        <v>0</v>
      </c>
      <c r="D43" s="47">
        <f t="shared" si="2"/>
        <v>0</v>
      </c>
      <c r="E43" s="47">
        <f t="shared" si="3"/>
        <v>0</v>
      </c>
      <c r="F43" s="47">
        <f t="shared" si="4"/>
        <v>0</v>
      </c>
      <c r="G43" s="47">
        <f t="shared" si="5"/>
        <v>0</v>
      </c>
      <c r="H43" s="47">
        <f t="shared" si="6"/>
        <v>0</v>
      </c>
      <c r="I43" s="47">
        <f t="shared" si="7"/>
        <v>0</v>
      </c>
      <c r="J43" s="47">
        <f t="shared" si="8"/>
        <v>0</v>
      </c>
      <c r="K43" s="63">
        <f t="shared" si="9"/>
        <v>0</v>
      </c>
      <c r="L43" s="55">
        <f t="shared" si="10"/>
        <v>0</v>
      </c>
      <c r="N43" s="33">
        <v>24</v>
      </c>
      <c r="O43" s="28"/>
      <c r="P43" s="88"/>
      <c r="Q43" s="88"/>
      <c r="R43" s="37"/>
      <c r="S43" s="20"/>
      <c r="T43" s="3"/>
      <c r="U43" s="3"/>
      <c r="V43" s="3"/>
      <c r="W43" s="3"/>
      <c r="X43" s="10"/>
      <c r="Y43" s="17"/>
      <c r="Z43" s="2"/>
      <c r="AA43" s="2"/>
      <c r="AB43" s="2"/>
      <c r="AC43" s="3"/>
      <c r="AD43" s="37"/>
      <c r="AE43" s="9"/>
      <c r="AF43" s="2"/>
      <c r="AG43" s="2"/>
      <c r="AH43" s="2"/>
      <c r="AI43" s="3"/>
      <c r="AJ43" s="10"/>
      <c r="AK43" s="28"/>
      <c r="AL43" s="3"/>
      <c r="AM43" s="3"/>
      <c r="AN43" s="10"/>
      <c r="AO43" s="28"/>
      <c r="AP43" s="28"/>
      <c r="AQ43" s="3"/>
      <c r="AR43" s="10"/>
      <c r="AS43" s="20"/>
      <c r="AT43" s="28"/>
      <c r="AU43" s="3"/>
      <c r="AV43" s="10"/>
      <c r="AW43" s="20"/>
      <c r="AX43" s="28"/>
      <c r="AY43" s="3"/>
      <c r="AZ43" s="10"/>
      <c r="BA43" s="20"/>
      <c r="BB43" s="28"/>
      <c r="BC43" s="3"/>
      <c r="BD43" s="10"/>
      <c r="BE43" s="23"/>
      <c r="BF43" s="28"/>
      <c r="BG43" s="3"/>
      <c r="BH43" s="10"/>
      <c r="BI43" s="20"/>
      <c r="BJ43" s="28"/>
      <c r="BK43" s="3"/>
      <c r="BL43" s="10"/>
    </row>
    <row r="44" spans="2:64" x14ac:dyDescent="0.3">
      <c r="B44" s="62">
        <f t="shared" si="0"/>
        <v>0</v>
      </c>
      <c r="C44" s="47">
        <f t="shared" si="1"/>
        <v>0</v>
      </c>
      <c r="D44" s="47">
        <f t="shared" si="2"/>
        <v>0</v>
      </c>
      <c r="E44" s="47">
        <f t="shared" si="3"/>
        <v>0</v>
      </c>
      <c r="F44" s="47">
        <f t="shared" si="4"/>
        <v>0</v>
      </c>
      <c r="G44" s="47">
        <f t="shared" si="5"/>
        <v>0</v>
      </c>
      <c r="H44" s="47">
        <f t="shared" si="6"/>
        <v>0</v>
      </c>
      <c r="I44" s="47">
        <f t="shared" si="7"/>
        <v>0</v>
      </c>
      <c r="J44" s="47">
        <f t="shared" si="8"/>
        <v>0</v>
      </c>
      <c r="K44" s="63">
        <f t="shared" si="9"/>
        <v>0</v>
      </c>
      <c r="L44" s="55">
        <f t="shared" si="10"/>
        <v>0</v>
      </c>
      <c r="N44" s="33">
        <v>25</v>
      </c>
      <c r="O44" s="28"/>
      <c r="P44" s="88"/>
      <c r="Q44" s="88"/>
      <c r="R44" s="37"/>
      <c r="S44" s="20"/>
      <c r="T44" s="3"/>
      <c r="U44" s="3"/>
      <c r="V44" s="3"/>
      <c r="W44" s="3"/>
      <c r="X44" s="10"/>
      <c r="Y44" s="17"/>
      <c r="Z44" s="2"/>
      <c r="AA44" s="2"/>
      <c r="AB44" s="2"/>
      <c r="AC44" s="3"/>
      <c r="AD44" s="37"/>
      <c r="AE44" s="9"/>
      <c r="AF44" s="2"/>
      <c r="AG44" s="2"/>
      <c r="AH44" s="2"/>
      <c r="AI44" s="3"/>
      <c r="AJ44" s="10"/>
      <c r="AK44" s="28"/>
      <c r="AL44" s="3"/>
      <c r="AM44" s="3"/>
      <c r="AN44" s="10"/>
      <c r="AO44" s="28"/>
      <c r="AP44" s="28"/>
      <c r="AQ44" s="3"/>
      <c r="AR44" s="10"/>
      <c r="AS44" s="20"/>
      <c r="AT44" s="28"/>
      <c r="AU44" s="3"/>
      <c r="AV44" s="10"/>
      <c r="AW44" s="20"/>
      <c r="AX44" s="28"/>
      <c r="AY44" s="3"/>
      <c r="AZ44" s="10"/>
      <c r="BA44" s="20"/>
      <c r="BB44" s="28"/>
      <c r="BC44" s="3"/>
      <c r="BD44" s="10"/>
      <c r="BE44" s="23"/>
      <c r="BF44" s="28"/>
      <c r="BG44" s="3"/>
      <c r="BH44" s="10"/>
      <c r="BI44" s="20"/>
      <c r="BJ44" s="28"/>
      <c r="BK44" s="3"/>
      <c r="BL44" s="10"/>
    </row>
    <row r="45" spans="2:64" x14ac:dyDescent="0.3">
      <c r="B45" s="62">
        <f t="shared" si="0"/>
        <v>0</v>
      </c>
      <c r="C45" s="47">
        <f t="shared" si="1"/>
        <v>0</v>
      </c>
      <c r="D45" s="47">
        <f t="shared" si="2"/>
        <v>0</v>
      </c>
      <c r="E45" s="47">
        <f t="shared" si="3"/>
        <v>0</v>
      </c>
      <c r="F45" s="47">
        <f t="shared" si="4"/>
        <v>0</v>
      </c>
      <c r="G45" s="47">
        <f t="shared" si="5"/>
        <v>0</v>
      </c>
      <c r="H45" s="47">
        <f t="shared" si="6"/>
        <v>0</v>
      </c>
      <c r="I45" s="47">
        <f t="shared" si="7"/>
        <v>0</v>
      </c>
      <c r="J45" s="47">
        <f t="shared" si="8"/>
        <v>0</v>
      </c>
      <c r="K45" s="63">
        <f t="shared" si="9"/>
        <v>0</v>
      </c>
      <c r="L45" s="55">
        <f t="shared" si="10"/>
        <v>0</v>
      </c>
      <c r="N45" s="33">
        <v>26</v>
      </c>
      <c r="O45" s="28"/>
      <c r="P45" s="88"/>
      <c r="Q45" s="88"/>
      <c r="R45" s="37"/>
      <c r="S45" s="20"/>
      <c r="T45" s="3"/>
      <c r="U45" s="3"/>
      <c r="V45" s="3"/>
      <c r="W45" s="3"/>
      <c r="X45" s="10"/>
      <c r="Y45" s="17"/>
      <c r="Z45" s="2"/>
      <c r="AA45" s="2"/>
      <c r="AB45" s="2"/>
      <c r="AC45" s="3"/>
      <c r="AD45" s="37"/>
      <c r="AE45" s="9"/>
      <c r="AF45" s="2"/>
      <c r="AG45" s="2"/>
      <c r="AH45" s="2"/>
      <c r="AI45" s="3"/>
      <c r="AJ45" s="10"/>
      <c r="AK45" s="28"/>
      <c r="AL45" s="3"/>
      <c r="AM45" s="3"/>
      <c r="AN45" s="10"/>
      <c r="AO45" s="28"/>
      <c r="AP45" s="28"/>
      <c r="AQ45" s="3"/>
      <c r="AR45" s="10"/>
      <c r="AS45" s="20"/>
      <c r="AT45" s="28"/>
      <c r="AU45" s="3"/>
      <c r="AV45" s="10"/>
      <c r="AW45" s="20"/>
      <c r="AX45" s="28"/>
      <c r="AY45" s="3"/>
      <c r="AZ45" s="10"/>
      <c r="BA45" s="20"/>
      <c r="BB45" s="28"/>
      <c r="BC45" s="3"/>
      <c r="BD45" s="10"/>
      <c r="BE45" s="23"/>
      <c r="BF45" s="28"/>
      <c r="BG45" s="3"/>
      <c r="BH45" s="10"/>
      <c r="BI45" s="20"/>
      <c r="BJ45" s="28"/>
      <c r="BK45" s="3"/>
      <c r="BL45" s="10"/>
    </row>
    <row r="46" spans="2:64" x14ac:dyDescent="0.3">
      <c r="B46" s="62">
        <f t="shared" si="0"/>
        <v>0</v>
      </c>
      <c r="C46" s="47">
        <f t="shared" si="1"/>
        <v>0</v>
      </c>
      <c r="D46" s="47">
        <f t="shared" si="2"/>
        <v>0</v>
      </c>
      <c r="E46" s="47">
        <f t="shared" si="3"/>
        <v>0</v>
      </c>
      <c r="F46" s="47">
        <f t="shared" si="4"/>
        <v>0</v>
      </c>
      <c r="G46" s="47">
        <f t="shared" si="5"/>
        <v>0</v>
      </c>
      <c r="H46" s="47">
        <f t="shared" si="6"/>
        <v>0</v>
      </c>
      <c r="I46" s="47">
        <f t="shared" si="7"/>
        <v>0</v>
      </c>
      <c r="J46" s="47">
        <f t="shared" si="8"/>
        <v>0</v>
      </c>
      <c r="K46" s="63">
        <f t="shared" si="9"/>
        <v>0</v>
      </c>
      <c r="L46" s="55">
        <f t="shared" si="10"/>
        <v>0</v>
      </c>
      <c r="N46" s="33">
        <v>27</v>
      </c>
      <c r="O46" s="28"/>
      <c r="P46" s="88"/>
      <c r="Q46" s="88"/>
      <c r="R46" s="37"/>
      <c r="S46" s="20"/>
      <c r="T46" s="3"/>
      <c r="U46" s="3"/>
      <c r="V46" s="3"/>
      <c r="W46" s="3"/>
      <c r="X46" s="10"/>
      <c r="Y46" s="17"/>
      <c r="Z46" s="2"/>
      <c r="AA46" s="2"/>
      <c r="AB46" s="2"/>
      <c r="AC46" s="3"/>
      <c r="AD46" s="37"/>
      <c r="AE46" s="9"/>
      <c r="AF46" s="2"/>
      <c r="AG46" s="2"/>
      <c r="AH46" s="2"/>
      <c r="AI46" s="3"/>
      <c r="AJ46" s="10"/>
      <c r="AK46" s="28"/>
      <c r="AL46" s="3"/>
      <c r="AM46" s="3"/>
      <c r="AN46" s="10"/>
      <c r="AO46" s="28"/>
      <c r="AP46" s="28"/>
      <c r="AQ46" s="3"/>
      <c r="AR46" s="10"/>
      <c r="AS46" s="20"/>
      <c r="AT46" s="28"/>
      <c r="AU46" s="3"/>
      <c r="AV46" s="10"/>
      <c r="AW46" s="20"/>
      <c r="AX46" s="28"/>
      <c r="AY46" s="3"/>
      <c r="AZ46" s="10"/>
      <c r="BA46" s="20"/>
      <c r="BB46" s="28"/>
      <c r="BC46" s="3"/>
      <c r="BD46" s="10"/>
      <c r="BE46" s="23"/>
      <c r="BF46" s="28"/>
      <c r="BG46" s="3"/>
      <c r="BH46" s="10"/>
      <c r="BI46" s="20"/>
      <c r="BJ46" s="28"/>
      <c r="BK46" s="3"/>
      <c r="BL46" s="10"/>
    </row>
    <row r="47" spans="2:64" x14ac:dyDescent="0.3">
      <c r="B47" s="62">
        <f t="shared" si="0"/>
        <v>0</v>
      </c>
      <c r="C47" s="47">
        <f t="shared" si="1"/>
        <v>0</v>
      </c>
      <c r="D47" s="47">
        <f t="shared" si="2"/>
        <v>0</v>
      </c>
      <c r="E47" s="47">
        <f t="shared" si="3"/>
        <v>0</v>
      </c>
      <c r="F47" s="47">
        <f t="shared" si="4"/>
        <v>0</v>
      </c>
      <c r="G47" s="47">
        <f t="shared" si="5"/>
        <v>0</v>
      </c>
      <c r="H47" s="47">
        <f t="shared" si="6"/>
        <v>0</v>
      </c>
      <c r="I47" s="47">
        <f t="shared" si="7"/>
        <v>0</v>
      </c>
      <c r="J47" s="47">
        <f t="shared" si="8"/>
        <v>0</v>
      </c>
      <c r="K47" s="63">
        <f t="shared" si="9"/>
        <v>0</v>
      </c>
      <c r="L47" s="55">
        <f t="shared" si="10"/>
        <v>0</v>
      </c>
      <c r="N47" s="33">
        <v>28</v>
      </c>
      <c r="O47" s="28"/>
      <c r="P47" s="88"/>
      <c r="Q47" s="88"/>
      <c r="R47" s="37"/>
      <c r="S47" s="20"/>
      <c r="T47" s="3"/>
      <c r="U47" s="3"/>
      <c r="V47" s="3"/>
      <c r="W47" s="3"/>
      <c r="X47" s="10"/>
      <c r="Y47" s="17"/>
      <c r="Z47" s="2"/>
      <c r="AA47" s="2"/>
      <c r="AB47" s="2"/>
      <c r="AC47" s="3"/>
      <c r="AD47" s="37"/>
      <c r="AE47" s="9"/>
      <c r="AF47" s="2"/>
      <c r="AG47" s="2"/>
      <c r="AH47" s="2"/>
      <c r="AI47" s="3"/>
      <c r="AJ47" s="10"/>
      <c r="AK47" s="28"/>
      <c r="AL47" s="3"/>
      <c r="AM47" s="3"/>
      <c r="AN47" s="10"/>
      <c r="AO47" s="28"/>
      <c r="AP47" s="28"/>
      <c r="AQ47" s="3"/>
      <c r="AR47" s="10"/>
      <c r="AS47" s="20"/>
      <c r="AT47" s="28"/>
      <c r="AU47" s="3"/>
      <c r="AV47" s="10"/>
      <c r="AW47" s="20"/>
      <c r="AX47" s="28"/>
      <c r="AY47" s="3"/>
      <c r="AZ47" s="10"/>
      <c r="BA47" s="20"/>
      <c r="BB47" s="28"/>
      <c r="BC47" s="3"/>
      <c r="BD47" s="10"/>
      <c r="BE47" s="23"/>
      <c r="BF47" s="28"/>
      <c r="BG47" s="3"/>
      <c r="BH47" s="10"/>
      <c r="BI47" s="20"/>
      <c r="BJ47" s="28"/>
      <c r="BK47" s="3"/>
      <c r="BL47" s="10"/>
    </row>
    <row r="48" spans="2:64" x14ac:dyDescent="0.3">
      <c r="B48" s="62">
        <f t="shared" si="0"/>
        <v>0</v>
      </c>
      <c r="C48" s="47">
        <f t="shared" si="1"/>
        <v>0</v>
      </c>
      <c r="D48" s="47">
        <f t="shared" si="2"/>
        <v>0</v>
      </c>
      <c r="E48" s="47">
        <f t="shared" si="3"/>
        <v>0</v>
      </c>
      <c r="F48" s="47">
        <f t="shared" si="4"/>
        <v>0</v>
      </c>
      <c r="G48" s="47">
        <f t="shared" si="5"/>
        <v>0</v>
      </c>
      <c r="H48" s="47">
        <f t="shared" si="6"/>
        <v>0</v>
      </c>
      <c r="I48" s="47">
        <f t="shared" si="7"/>
        <v>0</v>
      </c>
      <c r="J48" s="47">
        <f t="shared" si="8"/>
        <v>0</v>
      </c>
      <c r="K48" s="63">
        <f t="shared" si="9"/>
        <v>0</v>
      </c>
      <c r="L48" s="55">
        <f t="shared" si="10"/>
        <v>0</v>
      </c>
      <c r="N48" s="33">
        <v>29</v>
      </c>
      <c r="O48" s="28"/>
      <c r="P48" s="88"/>
      <c r="Q48" s="88"/>
      <c r="R48" s="37"/>
      <c r="S48" s="20"/>
      <c r="T48" s="3"/>
      <c r="U48" s="3"/>
      <c r="V48" s="3"/>
      <c r="W48" s="3"/>
      <c r="X48" s="10"/>
      <c r="Y48" s="17"/>
      <c r="Z48" s="2"/>
      <c r="AA48" s="2"/>
      <c r="AB48" s="2"/>
      <c r="AC48" s="3"/>
      <c r="AD48" s="37"/>
      <c r="AE48" s="9"/>
      <c r="AF48" s="2"/>
      <c r="AG48" s="2"/>
      <c r="AH48" s="2"/>
      <c r="AI48" s="3"/>
      <c r="AJ48" s="10"/>
      <c r="AK48" s="28"/>
      <c r="AL48" s="3"/>
      <c r="AM48" s="3"/>
      <c r="AN48" s="10"/>
      <c r="AO48" s="28"/>
      <c r="AP48" s="28"/>
      <c r="AQ48" s="3"/>
      <c r="AR48" s="10"/>
      <c r="AS48" s="20"/>
      <c r="AT48" s="28"/>
      <c r="AU48" s="3"/>
      <c r="AV48" s="10"/>
      <c r="AW48" s="20"/>
      <c r="AX48" s="28"/>
      <c r="AY48" s="3"/>
      <c r="AZ48" s="10"/>
      <c r="BA48" s="20"/>
      <c r="BB48" s="28"/>
      <c r="BC48" s="3"/>
      <c r="BD48" s="10"/>
      <c r="BE48" s="23"/>
      <c r="BF48" s="28"/>
      <c r="BG48" s="3"/>
      <c r="BH48" s="10"/>
      <c r="BI48" s="20"/>
      <c r="BJ48" s="28"/>
      <c r="BK48" s="3"/>
      <c r="BL48" s="10"/>
    </row>
    <row r="49" spans="2:64" x14ac:dyDescent="0.3">
      <c r="B49" s="62">
        <f t="shared" si="0"/>
        <v>0</v>
      </c>
      <c r="C49" s="47">
        <f t="shared" si="1"/>
        <v>0</v>
      </c>
      <c r="D49" s="47">
        <f t="shared" si="2"/>
        <v>0</v>
      </c>
      <c r="E49" s="47">
        <f t="shared" si="3"/>
        <v>0</v>
      </c>
      <c r="F49" s="47">
        <f t="shared" si="4"/>
        <v>0</v>
      </c>
      <c r="G49" s="47">
        <f t="shared" si="5"/>
        <v>0</v>
      </c>
      <c r="H49" s="47">
        <f t="shared" si="6"/>
        <v>0</v>
      </c>
      <c r="I49" s="47">
        <f t="shared" si="7"/>
        <v>0</v>
      </c>
      <c r="J49" s="47">
        <f t="shared" si="8"/>
        <v>0</v>
      </c>
      <c r="K49" s="63">
        <f t="shared" si="9"/>
        <v>0</v>
      </c>
      <c r="L49" s="55">
        <f t="shared" si="10"/>
        <v>0</v>
      </c>
      <c r="N49" s="33">
        <v>30</v>
      </c>
      <c r="O49" s="28"/>
      <c r="P49" s="88"/>
      <c r="Q49" s="88"/>
      <c r="R49" s="37"/>
      <c r="S49" s="20"/>
      <c r="T49" s="3"/>
      <c r="U49" s="3"/>
      <c r="V49" s="3"/>
      <c r="W49" s="3"/>
      <c r="X49" s="10"/>
      <c r="Y49" s="17"/>
      <c r="Z49" s="2"/>
      <c r="AA49" s="2"/>
      <c r="AB49" s="2"/>
      <c r="AC49" s="3"/>
      <c r="AD49" s="37"/>
      <c r="AE49" s="9"/>
      <c r="AF49" s="2"/>
      <c r="AG49" s="2"/>
      <c r="AH49" s="2"/>
      <c r="AI49" s="3"/>
      <c r="AJ49" s="10"/>
      <c r="AK49" s="28"/>
      <c r="AL49" s="3"/>
      <c r="AM49" s="3"/>
      <c r="AN49" s="10"/>
      <c r="AO49" s="28"/>
      <c r="AP49" s="28"/>
      <c r="AQ49" s="3"/>
      <c r="AR49" s="10"/>
      <c r="AS49" s="20"/>
      <c r="AT49" s="28"/>
      <c r="AU49" s="3"/>
      <c r="AV49" s="10"/>
      <c r="AW49" s="20"/>
      <c r="AX49" s="28"/>
      <c r="AY49" s="3"/>
      <c r="AZ49" s="10"/>
      <c r="BA49" s="20"/>
      <c r="BB49" s="28"/>
      <c r="BC49" s="3"/>
      <c r="BD49" s="10"/>
      <c r="BE49" s="23"/>
      <c r="BF49" s="28"/>
      <c r="BG49" s="3"/>
      <c r="BH49" s="10"/>
      <c r="BI49" s="20"/>
      <c r="BJ49" s="28"/>
      <c r="BK49" s="3"/>
      <c r="BL49" s="10"/>
    </row>
    <row r="50" spans="2:64" x14ac:dyDescent="0.3">
      <c r="B50" s="62">
        <f t="shared" si="0"/>
        <v>0</v>
      </c>
      <c r="C50" s="47">
        <f t="shared" si="1"/>
        <v>0</v>
      </c>
      <c r="D50" s="47">
        <f t="shared" si="2"/>
        <v>0</v>
      </c>
      <c r="E50" s="47">
        <f t="shared" si="3"/>
        <v>0</v>
      </c>
      <c r="F50" s="47">
        <f t="shared" si="4"/>
        <v>0</v>
      </c>
      <c r="G50" s="47">
        <f t="shared" si="5"/>
        <v>0</v>
      </c>
      <c r="H50" s="47">
        <f t="shared" si="6"/>
        <v>0</v>
      </c>
      <c r="I50" s="47">
        <f t="shared" si="7"/>
        <v>0</v>
      </c>
      <c r="J50" s="47">
        <f t="shared" si="8"/>
        <v>0</v>
      </c>
      <c r="K50" s="63">
        <f t="shared" si="9"/>
        <v>0</v>
      </c>
      <c r="L50" s="55">
        <f t="shared" si="10"/>
        <v>0</v>
      </c>
      <c r="N50" s="33">
        <v>31</v>
      </c>
      <c r="O50" s="28"/>
      <c r="P50" s="88"/>
      <c r="Q50" s="88"/>
      <c r="R50" s="37"/>
      <c r="S50" s="20"/>
      <c r="T50" s="3"/>
      <c r="U50" s="3"/>
      <c r="V50" s="3"/>
      <c r="W50" s="3"/>
      <c r="X50" s="10"/>
      <c r="Y50" s="17"/>
      <c r="Z50" s="2"/>
      <c r="AA50" s="2"/>
      <c r="AB50" s="2"/>
      <c r="AC50" s="3"/>
      <c r="AD50" s="37"/>
      <c r="AE50" s="9"/>
      <c r="AF50" s="2"/>
      <c r="AG50" s="2"/>
      <c r="AH50" s="2"/>
      <c r="AI50" s="3"/>
      <c r="AJ50" s="10"/>
      <c r="AK50" s="28"/>
      <c r="AL50" s="3"/>
      <c r="AM50" s="3"/>
      <c r="AN50" s="10"/>
      <c r="AO50" s="28"/>
      <c r="AP50" s="28"/>
      <c r="AQ50" s="3"/>
      <c r="AR50" s="10"/>
      <c r="AS50" s="20"/>
      <c r="AT50" s="28"/>
      <c r="AU50" s="3"/>
      <c r="AV50" s="10"/>
      <c r="AW50" s="20"/>
      <c r="AX50" s="28"/>
      <c r="AY50" s="3"/>
      <c r="AZ50" s="10"/>
      <c r="BA50" s="20"/>
      <c r="BB50" s="28"/>
      <c r="BC50" s="3"/>
      <c r="BD50" s="10"/>
      <c r="BE50" s="23"/>
      <c r="BF50" s="28"/>
      <c r="BG50" s="3"/>
      <c r="BH50" s="10"/>
      <c r="BI50" s="20"/>
      <c r="BJ50" s="28"/>
      <c r="BK50" s="3"/>
      <c r="BL50" s="10"/>
    </row>
    <row r="51" spans="2:64" ht="15" thickBot="1" x14ac:dyDescent="0.35">
      <c r="B51" s="64">
        <f t="shared" si="0"/>
        <v>0</v>
      </c>
      <c r="C51" s="65">
        <f t="shared" si="1"/>
        <v>0</v>
      </c>
      <c r="D51" s="65">
        <f t="shared" si="2"/>
        <v>0</v>
      </c>
      <c r="E51" s="65">
        <f t="shared" si="3"/>
        <v>0</v>
      </c>
      <c r="F51" s="65">
        <f t="shared" si="4"/>
        <v>0</v>
      </c>
      <c r="G51" s="65">
        <f t="shared" si="5"/>
        <v>0</v>
      </c>
      <c r="H51" s="65">
        <f t="shared" si="6"/>
        <v>0</v>
      </c>
      <c r="I51" s="65">
        <f t="shared" si="7"/>
        <v>0</v>
      </c>
      <c r="J51" s="65">
        <f t="shared" si="8"/>
        <v>0</v>
      </c>
      <c r="K51" s="66">
        <f t="shared" si="9"/>
        <v>0</v>
      </c>
      <c r="L51" s="55">
        <f t="shared" si="10"/>
        <v>0</v>
      </c>
      <c r="N51" s="33">
        <v>32</v>
      </c>
      <c r="O51" s="28"/>
      <c r="P51" s="88"/>
      <c r="Q51" s="88"/>
      <c r="R51" s="37"/>
      <c r="S51" s="20"/>
      <c r="T51" s="3"/>
      <c r="U51" s="3"/>
      <c r="V51" s="3"/>
      <c r="W51" s="3"/>
      <c r="X51" s="10"/>
      <c r="Y51" s="17"/>
      <c r="Z51" s="2"/>
      <c r="AA51" s="2"/>
      <c r="AB51" s="2"/>
      <c r="AC51" s="3"/>
      <c r="AD51" s="37"/>
      <c r="AE51" s="9"/>
      <c r="AF51" s="2"/>
      <c r="AG51" s="2"/>
      <c r="AH51" s="2"/>
      <c r="AI51" s="3"/>
      <c r="AJ51" s="10"/>
      <c r="AK51" s="28"/>
      <c r="AL51" s="3"/>
      <c r="AM51" s="3"/>
      <c r="AN51" s="10"/>
      <c r="AO51" s="28"/>
      <c r="AP51" s="28"/>
      <c r="AQ51" s="3"/>
      <c r="AR51" s="10"/>
      <c r="AS51" s="20"/>
      <c r="AT51" s="28"/>
      <c r="AU51" s="3"/>
      <c r="AV51" s="10"/>
      <c r="AW51" s="20"/>
      <c r="AX51" s="28"/>
      <c r="AY51" s="3"/>
      <c r="AZ51" s="10"/>
      <c r="BA51" s="20"/>
      <c r="BB51" s="28"/>
      <c r="BC51" s="3"/>
      <c r="BD51" s="10"/>
      <c r="BE51" s="23"/>
      <c r="BF51" s="28"/>
      <c r="BG51" s="3"/>
      <c r="BH51" s="10"/>
      <c r="BI51" s="20"/>
      <c r="BJ51" s="28"/>
      <c r="BK51" s="3"/>
      <c r="BL51" s="10"/>
    </row>
    <row r="52" spans="2:64" x14ac:dyDescent="0.3">
      <c r="N52" s="34" t="s">
        <v>25</v>
      </c>
      <c r="O52" s="29"/>
      <c r="P52" s="89"/>
      <c r="Q52" s="89"/>
      <c r="R52" s="38"/>
      <c r="S52" s="18">
        <f>AVERAGE(S20:S51)</f>
        <v>9.9999999999999995E-7</v>
      </c>
      <c r="T52" s="4">
        <f>AVERAGE(T20:T51)</f>
        <v>9.9999999999999995E-7</v>
      </c>
      <c r="U52" s="4">
        <f>AVERAGE(U20:U51)</f>
        <v>9.9999999999999995E-7</v>
      </c>
      <c r="V52" s="4" t="e">
        <f>AVERAGE(V20:V51)</f>
        <v>#DIV/0!</v>
      </c>
      <c r="W52" s="4">
        <f>(SUM(D20:D51)+SUM(T20:T51)+SUM(S20:S51)*0.35)/SUM(S20:U51)</f>
        <v>0.45</v>
      </c>
      <c r="X52" s="48" t="e">
        <f>AVERAGE(X20:X51)</f>
        <v>#DIV/0!</v>
      </c>
      <c r="Y52" s="58">
        <f>AVERAGE(Y20:Y51)</f>
        <v>0.83333333333333337</v>
      </c>
      <c r="Z52" s="56">
        <f>AVERAGE(Z20:Z51)</f>
        <v>2.3333335000000002</v>
      </c>
      <c r="AA52" s="56">
        <f>AVERAGE(AA20:AA51)</f>
        <v>0.33333333333333331</v>
      </c>
      <c r="AB52" s="56" t="e">
        <f>AVERAGE(AB20:AB51)</f>
        <v>#DIV/0!</v>
      </c>
      <c r="AC52" s="56">
        <f>(SUM(B20:B51)+SUM(Z20:Z51)+SUM(Y20:Y51)*0.35)/SUM(Y20:AA51)</f>
        <v>0.92619047970521517</v>
      </c>
      <c r="AD52" s="76">
        <f>AVERAGE(AD20:AD51)</f>
        <v>8</v>
      </c>
      <c r="AE52" s="79">
        <f>AVERAGE(AE20:AE51)</f>
        <v>9.9999999999999995E-7</v>
      </c>
      <c r="AF52" s="56">
        <f>AVERAGE(AF20:AF51)</f>
        <v>9.9999999999999995E-7</v>
      </c>
      <c r="AG52" s="56">
        <f>AVERAGE(AG20:AG51)</f>
        <v>9.9999999999999995E-7</v>
      </c>
      <c r="AH52" s="56" t="e">
        <f>AVERAGE(AH20:AH51)</f>
        <v>#DIV/0!</v>
      </c>
      <c r="AI52" s="56">
        <f>(SUM(C20:C51)+SUM(AF20:AF51)+SUM(AE20:AE51)*0.35)/SUM(AE20:AG51)</f>
        <v>0.45</v>
      </c>
      <c r="AJ52" s="57" t="e">
        <f>AVERAGE(AJ20:AJ51)</f>
        <v>#DIV/0!</v>
      </c>
      <c r="AK52" s="58">
        <f>AVERAGE(AK20:AK51)</f>
        <v>10.5</v>
      </c>
      <c r="AL52" s="56" t="e">
        <f>AVERAGE(AL20:AL51)</f>
        <v>#DIV/0!</v>
      </c>
      <c r="AM52" s="56">
        <f>SUM(E20:E51)/SUM(AK20:AK51)</f>
        <v>2.3476190476190477</v>
      </c>
      <c r="AN52" s="57">
        <f>AVERAGE(AN20:AN51)</f>
        <v>8</v>
      </c>
      <c r="AO52" s="58">
        <f>AVERAGE(AO20:AO51)</f>
        <v>0.83333350000000006</v>
      </c>
      <c r="AP52" s="56" t="e">
        <f>AVERAGE(AP20:AP51)</f>
        <v>#DIV/0!</v>
      </c>
      <c r="AQ52" s="56">
        <f>SUM(F20:F51)/SUM(AO20:AO51)</f>
        <v>1.49999970000006</v>
      </c>
      <c r="AR52" s="57">
        <f>AVERAGE(AR20:AR51)</f>
        <v>7.333333333333333</v>
      </c>
      <c r="AS52" s="58">
        <f>AVERAGE(AS20:AS51)</f>
        <v>0.66666683333333332</v>
      </c>
      <c r="AT52" s="56" t="e">
        <f>AVERAGE(AT20:AT51)</f>
        <v>#DIV/0!</v>
      </c>
      <c r="AU52" s="56">
        <f>SUM(G20:G51)/SUM(AS20:AS51)</f>
        <v>1.1999997000000748</v>
      </c>
      <c r="AV52" s="57">
        <f>AVERAGE(AV20:AV51)</f>
        <v>7</v>
      </c>
      <c r="AW52" s="58">
        <f>AVERAGE(AW20:AW51)</f>
        <v>9.9999999999999995E-7</v>
      </c>
      <c r="AX52" s="56" t="e">
        <f>AVERAGE(AX20:AX51)</f>
        <v>#DIV/0!</v>
      </c>
      <c r="AY52" s="56">
        <f>SUM(H20:H51)/SUM(AW20:AW51)</f>
        <v>0</v>
      </c>
      <c r="AZ52" s="57" t="e">
        <f>AVERAGE(AZ20:AZ51)</f>
        <v>#DIV/0!</v>
      </c>
      <c r="BA52" s="58">
        <f>AVERAGE(BA20:BA51)</f>
        <v>9.9999999999999995E-7</v>
      </c>
      <c r="BB52" s="56" t="e">
        <f>AVERAGE(BB20:BB51)</f>
        <v>#DIV/0!</v>
      </c>
      <c r="BC52" s="56">
        <f>SUM(I20:I51)/SUM(BA20:BA51)</f>
        <v>0</v>
      </c>
      <c r="BD52" s="57" t="e">
        <f>AVERAGE(BD20:BD51)</f>
        <v>#DIV/0!</v>
      </c>
      <c r="BE52" s="58">
        <f>AVERAGE(BE20:BE51)</f>
        <v>9.9999999999999995E-7</v>
      </c>
      <c r="BF52" s="56" t="e">
        <f>AVERAGE(BF20:BF51)</f>
        <v>#DIV/0!</v>
      </c>
      <c r="BG52" s="56">
        <f>SUM(J20:J51)/SUM(BE20:BE51)</f>
        <v>0</v>
      </c>
      <c r="BH52" s="57" t="e">
        <f>AVERAGE(BH20:BH51)</f>
        <v>#DIV/0!</v>
      </c>
      <c r="BI52" s="58">
        <f>AVERAGE(BI20:BI51)</f>
        <v>9.9999999999999995E-7</v>
      </c>
      <c r="BJ52" s="56" t="e">
        <f>AVERAGE(BJ20:BJ51)</f>
        <v>#DIV/0!</v>
      </c>
      <c r="BK52" s="56">
        <f>SUM(K20:K51)/SUM(BI20:BI51)</f>
        <v>0</v>
      </c>
      <c r="BL52" s="57" t="e">
        <f>AVERAGE(BL20:BL51)</f>
        <v>#DIV/0!</v>
      </c>
    </row>
    <row r="53" spans="2:64" x14ac:dyDescent="0.3">
      <c r="N53" s="34" t="s">
        <v>30</v>
      </c>
      <c r="O53" s="29"/>
      <c r="P53" s="89"/>
      <c r="Q53" s="89"/>
      <c r="R53" s="38"/>
      <c r="S53" s="18"/>
      <c r="T53" s="4"/>
      <c r="U53" s="4"/>
      <c r="V53" s="4"/>
      <c r="W53" s="5">
        <f>SUM(D20:D51)/SUM(U20:U51)</f>
        <v>0</v>
      </c>
      <c r="X53" s="38"/>
      <c r="Y53" s="58"/>
      <c r="Z53" s="56"/>
      <c r="AA53" s="56"/>
      <c r="AB53" s="56"/>
      <c r="AC53" s="77">
        <f>SUM(B20:B51)/SUM(AA20:AA51)</f>
        <v>1.85</v>
      </c>
      <c r="AD53" s="78"/>
      <c r="AE53" s="79"/>
      <c r="AF53" s="56"/>
      <c r="AG53" s="56"/>
      <c r="AH53" s="56"/>
      <c r="AI53" s="77">
        <f>SUM(C20:C51)/SUM(AG20:AG51)</f>
        <v>0</v>
      </c>
      <c r="AJ53" s="80"/>
      <c r="AK53" s="29"/>
      <c r="AL53" s="5"/>
      <c r="AM53" s="5"/>
      <c r="AN53" s="12"/>
      <c r="AO53" s="29"/>
      <c r="AP53" s="29"/>
      <c r="AQ53" s="5"/>
      <c r="AR53" s="12"/>
      <c r="AS53" s="21"/>
      <c r="AT53" s="29"/>
      <c r="AU53" s="5"/>
      <c r="AV53" s="12"/>
      <c r="AW53" s="21"/>
      <c r="AX53" s="29"/>
      <c r="AY53" s="5"/>
      <c r="AZ53" s="12"/>
      <c r="BA53" s="21"/>
      <c r="BB53" s="29"/>
      <c r="BC53" s="5"/>
      <c r="BD53" s="12"/>
      <c r="BE53" s="21"/>
      <c r="BF53" s="29"/>
      <c r="BG53" s="5"/>
      <c r="BH53" s="12"/>
      <c r="BI53" s="21"/>
      <c r="BJ53" s="29"/>
      <c r="BK53" s="5"/>
      <c r="BL53" s="12"/>
    </row>
    <row r="54" spans="2:64" x14ac:dyDescent="0.3">
      <c r="N54" s="34" t="s">
        <v>11</v>
      </c>
      <c r="O54" s="29"/>
      <c r="P54" s="89"/>
      <c r="Q54" s="89"/>
      <c r="R54" s="38"/>
      <c r="S54" s="21"/>
      <c r="T54" s="5"/>
      <c r="U54" s="5"/>
      <c r="V54" s="5"/>
      <c r="W54" s="5"/>
      <c r="X54" s="12"/>
      <c r="Y54" s="18"/>
      <c r="Z54" s="4"/>
      <c r="AA54" s="4"/>
      <c r="AB54" s="4"/>
      <c r="AC54" s="5"/>
      <c r="AD54" s="38"/>
      <c r="AE54" s="11"/>
      <c r="AF54" s="4"/>
      <c r="AG54" s="4"/>
      <c r="AH54" s="4"/>
      <c r="AI54" s="5"/>
      <c r="AJ54" s="12"/>
      <c r="AK54" s="29"/>
      <c r="AL54" s="5"/>
      <c r="AM54" s="5"/>
      <c r="AN54" s="12"/>
      <c r="AO54" s="29"/>
      <c r="AP54" s="29"/>
      <c r="AQ54" s="5"/>
      <c r="AR54" s="12"/>
      <c r="AS54" s="21"/>
      <c r="AT54" s="29"/>
      <c r="AU54" s="5"/>
      <c r="AV54" s="12"/>
      <c r="AW54" s="21"/>
      <c r="AX54" s="29"/>
      <c r="AY54" s="5"/>
      <c r="AZ54" s="12"/>
      <c r="BA54" s="21"/>
      <c r="BB54" s="29"/>
      <c r="BC54" s="5"/>
      <c r="BD54" s="12"/>
      <c r="BE54" s="21"/>
      <c r="BF54" s="29"/>
      <c r="BG54" s="5"/>
      <c r="BH54" s="12"/>
      <c r="BI54" s="21"/>
      <c r="BJ54" s="29"/>
      <c r="BK54" s="5"/>
      <c r="BL54" s="12"/>
    </row>
    <row r="55" spans="2:64" ht="15" thickBot="1" x14ac:dyDescent="0.35">
      <c r="N55" s="35" t="s">
        <v>12</v>
      </c>
      <c r="O55" s="30"/>
      <c r="P55" s="90"/>
      <c r="Q55" s="90"/>
      <c r="R55" s="39"/>
      <c r="S55" s="22"/>
      <c r="T55" s="15"/>
      <c r="U55" s="15"/>
      <c r="V55" s="15"/>
      <c r="W55" s="15"/>
      <c r="X55" s="16"/>
      <c r="Y55" s="19"/>
      <c r="Z55" s="14"/>
      <c r="AA55" s="14"/>
      <c r="AB55" s="14"/>
      <c r="AC55" s="15"/>
      <c r="AD55" s="39"/>
      <c r="AE55" s="13"/>
      <c r="AF55" s="14"/>
      <c r="AG55" s="14"/>
      <c r="AH55" s="14"/>
      <c r="AI55" s="15"/>
      <c r="AJ55" s="16"/>
      <c r="AK55" s="30"/>
      <c r="AL55" s="15"/>
      <c r="AM55" s="15"/>
      <c r="AN55" s="16"/>
      <c r="AO55" s="30"/>
      <c r="AP55" s="30"/>
      <c r="AQ55" s="15"/>
      <c r="AR55" s="16"/>
      <c r="AS55" s="22"/>
      <c r="AT55" s="30"/>
      <c r="AU55" s="15"/>
      <c r="AV55" s="16"/>
      <c r="AW55" s="22"/>
      <c r="AX55" s="30"/>
      <c r="AY55" s="15"/>
      <c r="AZ55" s="16"/>
      <c r="BA55" s="22"/>
      <c r="BB55" s="30"/>
      <c r="BC55" s="15"/>
      <c r="BD55" s="16"/>
      <c r="BE55" s="22"/>
      <c r="BF55" s="30"/>
      <c r="BG55" s="15"/>
      <c r="BH55" s="16"/>
      <c r="BI55" s="22"/>
      <c r="BJ55" s="30"/>
      <c r="BK55" s="15"/>
      <c r="BL55" s="16"/>
    </row>
    <row r="60" spans="2:64" ht="15" thickBot="1" x14ac:dyDescent="0.35">
      <c r="U60">
        <f>T13</f>
        <v>0</v>
      </c>
      <c r="V60" t="s">
        <v>33</v>
      </c>
    </row>
    <row r="61" spans="2:64" ht="15" thickBot="1" x14ac:dyDescent="0.35">
      <c r="B61" s="59" t="s">
        <v>44</v>
      </c>
      <c r="C61" s="60"/>
      <c r="D61" s="61"/>
      <c r="E61" s="47"/>
      <c r="F61" s="47"/>
      <c r="I61" s="47"/>
      <c r="J61" s="47"/>
      <c r="K61" s="47"/>
      <c r="O61" t="s">
        <v>161</v>
      </c>
    </row>
    <row r="62" spans="2:64" ht="15" thickBot="1" x14ac:dyDescent="0.35">
      <c r="B62" s="73" t="str">
        <f>V62</f>
        <v>D, см</v>
      </c>
      <c r="C62" s="74" t="str">
        <f>W62</f>
        <v>h, м</v>
      </c>
      <c r="D62" s="75" t="str">
        <f>X62</f>
        <v>A, лет</v>
      </c>
      <c r="E62" s="47"/>
      <c r="F62" s="47"/>
      <c r="I62" s="47"/>
      <c r="J62" s="47"/>
      <c r="K62" s="47"/>
      <c r="O62" s="115"/>
      <c r="P62" s="116"/>
      <c r="Q62" s="116"/>
      <c r="R62" s="116"/>
      <c r="S62" s="116"/>
      <c r="T62" s="116"/>
      <c r="U62" s="116" t="s">
        <v>24</v>
      </c>
      <c r="V62" s="116" t="str">
        <f>AB19</f>
        <v>D, см</v>
      </c>
      <c r="W62" s="116" t="str">
        <f>AC19</f>
        <v>h, м</v>
      </c>
      <c r="X62" s="117" t="str">
        <f>AD19</f>
        <v>A, лет</v>
      </c>
    </row>
    <row r="63" spans="2:64" x14ac:dyDescent="0.3">
      <c r="B63" s="81" t="e">
        <f>V63*U63</f>
        <v>#DIV/0!</v>
      </c>
      <c r="C63" s="82">
        <f>W63*U63</f>
        <v>1.352643064548127E-6</v>
      </c>
      <c r="D63" s="83" t="e">
        <f>X63*U63</f>
        <v>#DIV/0!</v>
      </c>
      <c r="E63" s="47"/>
      <c r="F63" s="85"/>
      <c r="H63" s="47"/>
      <c r="I63" s="47"/>
      <c r="J63" s="47"/>
      <c r="K63" s="47"/>
      <c r="O63" s="138">
        <f t="shared" ref="O63:O72" si="11">U63/$U$75*10</f>
        <v>1.9354825598343947E-6</v>
      </c>
      <c r="P63" s="139"/>
      <c r="Q63" s="139"/>
      <c r="R63" s="47" t="str">
        <f>S18</f>
        <v>Сосна</v>
      </c>
      <c r="S63" s="47"/>
      <c r="T63" s="47"/>
      <c r="U63" s="123">
        <f>SUM(S52:U52)/(AE16*AE16*3.15/10000*1000)</f>
        <v>3.0058734767736153E-6</v>
      </c>
      <c r="V63" s="139" t="e">
        <f>V52</f>
        <v>#DIV/0!</v>
      </c>
      <c r="W63" s="139">
        <f>W52</f>
        <v>0.45</v>
      </c>
      <c r="X63" s="140" t="e">
        <f>X52</f>
        <v>#DIV/0!</v>
      </c>
      <c r="Y63" s="55"/>
    </row>
    <row r="64" spans="2:64" x14ac:dyDescent="0.3">
      <c r="B64" s="81" t="e">
        <f t="shared" ref="B64:B72" si="12">V64*U64</f>
        <v>#DIV/0!</v>
      </c>
      <c r="C64" s="82">
        <f t="shared" ref="C64:C72" si="13">W64*U64</f>
        <v>3.2480134516177941</v>
      </c>
      <c r="D64" s="83">
        <f t="shared" ref="D64:D72" si="14">X64*U64</f>
        <v>28.054820452497513</v>
      </c>
      <c r="E64" s="47"/>
      <c r="F64" s="85"/>
      <c r="H64" s="47"/>
      <c r="I64" s="47"/>
      <c r="J64" s="47"/>
      <c r="K64" s="47"/>
      <c r="O64" s="138">
        <f t="shared" si="11"/>
        <v>2.2580630940002697</v>
      </c>
      <c r="P64" s="139"/>
      <c r="Q64" s="139"/>
      <c r="R64" s="47" t="str">
        <f>Y18</f>
        <v>Ель из подроста</v>
      </c>
      <c r="S64" s="47"/>
      <c r="T64" s="47"/>
      <c r="U64" s="123">
        <f>SUM(Y52:AA52)/(AE16*AE16*3.15/10000*1000)</f>
        <v>3.5068525565621891</v>
      </c>
      <c r="V64" s="139" t="e">
        <f>AB52</f>
        <v>#DIV/0!</v>
      </c>
      <c r="W64" s="139">
        <f>AC52</f>
        <v>0.92619047970521517</v>
      </c>
      <c r="X64" s="140">
        <f>AD52</f>
        <v>8</v>
      </c>
      <c r="Y64" s="55"/>
    </row>
    <row r="65" spans="2:25" x14ac:dyDescent="0.3">
      <c r="B65" s="81" t="e">
        <f t="shared" si="12"/>
        <v>#DIV/0!</v>
      </c>
      <c r="C65" s="82">
        <f t="shared" si="13"/>
        <v>1.352643064548127E-6</v>
      </c>
      <c r="D65" s="83" t="e">
        <f t="shared" si="14"/>
        <v>#DIV/0!</v>
      </c>
      <c r="E65" s="47"/>
      <c r="F65" s="47"/>
      <c r="G65" s="47"/>
      <c r="H65" s="47"/>
      <c r="I65" s="47"/>
      <c r="J65" s="47"/>
      <c r="K65" s="47"/>
      <c r="O65" s="138">
        <f t="shared" si="11"/>
        <v>1.9354825598343947E-6</v>
      </c>
      <c r="P65" s="139"/>
      <c r="Q65" s="139"/>
      <c r="R65" s="47" t="str">
        <f>AE18</f>
        <v>ЕЛЬ лесные культуры</v>
      </c>
      <c r="S65" s="47"/>
      <c r="T65" s="47"/>
      <c r="U65" s="123">
        <f>SUM(AE52:AG52)/(AE16*AE16*3.15/10000*1000)</f>
        <v>3.0058734767736153E-6</v>
      </c>
      <c r="V65" s="139" t="e">
        <f>AH52</f>
        <v>#DIV/0!</v>
      </c>
      <c r="W65" s="139">
        <f>AI52</f>
        <v>0.45</v>
      </c>
      <c r="X65" s="140" t="e">
        <f>AJ52</f>
        <v>#DIV/0!</v>
      </c>
      <c r="Y65" s="55"/>
    </row>
    <row r="66" spans="2:25" x14ac:dyDescent="0.3">
      <c r="B66" s="81" t="e">
        <f t="shared" si="12"/>
        <v>#DIV/0!</v>
      </c>
      <c r="C66" s="82">
        <f t="shared" si="13"/>
        <v>24.698260400823209</v>
      </c>
      <c r="D66" s="83">
        <f t="shared" si="14"/>
        <v>84.164457349661234</v>
      </c>
      <c r="E66" s="47"/>
      <c r="F66" s="47"/>
      <c r="G66" s="47"/>
      <c r="H66" s="47"/>
      <c r="I66" s="47"/>
      <c r="J66" s="47"/>
      <c r="K66" s="47"/>
      <c r="O66" s="138">
        <f t="shared" si="11"/>
        <v>6.7741889594203819</v>
      </c>
      <c r="P66" s="139"/>
      <c r="Q66" s="139"/>
      <c r="R66" s="47" t="str">
        <f>AK18</f>
        <v>Берёза</v>
      </c>
      <c r="S66" s="47"/>
      <c r="T66" s="47"/>
      <c r="U66" s="123">
        <f>AK52/(AE16*AE16*3.15/10000*1000)</f>
        <v>10.520557168707654</v>
      </c>
      <c r="V66" s="139" t="e">
        <f>AL52</f>
        <v>#DIV/0!</v>
      </c>
      <c r="W66" s="139">
        <f>AM52</f>
        <v>2.3476190476190477</v>
      </c>
      <c r="X66" s="140">
        <f>AN52</f>
        <v>8</v>
      </c>
      <c r="Y66" s="55"/>
    </row>
    <row r="67" spans="2:25" x14ac:dyDescent="0.3">
      <c r="B67" s="81" t="e">
        <f t="shared" si="12"/>
        <v>#DIV/0!</v>
      </c>
      <c r="C67" s="82">
        <f t="shared" si="13"/>
        <v>1.2524472819890065</v>
      </c>
      <c r="D67" s="83">
        <f t="shared" si="14"/>
        <v>6.123076825450263</v>
      </c>
      <c r="E67" s="47"/>
      <c r="F67" s="47"/>
      <c r="G67" s="47"/>
      <c r="H67" s="47"/>
      <c r="I67" s="47"/>
      <c r="J67" s="47"/>
      <c r="K67" s="47"/>
      <c r="O67" s="138">
        <f t="shared" si="11"/>
        <v>0.53763415192525188</v>
      </c>
      <c r="P67" s="139"/>
      <c r="Q67" s="139"/>
      <c r="R67" s="47" t="str">
        <f>AO18</f>
        <v>Осина</v>
      </c>
      <c r="S67" s="47"/>
      <c r="T67" s="47"/>
      <c r="U67" s="123">
        <f>AO52/(AE16*AE16*3.15/10000*1000)</f>
        <v>0.83496502165230857</v>
      </c>
      <c r="V67" s="139" t="e">
        <f>AP52</f>
        <v>#DIV/0!</v>
      </c>
      <c r="W67" s="139">
        <f>AQ52</f>
        <v>1.49999970000006</v>
      </c>
      <c r="X67" s="140">
        <f>AR52</f>
        <v>7.333333333333333</v>
      </c>
      <c r="Y67" s="55"/>
    </row>
    <row r="68" spans="2:25" x14ac:dyDescent="0.3">
      <c r="B68" s="81" t="e">
        <f t="shared" si="12"/>
        <v>#DIV/0!</v>
      </c>
      <c r="C68" s="82">
        <f t="shared" si="13"/>
        <v>0.80156626047296398</v>
      </c>
      <c r="D68" s="83">
        <f t="shared" si="14"/>
        <v>4.6758043550430868</v>
      </c>
      <c r="E68" s="47"/>
      <c r="F68" s="47"/>
      <c r="G68" s="47"/>
      <c r="H68" s="47"/>
      <c r="I68" s="47"/>
      <c r="J68" s="47"/>
      <c r="K68" s="47"/>
      <c r="O68" s="138">
        <f t="shared" si="11"/>
        <v>0.43010734304556325</v>
      </c>
      <c r="P68" s="139"/>
      <c r="Q68" s="139"/>
      <c r="R68" s="47" t="str">
        <f>AS18</f>
        <v>Ольха серая</v>
      </c>
      <c r="S68" s="47"/>
      <c r="T68" s="47"/>
      <c r="U68" s="123">
        <f>AS52/(AE16*AE16*3.15/10000*1000)</f>
        <v>0.66797205072044097</v>
      </c>
      <c r="V68" s="139" t="e">
        <f>AT52</f>
        <v>#DIV/0!</v>
      </c>
      <c r="W68" s="139">
        <f>AU52</f>
        <v>1.1999997000000748</v>
      </c>
      <c r="X68" s="140">
        <f>AV52</f>
        <v>7</v>
      </c>
      <c r="Y68" s="55"/>
    </row>
    <row r="69" spans="2:25" x14ac:dyDescent="0.3">
      <c r="B69" s="81" t="e">
        <f t="shared" si="12"/>
        <v>#DIV/0!</v>
      </c>
      <c r="C69" s="82">
        <f t="shared" si="13"/>
        <v>0</v>
      </c>
      <c r="D69" s="83" t="e">
        <f t="shared" si="14"/>
        <v>#DIV/0!</v>
      </c>
      <c r="E69" s="47"/>
      <c r="F69" s="47"/>
      <c r="G69" s="47"/>
      <c r="H69" s="47"/>
      <c r="I69" s="47"/>
      <c r="J69" s="47"/>
      <c r="K69" s="47"/>
      <c r="O69" s="138">
        <f t="shared" si="11"/>
        <v>6.4516085327813159E-7</v>
      </c>
      <c r="P69" s="139"/>
      <c r="Q69" s="139"/>
      <c r="R69" s="47" t="str">
        <f>AW18</f>
        <v>Ива</v>
      </c>
      <c r="S69" s="47"/>
      <c r="T69" s="47"/>
      <c r="U69" s="123">
        <f>AW52/(AE16*AE16*3.15/10000*1000)</f>
        <v>1.001957825591205E-6</v>
      </c>
      <c r="V69" s="139" t="e">
        <f>AX52</f>
        <v>#DIV/0!</v>
      </c>
      <c r="W69" s="139">
        <f>AY52</f>
        <v>0</v>
      </c>
      <c r="X69" s="140" t="e">
        <f>AZ52</f>
        <v>#DIV/0!</v>
      </c>
      <c r="Y69" s="55"/>
    </row>
    <row r="70" spans="2:25" x14ac:dyDescent="0.3">
      <c r="B70" s="81" t="e">
        <f t="shared" si="12"/>
        <v>#DIV/0!</v>
      </c>
      <c r="C70" s="82">
        <f t="shared" si="13"/>
        <v>0</v>
      </c>
      <c r="D70" s="83" t="e">
        <f t="shared" si="14"/>
        <v>#DIV/0!</v>
      </c>
      <c r="E70" s="47"/>
      <c r="F70" s="47"/>
      <c r="G70" s="47"/>
      <c r="H70" s="47"/>
      <c r="I70" s="47"/>
      <c r="J70" s="47"/>
      <c r="K70" s="47"/>
      <c r="O70" s="138">
        <f t="shared" si="11"/>
        <v>6.4516085327813159E-7</v>
      </c>
      <c r="P70" s="139"/>
      <c r="Q70" s="139"/>
      <c r="R70" s="47" t="str">
        <f>BA18</f>
        <v>Чёрёмуха</v>
      </c>
      <c r="S70" s="47"/>
      <c r="T70" s="47"/>
      <c r="U70" s="123">
        <f>BA52/(AE16*AE16*3.15/10000*1000)</f>
        <v>1.001957825591205E-6</v>
      </c>
      <c r="V70" s="139" t="e">
        <f>BB52</f>
        <v>#DIV/0!</v>
      </c>
      <c r="W70" s="139">
        <f>BC52</f>
        <v>0</v>
      </c>
      <c r="X70" s="140" t="e">
        <f>BD52</f>
        <v>#DIV/0!</v>
      </c>
      <c r="Y70" s="55"/>
    </row>
    <row r="71" spans="2:25" x14ac:dyDescent="0.3">
      <c r="B71" s="81" t="e">
        <f t="shared" si="12"/>
        <v>#DIV/0!</v>
      </c>
      <c r="C71" s="82">
        <f t="shared" si="13"/>
        <v>0</v>
      </c>
      <c r="D71" s="83" t="e">
        <f t="shared" si="14"/>
        <v>#DIV/0!</v>
      </c>
      <c r="E71" s="47"/>
      <c r="F71" s="47"/>
      <c r="G71" s="47"/>
      <c r="H71" s="47"/>
      <c r="I71" s="47"/>
      <c r="J71" s="47"/>
      <c r="K71" s="47"/>
      <c r="O71" s="138">
        <f t="shared" si="11"/>
        <v>6.4516085327813159E-7</v>
      </c>
      <c r="P71" s="139"/>
      <c r="Q71" s="139"/>
      <c r="R71" s="47" t="str">
        <f>BE18</f>
        <v>Дуб</v>
      </c>
      <c r="S71" s="47"/>
      <c r="T71" s="47"/>
      <c r="U71" s="123">
        <f>BE52/(AE16*AE16*3.15/10000*1000)</f>
        <v>1.001957825591205E-6</v>
      </c>
      <c r="V71" s="139" t="e">
        <f>BF52</f>
        <v>#DIV/0!</v>
      </c>
      <c r="W71" s="139">
        <f>BG52</f>
        <v>0</v>
      </c>
      <c r="X71" s="140" t="e">
        <f>BH52</f>
        <v>#DIV/0!</v>
      </c>
      <c r="Y71" s="55"/>
    </row>
    <row r="72" spans="2:25" x14ac:dyDescent="0.3">
      <c r="B72" s="81" t="e">
        <f t="shared" si="12"/>
        <v>#DIV/0!</v>
      </c>
      <c r="C72" s="82">
        <f t="shared" si="13"/>
        <v>0</v>
      </c>
      <c r="D72" s="83" t="e">
        <f t="shared" si="14"/>
        <v>#DIV/0!</v>
      </c>
      <c r="E72" s="47"/>
      <c r="F72" s="47"/>
      <c r="G72" s="47"/>
      <c r="H72" s="47"/>
      <c r="I72" s="47"/>
      <c r="J72" s="47"/>
      <c r="K72" s="47"/>
      <c r="O72" s="138">
        <f t="shared" si="11"/>
        <v>6.4516085327813159E-7</v>
      </c>
      <c r="P72" s="139"/>
      <c r="Q72" s="139"/>
      <c r="R72" s="47" t="str">
        <f>BI18</f>
        <v>Рябина</v>
      </c>
      <c r="S72" s="47"/>
      <c r="T72" s="47"/>
      <c r="U72" s="123">
        <f>BI52/(AE16*AE16*3.15/10000*1000)</f>
        <v>1.001957825591205E-6</v>
      </c>
      <c r="V72" s="139" t="e">
        <f>BJ52</f>
        <v>#DIV/0!</v>
      </c>
      <c r="W72" s="139">
        <f>BK52</f>
        <v>0</v>
      </c>
      <c r="X72" s="140" t="e">
        <f>BL52</f>
        <v>#DIV/0!</v>
      </c>
      <c r="Y72" s="55"/>
    </row>
    <row r="73" spans="2:25" x14ac:dyDescent="0.3">
      <c r="B73" s="62">
        <f>AC72*AA72</f>
        <v>0</v>
      </c>
      <c r="C73" s="71">
        <f>AI72*AG72</f>
        <v>0</v>
      </c>
      <c r="D73" s="63"/>
      <c r="E73" s="47"/>
      <c r="F73" s="47"/>
      <c r="G73" s="47"/>
      <c r="H73" s="47"/>
      <c r="I73" s="47"/>
      <c r="J73" s="47"/>
      <c r="K73" s="47"/>
      <c r="O73" s="118"/>
      <c r="P73" s="47"/>
      <c r="Q73" s="47"/>
      <c r="R73" s="47"/>
      <c r="S73" s="47"/>
      <c r="T73" s="47"/>
      <c r="U73" s="141"/>
      <c r="V73" s="141"/>
      <c r="W73" s="141"/>
      <c r="X73" s="140"/>
      <c r="Y73" s="55"/>
    </row>
    <row r="74" spans="2:25" x14ac:dyDescent="0.3">
      <c r="B74" s="62">
        <f>AC73*AA73</f>
        <v>0</v>
      </c>
      <c r="C74" s="71">
        <f>AI73*AG73</f>
        <v>0</v>
      </c>
      <c r="D74" s="63">
        <f>W73*U73</f>
        <v>0</v>
      </c>
      <c r="E74" s="47"/>
      <c r="F74" s="47"/>
      <c r="G74" s="47"/>
      <c r="H74" s="47"/>
      <c r="I74" s="47"/>
      <c r="J74" s="47"/>
      <c r="K74" s="47"/>
      <c r="O74" s="118"/>
      <c r="P74" s="47"/>
      <c r="Q74" s="47"/>
      <c r="R74" s="47"/>
      <c r="S74" s="47"/>
      <c r="T74" s="47"/>
      <c r="U74" s="141"/>
      <c r="V74" s="141"/>
      <c r="W74" s="141"/>
      <c r="X74" s="140"/>
      <c r="Y74" s="55"/>
    </row>
    <row r="75" spans="2:25" x14ac:dyDescent="0.3">
      <c r="B75" s="62">
        <f>AC74*AA74</f>
        <v>0</v>
      </c>
      <c r="C75" s="71">
        <f>AI74*AG74</f>
        <v>0</v>
      </c>
      <c r="D75" s="63">
        <f>W74*U74</f>
        <v>0</v>
      </c>
      <c r="E75" s="47"/>
      <c r="F75" s="47"/>
      <c r="G75" s="47"/>
      <c r="H75" s="47"/>
      <c r="I75" s="47"/>
      <c r="J75" s="47"/>
      <c r="K75" s="47"/>
      <c r="O75" s="142">
        <f>SUM(O63:O72)</f>
        <v>9.9999999999999982</v>
      </c>
      <c r="P75" s="143"/>
      <c r="Q75" s="143"/>
      <c r="R75" s="45" t="s">
        <v>27</v>
      </c>
      <c r="S75" s="45"/>
      <c r="T75" s="45"/>
      <c r="U75" s="144">
        <f>SUM(U63:U72)</f>
        <v>15.530356817220849</v>
      </c>
      <c r="V75" s="144" t="e">
        <f>SUM(B63:B72)/$U$75</f>
        <v>#DIV/0!</v>
      </c>
      <c r="W75" s="144">
        <f>SUM(C63:C72)/$U$75</f>
        <v>1.9317193064697171</v>
      </c>
      <c r="X75" s="145" t="e">
        <f>SUM(D63:D72)/$U$75</f>
        <v>#DIV/0!</v>
      </c>
      <c r="Y75" s="55"/>
    </row>
    <row r="76" spans="2:25" x14ac:dyDescent="0.3">
      <c r="B76" s="62">
        <f>AC75*AA75</f>
        <v>0</v>
      </c>
      <c r="C76" s="71">
        <f>AI75*AG75</f>
        <v>0</v>
      </c>
      <c r="D76" s="63"/>
      <c r="E76" s="47"/>
      <c r="F76" s="47"/>
      <c r="G76" s="47"/>
      <c r="H76" s="47"/>
      <c r="I76" s="47"/>
      <c r="J76" s="47"/>
      <c r="K76" s="47"/>
    </row>
    <row r="77" spans="2:25" ht="15" thickBot="1" x14ac:dyDescent="0.35">
      <c r="B77" s="64">
        <f>AC93*AA93</f>
        <v>0</v>
      </c>
      <c r="C77" s="72">
        <f>AI93*AG93</f>
        <v>0</v>
      </c>
      <c r="D77" s="66">
        <f>W93*U93</f>
        <v>0</v>
      </c>
      <c r="E77" s="47"/>
      <c r="F77" s="47"/>
      <c r="G77" s="47"/>
      <c r="H77" s="47"/>
      <c r="I77" s="47"/>
      <c r="J77" s="47"/>
      <c r="K77" s="47"/>
    </row>
  </sheetData>
  <mergeCells count="11">
    <mergeCell ref="AS18:AV18"/>
    <mergeCell ref="AW18:AZ18"/>
    <mergeCell ref="BA18:BD18"/>
    <mergeCell ref="BE18:BH18"/>
    <mergeCell ref="BI18:BL18"/>
    <mergeCell ref="AO18:AR18"/>
    <mergeCell ref="O18:R18"/>
    <mergeCell ref="S18:X18"/>
    <mergeCell ref="Y18:AD18"/>
    <mergeCell ref="AE18:AJ18"/>
    <mergeCell ref="AK18:AN18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BL77"/>
  <sheetViews>
    <sheetView zoomScale="80" zoomScaleNormal="80" workbookViewId="0">
      <pane xSplit="18" ySplit="19" topLeftCell="AE20" activePane="bottomRight" state="frozen"/>
      <selection pane="topRight" activeCell="Q1" sqref="Q1"/>
      <selection pane="bottomLeft" activeCell="A11" sqref="A11"/>
      <selection pane="bottomRight" activeCell="AE16" sqref="AE16"/>
    </sheetView>
  </sheetViews>
  <sheetFormatPr defaultRowHeight="14.4" x14ac:dyDescent="0.3"/>
  <cols>
    <col min="2" max="2" width="16.109375" hidden="1" customWidth="1"/>
    <col min="3" max="3" width="17.5546875" hidden="1" customWidth="1"/>
    <col min="4" max="11" width="12.88671875" hidden="1" customWidth="1"/>
    <col min="18" max="18" width="11" customWidth="1"/>
    <col min="21" max="21" width="9" customWidth="1"/>
    <col min="34" max="56" width="9.88671875" bestFit="1" customWidth="1"/>
  </cols>
  <sheetData>
    <row r="1" spans="14:39" ht="15" thickBot="1" x14ac:dyDescent="0.35"/>
    <row r="2" spans="14:39" x14ac:dyDescent="0.3">
      <c r="V2" s="59"/>
      <c r="W2" s="67" t="s">
        <v>38</v>
      </c>
      <c r="X2" s="67"/>
      <c r="Y2" s="60"/>
      <c r="Z2" s="60"/>
      <c r="AA2" s="60"/>
      <c r="AB2" s="60"/>
      <c r="AC2" s="60"/>
      <c r="AD2" s="60"/>
      <c r="AE2" s="60">
        <v>8</v>
      </c>
      <c r="AF2" s="60" t="s">
        <v>142</v>
      </c>
      <c r="AG2" s="60"/>
      <c r="AH2" s="60"/>
      <c r="AI2" s="60"/>
      <c r="AJ2" s="60"/>
      <c r="AK2" s="60"/>
      <c r="AL2" s="60"/>
      <c r="AM2" s="61"/>
    </row>
    <row r="3" spans="14:39" x14ac:dyDescent="0.3">
      <c r="V3" s="62">
        <v>1</v>
      </c>
      <c r="W3" s="47" t="s">
        <v>158</v>
      </c>
      <c r="X3" s="47"/>
      <c r="Y3" s="47"/>
      <c r="Z3" s="47"/>
      <c r="AA3" s="47"/>
      <c r="AB3" s="47"/>
      <c r="AC3" s="47"/>
      <c r="AD3" s="47"/>
      <c r="AE3" s="47">
        <v>9</v>
      </c>
      <c r="AF3" s="47" t="s">
        <v>156</v>
      </c>
      <c r="AG3" s="47"/>
      <c r="AH3" s="47"/>
      <c r="AI3" s="47"/>
      <c r="AJ3" s="47"/>
      <c r="AK3" s="47"/>
      <c r="AL3" s="47"/>
      <c r="AM3" s="63"/>
    </row>
    <row r="4" spans="14:39" x14ac:dyDescent="0.3">
      <c r="V4" s="62">
        <v>2</v>
      </c>
      <c r="W4" s="47" t="s">
        <v>159</v>
      </c>
      <c r="X4" s="47"/>
      <c r="Y4" s="47"/>
      <c r="Z4" s="47"/>
      <c r="AA4" s="47"/>
      <c r="AB4" s="47"/>
      <c r="AC4" s="47"/>
      <c r="AD4" s="47"/>
      <c r="AE4" s="47">
        <v>10</v>
      </c>
      <c r="AF4" s="47" t="s">
        <v>157</v>
      </c>
      <c r="AG4" s="47"/>
      <c r="AH4" s="47"/>
      <c r="AI4" s="47"/>
      <c r="AJ4" s="47"/>
      <c r="AK4" s="47"/>
      <c r="AL4" s="47"/>
      <c r="AM4" s="63"/>
    </row>
    <row r="5" spans="14:39" x14ac:dyDescent="0.3">
      <c r="V5" s="62">
        <v>3</v>
      </c>
      <c r="W5" s="47" t="s">
        <v>34</v>
      </c>
      <c r="X5" s="47"/>
      <c r="Y5" s="47"/>
      <c r="Z5" s="47"/>
      <c r="AA5" s="47"/>
      <c r="AB5" s="47"/>
      <c r="AC5" s="47"/>
      <c r="AD5" s="47"/>
      <c r="AE5" s="47">
        <v>11</v>
      </c>
      <c r="AF5" s="47" t="s">
        <v>39</v>
      </c>
      <c r="AG5" s="47"/>
      <c r="AH5" s="47"/>
      <c r="AI5" s="47"/>
      <c r="AJ5" s="47"/>
      <c r="AK5" s="47"/>
      <c r="AL5" s="47"/>
      <c r="AM5" s="63"/>
    </row>
    <row r="6" spans="14:39" x14ac:dyDescent="0.3">
      <c r="V6" s="62">
        <v>4</v>
      </c>
      <c r="W6" s="47" t="s">
        <v>35</v>
      </c>
      <c r="X6" s="47"/>
      <c r="Y6" s="47"/>
      <c r="Z6" s="47"/>
      <c r="AA6" s="47"/>
      <c r="AB6" s="47"/>
      <c r="AC6" s="47"/>
      <c r="AD6" s="47"/>
      <c r="AE6" s="47">
        <v>12</v>
      </c>
      <c r="AF6" s="47" t="s">
        <v>40</v>
      </c>
      <c r="AG6" s="47"/>
      <c r="AH6" s="47"/>
      <c r="AI6" s="47"/>
      <c r="AJ6" s="47"/>
      <c r="AK6" s="47"/>
      <c r="AL6" s="47"/>
      <c r="AM6" s="63"/>
    </row>
    <row r="7" spans="14:39" x14ac:dyDescent="0.3">
      <c r="V7" s="62">
        <v>5</v>
      </c>
      <c r="W7" s="47" t="s">
        <v>36</v>
      </c>
      <c r="X7" s="47"/>
      <c r="Y7" s="47"/>
      <c r="Z7" s="47"/>
      <c r="AA7" s="47"/>
      <c r="AB7" s="47"/>
      <c r="AC7" s="47"/>
      <c r="AD7" s="47"/>
      <c r="AE7" s="47">
        <v>13</v>
      </c>
      <c r="AF7" s="47" t="s">
        <v>41</v>
      </c>
      <c r="AG7" s="47"/>
      <c r="AH7" s="47"/>
      <c r="AI7" s="47"/>
      <c r="AJ7" s="47"/>
      <c r="AK7" s="47"/>
      <c r="AL7" s="47"/>
      <c r="AM7" s="63"/>
    </row>
    <row r="8" spans="14:39" x14ac:dyDescent="0.3">
      <c r="V8" s="62">
        <v>6</v>
      </c>
      <c r="W8" s="47" t="s">
        <v>141</v>
      </c>
      <c r="X8" s="47"/>
      <c r="Y8" s="47"/>
      <c r="Z8" s="47"/>
      <c r="AA8" s="47"/>
      <c r="AB8" s="47"/>
      <c r="AC8" s="47"/>
      <c r="AD8" s="47"/>
      <c r="AE8" s="47">
        <v>14</v>
      </c>
      <c r="AF8" s="47"/>
      <c r="AG8" s="47"/>
      <c r="AH8" s="47"/>
      <c r="AI8" s="47"/>
      <c r="AJ8" s="47"/>
      <c r="AK8" s="47"/>
      <c r="AL8" s="47"/>
      <c r="AM8" s="63"/>
    </row>
    <row r="9" spans="14:39" ht="15" thickBot="1" x14ac:dyDescent="0.35">
      <c r="V9" s="64">
        <v>7</v>
      </c>
      <c r="W9" s="65" t="s">
        <v>37</v>
      </c>
      <c r="X9" s="65"/>
      <c r="Y9" s="65"/>
      <c r="Z9" s="65"/>
      <c r="AA9" s="65"/>
      <c r="AB9" s="65"/>
      <c r="AC9" s="65"/>
      <c r="AD9" s="65"/>
      <c r="AE9" s="65">
        <v>15</v>
      </c>
      <c r="AF9" s="65"/>
      <c r="AG9" s="65"/>
      <c r="AH9" s="65"/>
      <c r="AI9" s="65"/>
      <c r="AJ9" s="65"/>
      <c r="AK9" s="65"/>
      <c r="AL9" s="65"/>
      <c r="AM9" s="66"/>
    </row>
    <row r="13" spans="14:39" x14ac:dyDescent="0.3">
      <c r="N13" t="s">
        <v>32</v>
      </c>
      <c r="T13" s="45"/>
    </row>
    <row r="16" spans="14:39" x14ac:dyDescent="0.3">
      <c r="N16" s="46" t="s">
        <v>13</v>
      </c>
      <c r="S16">
        <v>1</v>
      </c>
      <c r="U16" s="45" t="s">
        <v>14</v>
      </c>
      <c r="V16" s="45">
        <v>174</v>
      </c>
      <c r="W16" s="45"/>
      <c r="X16" s="45" t="s">
        <v>15</v>
      </c>
      <c r="Y16" s="45">
        <v>17</v>
      </c>
      <c r="Z16" s="45" t="s">
        <v>16</v>
      </c>
      <c r="AA16" s="45">
        <v>1</v>
      </c>
      <c r="AB16" s="47"/>
      <c r="AC16" s="85" t="s">
        <v>45</v>
      </c>
      <c r="AE16" s="45">
        <v>1.78</v>
      </c>
      <c r="AG16" s="44" t="s">
        <v>28</v>
      </c>
      <c r="AI16" s="44"/>
    </row>
    <row r="17" spans="2:64" ht="15" thickBot="1" x14ac:dyDescent="0.35"/>
    <row r="18" spans="2:64" ht="15.6" thickTop="1" thickBot="1" x14ac:dyDescent="0.35">
      <c r="B18" s="59" t="s">
        <v>31</v>
      </c>
      <c r="C18" s="60"/>
      <c r="D18" s="60"/>
      <c r="E18" s="60"/>
      <c r="F18" s="60"/>
      <c r="G18" s="60"/>
      <c r="H18" s="60"/>
      <c r="I18" s="60"/>
      <c r="J18" s="60"/>
      <c r="K18" s="61"/>
      <c r="N18" s="1" t="s">
        <v>0</v>
      </c>
      <c r="O18" s="202" t="s">
        <v>1</v>
      </c>
      <c r="P18" s="194"/>
      <c r="Q18" s="194"/>
      <c r="R18" s="195"/>
      <c r="S18" s="193" t="s">
        <v>43</v>
      </c>
      <c r="T18" s="194"/>
      <c r="U18" s="194"/>
      <c r="V18" s="194"/>
      <c r="W18" s="194"/>
      <c r="X18" s="195"/>
      <c r="Y18" s="203" t="s">
        <v>17</v>
      </c>
      <c r="Z18" s="204"/>
      <c r="AA18" s="204"/>
      <c r="AB18" s="204"/>
      <c r="AC18" s="204"/>
      <c r="AD18" s="205"/>
      <c r="AE18" s="206" t="s">
        <v>18</v>
      </c>
      <c r="AF18" s="207"/>
      <c r="AG18" s="207"/>
      <c r="AH18" s="207"/>
      <c r="AI18" s="207"/>
      <c r="AJ18" s="208"/>
      <c r="AK18" s="193" t="s">
        <v>19</v>
      </c>
      <c r="AL18" s="194"/>
      <c r="AM18" s="194"/>
      <c r="AN18" s="195"/>
      <c r="AO18" s="193" t="s">
        <v>20</v>
      </c>
      <c r="AP18" s="194"/>
      <c r="AQ18" s="194"/>
      <c r="AR18" s="195"/>
      <c r="AS18" s="193" t="s">
        <v>21</v>
      </c>
      <c r="AT18" s="194"/>
      <c r="AU18" s="194"/>
      <c r="AV18" s="195"/>
      <c r="AW18" s="193" t="s">
        <v>26</v>
      </c>
      <c r="AX18" s="194"/>
      <c r="AY18" s="194"/>
      <c r="AZ18" s="195"/>
      <c r="BA18" s="193" t="s">
        <v>22</v>
      </c>
      <c r="BB18" s="194"/>
      <c r="BC18" s="194"/>
      <c r="BD18" s="195"/>
      <c r="BE18" s="193" t="s">
        <v>29</v>
      </c>
      <c r="BF18" s="194"/>
      <c r="BG18" s="194"/>
      <c r="BH18" s="195"/>
      <c r="BI18" s="193" t="s">
        <v>42</v>
      </c>
      <c r="BJ18" s="194"/>
      <c r="BK18" s="194"/>
      <c r="BL18" s="195"/>
    </row>
    <row r="19" spans="2:64" ht="21" thickBot="1" x14ac:dyDescent="0.35">
      <c r="B19" s="64" t="str">
        <f>Y18</f>
        <v>Ель из подроста</v>
      </c>
      <c r="C19" s="65" t="str">
        <f>AE18</f>
        <v>ЕЛЬ лесные культуры</v>
      </c>
      <c r="D19" s="65" t="str">
        <f>S18</f>
        <v>Сосна</v>
      </c>
      <c r="E19" s="65" t="str">
        <f>AK18</f>
        <v>Берёза</v>
      </c>
      <c r="F19" s="65" t="str">
        <f>AO18</f>
        <v>Осина</v>
      </c>
      <c r="G19" s="65" t="str">
        <f>AS18</f>
        <v>Ольха серая</v>
      </c>
      <c r="H19" s="65" t="str">
        <f>AW18</f>
        <v>Ива</v>
      </c>
      <c r="I19" s="65" t="str">
        <f>BA18</f>
        <v>Чёрёмуха</v>
      </c>
      <c r="J19" s="65" t="str">
        <f>BE18</f>
        <v>Дуб</v>
      </c>
      <c r="K19" s="66" t="str">
        <f>BI18</f>
        <v>Рябина</v>
      </c>
      <c r="L19" t="s">
        <v>46</v>
      </c>
      <c r="N19" s="31" t="s">
        <v>2</v>
      </c>
      <c r="O19" s="25" t="s">
        <v>3</v>
      </c>
      <c r="P19" s="86" t="s">
        <v>48</v>
      </c>
      <c r="Q19" s="86" t="s">
        <v>47</v>
      </c>
      <c r="R19" s="68" t="s">
        <v>4</v>
      </c>
      <c r="S19" s="41" t="s">
        <v>5</v>
      </c>
      <c r="T19" s="42" t="s">
        <v>6</v>
      </c>
      <c r="U19" s="42" t="s">
        <v>7</v>
      </c>
      <c r="V19" s="42" t="s">
        <v>23</v>
      </c>
      <c r="W19" s="43" t="s">
        <v>8</v>
      </c>
      <c r="X19" s="26" t="s">
        <v>9</v>
      </c>
      <c r="Y19" s="70" t="s">
        <v>5</v>
      </c>
      <c r="Z19" s="42" t="s">
        <v>6</v>
      </c>
      <c r="AA19" s="42" t="s">
        <v>7</v>
      </c>
      <c r="AB19" s="42" t="s">
        <v>23</v>
      </c>
      <c r="AC19" s="43" t="s">
        <v>8</v>
      </c>
      <c r="AD19" s="26" t="s">
        <v>9</v>
      </c>
      <c r="AE19" s="53" t="s">
        <v>5</v>
      </c>
      <c r="AF19" s="50" t="s">
        <v>6</v>
      </c>
      <c r="AG19" s="50" t="s">
        <v>7</v>
      </c>
      <c r="AH19" s="50" t="s">
        <v>23</v>
      </c>
      <c r="AI19" s="51" t="s">
        <v>8</v>
      </c>
      <c r="AJ19" s="54" t="s">
        <v>9</v>
      </c>
      <c r="AK19" s="49" t="s">
        <v>10</v>
      </c>
      <c r="AL19" s="50" t="s">
        <v>23</v>
      </c>
      <c r="AM19" s="51" t="s">
        <v>8</v>
      </c>
      <c r="AN19" s="52" t="s">
        <v>9</v>
      </c>
      <c r="AO19" s="25" t="s">
        <v>10</v>
      </c>
      <c r="AP19" s="42" t="s">
        <v>23</v>
      </c>
      <c r="AQ19" s="43" t="s">
        <v>8</v>
      </c>
      <c r="AR19" s="26" t="s">
        <v>9</v>
      </c>
      <c r="AS19" s="25" t="s">
        <v>10</v>
      </c>
      <c r="AT19" s="42" t="s">
        <v>23</v>
      </c>
      <c r="AU19" s="43" t="s">
        <v>8</v>
      </c>
      <c r="AV19" s="26" t="s">
        <v>9</v>
      </c>
      <c r="AW19" s="25" t="s">
        <v>10</v>
      </c>
      <c r="AX19" s="42" t="s">
        <v>23</v>
      </c>
      <c r="AY19" s="43" t="s">
        <v>8</v>
      </c>
      <c r="AZ19" s="26" t="s">
        <v>9</v>
      </c>
      <c r="BA19" s="25" t="s">
        <v>10</v>
      </c>
      <c r="BB19" s="42" t="s">
        <v>23</v>
      </c>
      <c r="BC19" s="43" t="s">
        <v>8</v>
      </c>
      <c r="BD19" s="26" t="s">
        <v>9</v>
      </c>
      <c r="BE19" s="25" t="s">
        <v>10</v>
      </c>
      <c r="BF19" s="42" t="s">
        <v>23</v>
      </c>
      <c r="BG19" s="43" t="s">
        <v>8</v>
      </c>
      <c r="BH19" s="26" t="s">
        <v>9</v>
      </c>
      <c r="BI19" s="25" t="s">
        <v>10</v>
      </c>
      <c r="BJ19" s="42" t="s">
        <v>23</v>
      </c>
      <c r="BK19" s="43" t="s">
        <v>8</v>
      </c>
      <c r="BL19" s="26" t="s">
        <v>9</v>
      </c>
    </row>
    <row r="20" spans="2:64" x14ac:dyDescent="0.3">
      <c r="B20" s="62">
        <f>AC20*AA20</f>
        <v>0</v>
      </c>
      <c r="C20" s="47">
        <f>AI20*AG20</f>
        <v>0</v>
      </c>
      <c r="D20" s="47">
        <f>W20*U20</f>
        <v>0</v>
      </c>
      <c r="E20" s="47">
        <f>AK20*AM20</f>
        <v>20.7</v>
      </c>
      <c r="F20" s="47">
        <f>AO20*AQ20</f>
        <v>43.699999999999996</v>
      </c>
      <c r="G20" s="47">
        <f>AS20*AU20</f>
        <v>0</v>
      </c>
      <c r="H20" s="47">
        <f>AW20*AY20</f>
        <v>0</v>
      </c>
      <c r="I20" s="47">
        <f>BA20*BC20</f>
        <v>0</v>
      </c>
      <c r="J20" s="47">
        <f>BE20*BG20</f>
        <v>0</v>
      </c>
      <c r="K20" s="63">
        <f>BI20*BK20</f>
        <v>0</v>
      </c>
      <c r="L20" s="55">
        <f>SUM(S20:U20,Y20:AA20,AE20:AG20,AK20,AO20,AS20,AW20,BA20,BE20,BI20)/($AE$16*$AE$16*3.15/10000*1000)</f>
        <v>31.060704616821273</v>
      </c>
      <c r="N20" s="32">
        <v>1</v>
      </c>
      <c r="O20" s="27">
        <v>879</v>
      </c>
      <c r="P20" s="87" t="s">
        <v>175</v>
      </c>
      <c r="Q20" s="87" t="s">
        <v>170</v>
      </c>
      <c r="R20" s="69"/>
      <c r="S20" s="40">
        <v>9.9999999999999995E-7</v>
      </c>
      <c r="T20" s="40">
        <v>9.9999999999999995E-7</v>
      </c>
      <c r="U20" s="40">
        <v>9.9999999999999995E-7</v>
      </c>
      <c r="V20" s="40"/>
      <c r="W20" s="40"/>
      <c r="X20" s="24"/>
      <c r="Y20" s="40">
        <v>9.9999999999999995E-7</v>
      </c>
      <c r="Z20" s="40">
        <v>9.9999999999999995E-7</v>
      </c>
      <c r="AA20" s="40">
        <v>9.9999999999999995E-7</v>
      </c>
      <c r="AB20" s="6"/>
      <c r="AC20" s="7"/>
      <c r="AD20" s="36"/>
      <c r="AE20" s="40">
        <v>1</v>
      </c>
      <c r="AF20" s="40">
        <v>2</v>
      </c>
      <c r="AG20" s="40">
        <v>9.9999999999999995E-7</v>
      </c>
      <c r="AH20" s="6"/>
      <c r="AI20" s="7"/>
      <c r="AJ20" s="8">
        <v>9</v>
      </c>
      <c r="AK20" s="40">
        <v>9</v>
      </c>
      <c r="AL20" s="7"/>
      <c r="AM20" s="7">
        <v>2.2999999999999998</v>
      </c>
      <c r="AN20" s="8">
        <v>9</v>
      </c>
      <c r="AO20" s="40">
        <v>19</v>
      </c>
      <c r="AP20" s="27"/>
      <c r="AQ20" s="40">
        <v>2.2999999999999998</v>
      </c>
      <c r="AR20" s="24">
        <v>9</v>
      </c>
      <c r="AS20" s="40">
        <v>9.9999999999999995E-7</v>
      </c>
      <c r="AT20" s="27"/>
      <c r="AU20" s="40"/>
      <c r="AV20" s="24"/>
      <c r="AW20" s="40">
        <v>9.9999999999999995E-7</v>
      </c>
      <c r="AX20" s="27"/>
      <c r="AY20" s="40"/>
      <c r="AZ20" s="24"/>
      <c r="BA20" s="40">
        <v>9.9999999999999995E-7</v>
      </c>
      <c r="BB20" s="27"/>
      <c r="BC20" s="40"/>
      <c r="BD20" s="24"/>
      <c r="BE20" s="40">
        <v>9.9999999999999995E-7</v>
      </c>
      <c r="BF20" s="27"/>
      <c r="BG20" s="40"/>
      <c r="BH20" s="24"/>
      <c r="BI20" s="40">
        <v>9.9999999999999995E-7</v>
      </c>
      <c r="BJ20" s="27"/>
      <c r="BK20" s="40"/>
      <c r="BL20" s="24"/>
    </row>
    <row r="21" spans="2:64" x14ac:dyDescent="0.3">
      <c r="B21" s="62">
        <f t="shared" ref="B21:B51" si="0">AC21*AA21</f>
        <v>0</v>
      </c>
      <c r="C21" s="47">
        <f t="shared" ref="C21:C51" si="1">AI21*AG21</f>
        <v>0</v>
      </c>
      <c r="D21" s="47">
        <f t="shared" ref="D21:D51" si="2">W21*U21</f>
        <v>0</v>
      </c>
      <c r="E21" s="47">
        <f t="shared" ref="E21:E51" si="3">AK21*AM21</f>
        <v>4.1999999999999993</v>
      </c>
      <c r="F21" s="47">
        <f t="shared" ref="F21:F51" si="4">AO21*AQ21</f>
        <v>0</v>
      </c>
      <c r="G21" s="47">
        <f t="shared" ref="G21:G51" si="5">AS21*AU21</f>
        <v>0</v>
      </c>
      <c r="H21" s="47">
        <f t="shared" ref="H21:H51" si="6">AW21*AY21</f>
        <v>0</v>
      </c>
      <c r="I21" s="47">
        <f t="shared" ref="I21:I51" si="7">BA21*BC21</f>
        <v>0</v>
      </c>
      <c r="J21" s="47">
        <f t="shared" ref="J21:J51" si="8">BE21*BG21</f>
        <v>0</v>
      </c>
      <c r="K21" s="63">
        <f t="shared" ref="K21:K51" si="9">BI21*BK21</f>
        <v>0</v>
      </c>
      <c r="L21" s="55">
        <f t="shared" ref="L21:L51" si="10">SUM(S21:U21,Y21:AA21,AE21:AG21,AK21,AO21,AS21,AW21,BA21,BE21,BI21)/($AE$16*$AE$16*3.15/10000*1000)</f>
        <v>16.031325209459283</v>
      </c>
      <c r="N21" s="33">
        <v>2</v>
      </c>
      <c r="O21" s="27">
        <v>880</v>
      </c>
      <c r="P21" s="88" t="s">
        <v>175</v>
      </c>
      <c r="Q21" s="88" t="s">
        <v>170</v>
      </c>
      <c r="R21" s="37"/>
      <c r="S21" s="20"/>
      <c r="T21" s="3"/>
      <c r="U21" s="3"/>
      <c r="V21" s="3"/>
      <c r="W21" s="3"/>
      <c r="X21" s="10"/>
      <c r="Y21" s="17"/>
      <c r="Z21" s="2"/>
      <c r="AA21" s="2"/>
      <c r="AB21" s="2"/>
      <c r="AC21" s="3"/>
      <c r="AD21" s="37"/>
      <c r="AE21" s="9">
        <v>4</v>
      </c>
      <c r="AF21" s="2">
        <v>6</v>
      </c>
      <c r="AG21" s="2"/>
      <c r="AH21" s="2"/>
      <c r="AI21" s="3"/>
      <c r="AJ21" s="10">
        <v>9</v>
      </c>
      <c r="AK21" s="28">
        <v>6</v>
      </c>
      <c r="AL21" s="3"/>
      <c r="AM21" s="3">
        <v>0.7</v>
      </c>
      <c r="AN21" s="10">
        <v>3</v>
      </c>
      <c r="AO21" s="28">
        <v>0</v>
      </c>
      <c r="AP21" s="28"/>
      <c r="AQ21" s="3"/>
      <c r="AR21" s="10"/>
      <c r="AS21" s="20"/>
      <c r="AT21" s="28"/>
      <c r="AU21" s="3"/>
      <c r="AV21" s="10"/>
      <c r="AW21" s="20">
        <v>0</v>
      </c>
      <c r="AX21" s="28"/>
      <c r="AY21" s="3"/>
      <c r="AZ21" s="10"/>
      <c r="BA21" s="20"/>
      <c r="BB21" s="28"/>
      <c r="BC21" s="3"/>
      <c r="BD21" s="10"/>
      <c r="BE21" s="23"/>
      <c r="BF21" s="28"/>
      <c r="BG21" s="3"/>
      <c r="BH21" s="10"/>
      <c r="BI21" s="23"/>
      <c r="BJ21" s="28"/>
      <c r="BK21" s="3"/>
      <c r="BL21" s="10"/>
    </row>
    <row r="22" spans="2:64" x14ac:dyDescent="0.3">
      <c r="B22" s="62">
        <f t="shared" si="0"/>
        <v>0</v>
      </c>
      <c r="C22" s="47">
        <f t="shared" si="1"/>
        <v>0</v>
      </c>
      <c r="D22" s="47">
        <f t="shared" si="2"/>
        <v>0</v>
      </c>
      <c r="E22" s="47">
        <f t="shared" si="3"/>
        <v>42.5</v>
      </c>
      <c r="F22" s="47">
        <f t="shared" si="4"/>
        <v>0</v>
      </c>
      <c r="G22" s="47">
        <f t="shared" si="5"/>
        <v>0</v>
      </c>
      <c r="H22" s="47">
        <f t="shared" si="6"/>
        <v>0</v>
      </c>
      <c r="I22" s="47">
        <f t="shared" si="7"/>
        <v>0</v>
      </c>
      <c r="J22" s="47">
        <f t="shared" si="8"/>
        <v>0</v>
      </c>
      <c r="K22" s="63">
        <f t="shared" si="9"/>
        <v>0</v>
      </c>
      <c r="L22" s="55">
        <f t="shared" si="10"/>
        <v>17.033283035050488</v>
      </c>
      <c r="N22" s="33">
        <v>3</v>
      </c>
      <c r="O22" s="27">
        <v>881</v>
      </c>
      <c r="P22" s="88" t="s">
        <v>175</v>
      </c>
      <c r="Q22" s="88" t="s">
        <v>165</v>
      </c>
      <c r="R22" s="37" t="s">
        <v>174</v>
      </c>
      <c r="S22" s="20"/>
      <c r="T22" s="3"/>
      <c r="U22" s="3"/>
      <c r="V22" s="3"/>
      <c r="W22" s="3"/>
      <c r="X22" s="10"/>
      <c r="Y22" s="17"/>
      <c r="Z22" s="2"/>
      <c r="AA22" s="2"/>
      <c r="AB22" s="2"/>
      <c r="AC22" s="3"/>
      <c r="AD22" s="37"/>
      <c r="AE22" s="9">
        <v>0</v>
      </c>
      <c r="AF22" s="2">
        <v>0</v>
      </c>
      <c r="AG22" s="2"/>
      <c r="AH22" s="2"/>
      <c r="AI22" s="3"/>
      <c r="AJ22" s="10"/>
      <c r="AK22" s="28">
        <v>17</v>
      </c>
      <c r="AL22" s="3"/>
      <c r="AM22" s="3">
        <v>2.5</v>
      </c>
      <c r="AN22" s="10">
        <v>9</v>
      </c>
      <c r="AO22" s="28">
        <v>0</v>
      </c>
      <c r="AP22" s="28"/>
      <c r="AQ22" s="3"/>
      <c r="AR22" s="10"/>
      <c r="AS22" s="20"/>
      <c r="AT22" s="28"/>
      <c r="AU22" s="3"/>
      <c r="AV22" s="10"/>
      <c r="AW22" s="20">
        <v>0</v>
      </c>
      <c r="AX22" s="28"/>
      <c r="AY22" s="3"/>
      <c r="AZ22" s="10"/>
      <c r="BA22" s="20"/>
      <c r="BB22" s="28"/>
      <c r="BC22" s="3"/>
      <c r="BD22" s="10"/>
      <c r="BE22" s="23"/>
      <c r="BF22" s="28"/>
      <c r="BG22" s="3"/>
      <c r="BH22" s="10"/>
      <c r="BI22" s="23"/>
      <c r="BJ22" s="28"/>
      <c r="BK22" s="3"/>
      <c r="BL22" s="10"/>
    </row>
    <row r="23" spans="2:64" x14ac:dyDescent="0.3">
      <c r="B23" s="62">
        <f t="shared" si="0"/>
        <v>0</v>
      </c>
      <c r="C23" s="47">
        <f t="shared" si="1"/>
        <v>0</v>
      </c>
      <c r="D23" s="47">
        <f t="shared" si="2"/>
        <v>0</v>
      </c>
      <c r="E23" s="47">
        <f t="shared" si="3"/>
        <v>37.5</v>
      </c>
      <c r="F23" s="47">
        <f t="shared" si="4"/>
        <v>0</v>
      </c>
      <c r="G23" s="47">
        <f t="shared" si="5"/>
        <v>0</v>
      </c>
      <c r="H23" s="47">
        <f t="shared" si="6"/>
        <v>1.6</v>
      </c>
      <c r="I23" s="47">
        <f t="shared" si="7"/>
        <v>0</v>
      </c>
      <c r="J23" s="47">
        <f t="shared" si="8"/>
        <v>0</v>
      </c>
      <c r="K23" s="63">
        <f t="shared" si="9"/>
        <v>0</v>
      </c>
      <c r="L23" s="55">
        <f t="shared" si="10"/>
        <v>27.052861290962539</v>
      </c>
      <c r="N23" s="33">
        <v>4</v>
      </c>
      <c r="O23" s="27">
        <v>882</v>
      </c>
      <c r="P23" s="87" t="s">
        <v>175</v>
      </c>
      <c r="Q23" s="87" t="s">
        <v>165</v>
      </c>
      <c r="R23" s="37" t="s">
        <v>174</v>
      </c>
      <c r="S23" s="20"/>
      <c r="T23" s="3"/>
      <c r="U23" s="3"/>
      <c r="V23" s="3"/>
      <c r="W23" s="3"/>
      <c r="X23" s="10"/>
      <c r="Y23" s="17"/>
      <c r="Z23" s="2"/>
      <c r="AA23" s="2"/>
      <c r="AB23" s="2"/>
      <c r="AC23" s="3"/>
      <c r="AD23" s="37"/>
      <c r="AE23" s="9">
        <v>0</v>
      </c>
      <c r="AF23" s="2">
        <v>0</v>
      </c>
      <c r="AG23" s="2"/>
      <c r="AH23" s="2"/>
      <c r="AI23" s="3"/>
      <c r="AJ23" s="10"/>
      <c r="AK23" s="28">
        <v>25</v>
      </c>
      <c r="AL23" s="3"/>
      <c r="AM23" s="3">
        <v>1.5</v>
      </c>
      <c r="AN23" s="10">
        <v>4</v>
      </c>
      <c r="AO23" s="28">
        <v>0</v>
      </c>
      <c r="AP23" s="28"/>
      <c r="AQ23" s="3"/>
      <c r="AR23" s="10"/>
      <c r="AS23" s="20"/>
      <c r="AT23" s="28"/>
      <c r="AU23" s="3"/>
      <c r="AV23" s="10"/>
      <c r="AW23" s="20">
        <v>2</v>
      </c>
      <c r="AX23" s="28"/>
      <c r="AY23" s="3">
        <v>0.8</v>
      </c>
      <c r="AZ23" s="10">
        <v>4</v>
      </c>
      <c r="BA23" s="20"/>
      <c r="BB23" s="28"/>
      <c r="BC23" s="3"/>
      <c r="BD23" s="10"/>
      <c r="BE23" s="23"/>
      <c r="BF23" s="28"/>
      <c r="BG23" s="3"/>
      <c r="BH23" s="10"/>
      <c r="BI23" s="23"/>
      <c r="BJ23" s="28"/>
      <c r="BK23" s="3"/>
      <c r="BL23" s="10"/>
    </row>
    <row r="24" spans="2:64" x14ac:dyDescent="0.3">
      <c r="B24" s="62">
        <f t="shared" si="0"/>
        <v>0</v>
      </c>
      <c r="C24" s="47">
        <f t="shared" si="1"/>
        <v>0</v>
      </c>
      <c r="D24" s="47">
        <f t="shared" si="2"/>
        <v>0</v>
      </c>
      <c r="E24" s="47">
        <f t="shared" si="3"/>
        <v>60.9</v>
      </c>
      <c r="F24" s="47">
        <f t="shared" si="4"/>
        <v>0</v>
      </c>
      <c r="G24" s="47">
        <f t="shared" si="5"/>
        <v>0</v>
      </c>
      <c r="H24" s="47">
        <f t="shared" si="6"/>
        <v>0</v>
      </c>
      <c r="I24" s="47">
        <f t="shared" si="7"/>
        <v>0</v>
      </c>
      <c r="J24" s="47">
        <f t="shared" si="8"/>
        <v>0</v>
      </c>
      <c r="K24" s="63">
        <f t="shared" si="9"/>
        <v>0</v>
      </c>
      <c r="L24" s="55">
        <f t="shared" si="10"/>
        <v>22.043072163006514</v>
      </c>
      <c r="N24" s="33">
        <v>5</v>
      </c>
      <c r="O24" s="27">
        <v>883</v>
      </c>
      <c r="P24" s="88" t="s">
        <v>175</v>
      </c>
      <c r="Q24" s="88" t="s">
        <v>165</v>
      </c>
      <c r="R24" s="37" t="s">
        <v>171</v>
      </c>
      <c r="S24" s="20"/>
      <c r="T24" s="3"/>
      <c r="U24" s="3"/>
      <c r="V24" s="3"/>
      <c r="W24" s="3"/>
      <c r="X24" s="10"/>
      <c r="Y24" s="17"/>
      <c r="Z24" s="2"/>
      <c r="AA24" s="2"/>
      <c r="AB24" s="2"/>
      <c r="AC24" s="3"/>
      <c r="AD24" s="37"/>
      <c r="AE24" s="9">
        <v>0</v>
      </c>
      <c r="AF24" s="2">
        <v>1</v>
      </c>
      <c r="AG24" s="2"/>
      <c r="AH24" s="2"/>
      <c r="AI24" s="3"/>
      <c r="AJ24" s="10">
        <v>9</v>
      </c>
      <c r="AK24" s="28">
        <v>21</v>
      </c>
      <c r="AL24" s="3"/>
      <c r="AM24" s="3">
        <v>2.9</v>
      </c>
      <c r="AN24" s="10">
        <v>9</v>
      </c>
      <c r="AO24" s="28">
        <v>0</v>
      </c>
      <c r="AP24" s="28"/>
      <c r="AQ24" s="3"/>
      <c r="AR24" s="10"/>
      <c r="AS24" s="20"/>
      <c r="AT24" s="28"/>
      <c r="AU24" s="3"/>
      <c r="AV24" s="10"/>
      <c r="AW24" s="20">
        <v>0</v>
      </c>
      <c r="AX24" s="28"/>
      <c r="AY24" s="3"/>
      <c r="AZ24" s="10"/>
      <c r="BA24" s="20"/>
      <c r="BB24" s="28"/>
      <c r="BC24" s="3"/>
      <c r="BD24" s="10"/>
      <c r="BE24" s="23"/>
      <c r="BF24" s="28"/>
      <c r="BG24" s="3"/>
      <c r="BH24" s="10"/>
      <c r="BI24" s="20"/>
      <c r="BJ24" s="28"/>
      <c r="BK24" s="3"/>
      <c r="BL24" s="10"/>
    </row>
    <row r="25" spans="2:64" x14ac:dyDescent="0.3">
      <c r="B25" s="62">
        <f t="shared" si="0"/>
        <v>0</v>
      </c>
      <c r="C25" s="47">
        <f t="shared" si="1"/>
        <v>0</v>
      </c>
      <c r="D25" s="47">
        <f t="shared" si="2"/>
        <v>0</v>
      </c>
      <c r="E25" s="47">
        <f t="shared" si="3"/>
        <v>32</v>
      </c>
      <c r="F25" s="47">
        <f t="shared" si="4"/>
        <v>1.4</v>
      </c>
      <c r="G25" s="47">
        <f t="shared" si="5"/>
        <v>0</v>
      </c>
      <c r="H25" s="47">
        <f t="shared" si="6"/>
        <v>0</v>
      </c>
      <c r="I25" s="47">
        <f t="shared" si="7"/>
        <v>0</v>
      </c>
      <c r="J25" s="47">
        <f t="shared" si="8"/>
        <v>0</v>
      </c>
      <c r="K25" s="63">
        <f t="shared" si="9"/>
        <v>0</v>
      </c>
      <c r="L25" s="55">
        <f t="shared" si="10"/>
        <v>12.023493907094462</v>
      </c>
      <c r="N25" s="33">
        <v>6</v>
      </c>
      <c r="O25" s="27">
        <v>884</v>
      </c>
      <c r="P25" s="88" t="s">
        <v>175</v>
      </c>
      <c r="Q25" s="88" t="s">
        <v>165</v>
      </c>
      <c r="R25" s="37" t="s">
        <v>171</v>
      </c>
      <c r="S25" s="20"/>
      <c r="T25" s="3"/>
      <c r="U25" s="3"/>
      <c r="V25" s="3"/>
      <c r="W25" s="3"/>
      <c r="X25" s="10"/>
      <c r="Y25" s="17"/>
      <c r="Z25" s="2"/>
      <c r="AA25" s="2"/>
      <c r="AB25" s="2"/>
      <c r="AC25" s="3"/>
      <c r="AD25" s="37"/>
      <c r="AE25" s="9">
        <v>0</v>
      </c>
      <c r="AF25" s="2">
        <v>0</v>
      </c>
      <c r="AG25" s="2"/>
      <c r="AH25" s="2"/>
      <c r="AI25" s="3"/>
      <c r="AJ25" s="10"/>
      <c r="AK25" s="28">
        <v>10</v>
      </c>
      <c r="AL25" s="3"/>
      <c r="AM25" s="3">
        <v>3.2</v>
      </c>
      <c r="AN25" s="10">
        <v>9</v>
      </c>
      <c r="AO25" s="28">
        <v>2</v>
      </c>
      <c r="AP25" s="28"/>
      <c r="AQ25" s="3">
        <v>0.7</v>
      </c>
      <c r="AR25" s="10">
        <v>3</v>
      </c>
      <c r="AS25" s="20"/>
      <c r="AT25" s="28"/>
      <c r="AU25" s="3"/>
      <c r="AV25" s="10"/>
      <c r="AW25" s="20">
        <v>0</v>
      </c>
      <c r="AX25" s="28"/>
      <c r="AY25" s="3"/>
      <c r="AZ25" s="10"/>
      <c r="BA25" s="20"/>
      <c r="BB25" s="28"/>
      <c r="BC25" s="3"/>
      <c r="BD25" s="10"/>
      <c r="BE25" s="23"/>
      <c r="BF25" s="28"/>
      <c r="BG25" s="3"/>
      <c r="BH25" s="10"/>
      <c r="BI25" s="20"/>
      <c r="BJ25" s="28"/>
      <c r="BK25" s="3"/>
      <c r="BL25" s="10"/>
    </row>
    <row r="26" spans="2:64" x14ac:dyDescent="0.3">
      <c r="B26" s="62">
        <f t="shared" si="0"/>
        <v>0</v>
      </c>
      <c r="C26" s="47">
        <f t="shared" si="1"/>
        <v>0</v>
      </c>
      <c r="D26" s="47">
        <f t="shared" si="2"/>
        <v>0</v>
      </c>
      <c r="E26" s="47">
        <f t="shared" si="3"/>
        <v>0</v>
      </c>
      <c r="F26" s="47">
        <f t="shared" si="4"/>
        <v>0</v>
      </c>
      <c r="G26" s="47">
        <f t="shared" si="5"/>
        <v>0</v>
      </c>
      <c r="H26" s="47">
        <f t="shared" si="6"/>
        <v>0</v>
      </c>
      <c r="I26" s="47">
        <f t="shared" si="7"/>
        <v>0</v>
      </c>
      <c r="J26" s="47">
        <f t="shared" si="8"/>
        <v>0</v>
      </c>
      <c r="K26" s="63">
        <f t="shared" si="9"/>
        <v>0</v>
      </c>
      <c r="L26" s="55">
        <f t="shared" si="10"/>
        <v>0</v>
      </c>
      <c r="N26" s="33">
        <v>7</v>
      </c>
      <c r="O26" s="27"/>
      <c r="P26" s="87"/>
      <c r="Q26" s="87"/>
      <c r="R26" s="37"/>
      <c r="S26" s="20"/>
      <c r="T26" s="3"/>
      <c r="U26" s="3"/>
      <c r="V26" s="3"/>
      <c r="W26" s="3"/>
      <c r="X26" s="10"/>
      <c r="Y26" s="17"/>
      <c r="Z26" s="2"/>
      <c r="AA26" s="2"/>
      <c r="AB26" s="2"/>
      <c r="AC26" s="3"/>
      <c r="AD26" s="37"/>
      <c r="AE26" s="9"/>
      <c r="AF26" s="2"/>
      <c r="AG26" s="2"/>
      <c r="AH26" s="2"/>
      <c r="AI26" s="3"/>
      <c r="AJ26" s="10"/>
      <c r="AK26" s="28"/>
      <c r="AL26" s="3"/>
      <c r="AM26" s="3"/>
      <c r="AN26" s="10"/>
      <c r="AO26" s="28"/>
      <c r="AP26" s="28"/>
      <c r="AQ26" s="3"/>
      <c r="AR26" s="10"/>
      <c r="AS26" s="20"/>
      <c r="AT26" s="28"/>
      <c r="AU26" s="3"/>
      <c r="AV26" s="10"/>
      <c r="AW26" s="20"/>
      <c r="AX26" s="28"/>
      <c r="AY26" s="3"/>
      <c r="AZ26" s="10"/>
      <c r="BA26" s="20"/>
      <c r="BB26" s="28"/>
      <c r="BC26" s="3"/>
      <c r="BD26" s="10"/>
      <c r="BE26" s="23"/>
      <c r="BF26" s="28"/>
      <c r="BG26" s="3"/>
      <c r="BH26" s="10"/>
      <c r="BI26" s="20"/>
      <c r="BJ26" s="28"/>
      <c r="BK26" s="3"/>
      <c r="BL26" s="10"/>
    </row>
    <row r="27" spans="2:64" x14ac:dyDescent="0.3">
      <c r="B27" s="62">
        <f t="shared" si="0"/>
        <v>0</v>
      </c>
      <c r="C27" s="47">
        <f t="shared" si="1"/>
        <v>0</v>
      </c>
      <c r="D27" s="47">
        <f t="shared" si="2"/>
        <v>0</v>
      </c>
      <c r="E27" s="47">
        <f t="shared" si="3"/>
        <v>0</v>
      </c>
      <c r="F27" s="47">
        <f t="shared" si="4"/>
        <v>0</v>
      </c>
      <c r="G27" s="47">
        <f t="shared" si="5"/>
        <v>0</v>
      </c>
      <c r="H27" s="47">
        <f t="shared" si="6"/>
        <v>0</v>
      </c>
      <c r="I27" s="47">
        <f t="shared" si="7"/>
        <v>0</v>
      </c>
      <c r="J27" s="47">
        <f t="shared" si="8"/>
        <v>0</v>
      </c>
      <c r="K27" s="63">
        <f t="shared" si="9"/>
        <v>0</v>
      </c>
      <c r="L27" s="55">
        <f t="shared" si="10"/>
        <v>0</v>
      </c>
      <c r="N27" s="33">
        <v>8</v>
      </c>
      <c r="O27" s="28"/>
      <c r="P27" s="88"/>
      <c r="Q27" s="88"/>
      <c r="R27" s="37"/>
      <c r="S27" s="20"/>
      <c r="T27" s="3"/>
      <c r="U27" s="3"/>
      <c r="V27" s="3"/>
      <c r="W27" s="3"/>
      <c r="X27" s="10"/>
      <c r="Y27" s="17"/>
      <c r="Z27" s="2"/>
      <c r="AA27" s="2"/>
      <c r="AB27" s="2"/>
      <c r="AC27" s="3"/>
      <c r="AD27" s="37"/>
      <c r="AE27" s="9"/>
      <c r="AF27" s="2"/>
      <c r="AG27" s="2"/>
      <c r="AH27" s="2"/>
      <c r="AI27" s="3"/>
      <c r="AJ27" s="10"/>
      <c r="AK27" s="28"/>
      <c r="AL27" s="3"/>
      <c r="AM27" s="3"/>
      <c r="AN27" s="10"/>
      <c r="AO27" s="28"/>
      <c r="AP27" s="28"/>
      <c r="AQ27" s="3"/>
      <c r="AR27" s="10"/>
      <c r="AS27" s="20"/>
      <c r="AT27" s="28"/>
      <c r="AU27" s="3"/>
      <c r="AV27" s="10"/>
      <c r="AW27" s="20"/>
      <c r="AX27" s="28"/>
      <c r="AY27" s="3"/>
      <c r="AZ27" s="10"/>
      <c r="BA27" s="20"/>
      <c r="BB27" s="28"/>
      <c r="BC27" s="3"/>
      <c r="BD27" s="10"/>
      <c r="BE27" s="23"/>
      <c r="BF27" s="28"/>
      <c r="BG27" s="3"/>
      <c r="BH27" s="10"/>
      <c r="BI27" s="20"/>
      <c r="BJ27" s="28"/>
      <c r="BK27" s="3"/>
      <c r="BL27" s="10"/>
    </row>
    <row r="28" spans="2:64" x14ac:dyDescent="0.3">
      <c r="B28" s="62">
        <f t="shared" si="0"/>
        <v>0</v>
      </c>
      <c r="C28" s="47">
        <f t="shared" si="1"/>
        <v>0</v>
      </c>
      <c r="D28" s="47">
        <f t="shared" si="2"/>
        <v>0</v>
      </c>
      <c r="E28" s="47">
        <f t="shared" si="3"/>
        <v>0</v>
      </c>
      <c r="F28" s="47">
        <f t="shared" si="4"/>
        <v>0</v>
      </c>
      <c r="G28" s="47">
        <f t="shared" si="5"/>
        <v>0</v>
      </c>
      <c r="H28" s="47">
        <f t="shared" si="6"/>
        <v>0</v>
      </c>
      <c r="I28" s="47">
        <f t="shared" si="7"/>
        <v>0</v>
      </c>
      <c r="J28" s="47">
        <f t="shared" si="8"/>
        <v>0</v>
      </c>
      <c r="K28" s="63">
        <f t="shared" si="9"/>
        <v>0</v>
      </c>
      <c r="L28" s="55">
        <f t="shared" si="10"/>
        <v>0</v>
      </c>
      <c r="N28" s="33">
        <v>9</v>
      </c>
      <c r="O28" s="28"/>
      <c r="P28" s="88"/>
      <c r="Q28" s="88"/>
      <c r="R28" s="37"/>
      <c r="S28" s="20"/>
      <c r="T28" s="3"/>
      <c r="U28" s="3"/>
      <c r="V28" s="3"/>
      <c r="W28" s="3"/>
      <c r="X28" s="10"/>
      <c r="Y28" s="17"/>
      <c r="Z28" s="2"/>
      <c r="AA28" s="2"/>
      <c r="AB28" s="2"/>
      <c r="AC28" s="3"/>
      <c r="AD28" s="37"/>
      <c r="AE28" s="9"/>
      <c r="AF28" s="2"/>
      <c r="AG28" s="2"/>
      <c r="AH28" s="2"/>
      <c r="AI28" s="3"/>
      <c r="AJ28" s="10"/>
      <c r="AK28" s="28"/>
      <c r="AL28" s="3"/>
      <c r="AM28" s="3"/>
      <c r="AN28" s="10"/>
      <c r="AO28" s="28"/>
      <c r="AP28" s="28"/>
      <c r="AQ28" s="3"/>
      <c r="AR28" s="10"/>
      <c r="AS28" s="20"/>
      <c r="AT28" s="28"/>
      <c r="AU28" s="3"/>
      <c r="AV28" s="10"/>
      <c r="AW28" s="20"/>
      <c r="AX28" s="28"/>
      <c r="AY28" s="3"/>
      <c r="AZ28" s="10"/>
      <c r="BA28" s="20"/>
      <c r="BB28" s="28"/>
      <c r="BC28" s="3"/>
      <c r="BD28" s="10"/>
      <c r="BE28" s="23"/>
      <c r="BF28" s="28"/>
      <c r="BG28" s="3"/>
      <c r="BH28" s="10"/>
      <c r="BI28" s="20"/>
      <c r="BJ28" s="28"/>
      <c r="BK28" s="3"/>
      <c r="BL28" s="10"/>
    </row>
    <row r="29" spans="2:64" x14ac:dyDescent="0.3">
      <c r="B29" s="62">
        <f t="shared" si="0"/>
        <v>0</v>
      </c>
      <c r="C29" s="47">
        <f t="shared" si="1"/>
        <v>0</v>
      </c>
      <c r="D29" s="47">
        <f t="shared" si="2"/>
        <v>0</v>
      </c>
      <c r="E29" s="47">
        <f t="shared" si="3"/>
        <v>0</v>
      </c>
      <c r="F29" s="47">
        <f t="shared" si="4"/>
        <v>0</v>
      </c>
      <c r="G29" s="47">
        <f t="shared" si="5"/>
        <v>0</v>
      </c>
      <c r="H29" s="47">
        <f t="shared" si="6"/>
        <v>0</v>
      </c>
      <c r="I29" s="47">
        <f t="shared" si="7"/>
        <v>0</v>
      </c>
      <c r="J29" s="47">
        <f t="shared" si="8"/>
        <v>0</v>
      </c>
      <c r="K29" s="63">
        <f t="shared" si="9"/>
        <v>0</v>
      </c>
      <c r="L29" s="55">
        <f t="shared" si="10"/>
        <v>0</v>
      </c>
      <c r="N29" s="33">
        <v>10</v>
      </c>
      <c r="O29" s="27"/>
      <c r="P29" s="87"/>
      <c r="Q29" s="87"/>
      <c r="R29" s="37"/>
      <c r="S29" s="20"/>
      <c r="T29" s="3"/>
      <c r="U29" s="3"/>
      <c r="V29" s="3"/>
      <c r="W29" s="3"/>
      <c r="X29" s="10"/>
      <c r="Y29" s="17"/>
      <c r="Z29" s="2"/>
      <c r="AA29" s="2"/>
      <c r="AB29" s="2"/>
      <c r="AC29" s="3"/>
      <c r="AD29" s="37"/>
      <c r="AE29" s="9"/>
      <c r="AF29" s="2"/>
      <c r="AG29" s="2"/>
      <c r="AH29" s="2"/>
      <c r="AI29" s="3"/>
      <c r="AJ29" s="10"/>
      <c r="AK29" s="28"/>
      <c r="AL29" s="3"/>
      <c r="AM29" s="3"/>
      <c r="AN29" s="10"/>
      <c r="AO29" s="28"/>
      <c r="AP29" s="28"/>
      <c r="AQ29" s="3"/>
      <c r="AR29" s="10"/>
      <c r="AS29" s="20"/>
      <c r="AT29" s="28"/>
      <c r="AU29" s="3"/>
      <c r="AV29" s="10"/>
      <c r="AW29" s="20"/>
      <c r="AX29" s="28"/>
      <c r="AY29" s="3"/>
      <c r="AZ29" s="10"/>
      <c r="BA29" s="20"/>
      <c r="BB29" s="28"/>
      <c r="BC29" s="3"/>
      <c r="BD29" s="10"/>
      <c r="BE29" s="23"/>
      <c r="BF29" s="28"/>
      <c r="BG29" s="3"/>
      <c r="BH29" s="10"/>
      <c r="BI29" s="20"/>
      <c r="BJ29" s="28"/>
      <c r="BK29" s="3"/>
      <c r="BL29" s="10"/>
    </row>
    <row r="30" spans="2:64" x14ac:dyDescent="0.3">
      <c r="B30" s="62">
        <f t="shared" si="0"/>
        <v>0</v>
      </c>
      <c r="C30" s="47">
        <f t="shared" si="1"/>
        <v>0</v>
      </c>
      <c r="D30" s="47">
        <f t="shared" si="2"/>
        <v>0</v>
      </c>
      <c r="E30" s="47">
        <f t="shared" si="3"/>
        <v>0</v>
      </c>
      <c r="F30" s="47">
        <f t="shared" si="4"/>
        <v>0</v>
      </c>
      <c r="G30" s="47">
        <f t="shared" si="5"/>
        <v>0</v>
      </c>
      <c r="H30" s="47">
        <f t="shared" si="6"/>
        <v>0</v>
      </c>
      <c r="I30" s="47">
        <f t="shared" si="7"/>
        <v>0</v>
      </c>
      <c r="J30" s="47">
        <f t="shared" si="8"/>
        <v>0</v>
      </c>
      <c r="K30" s="63">
        <f t="shared" si="9"/>
        <v>0</v>
      </c>
      <c r="L30" s="55">
        <f t="shared" si="10"/>
        <v>0</v>
      </c>
      <c r="N30" s="33">
        <v>11</v>
      </c>
      <c r="O30" s="28"/>
      <c r="P30" s="88"/>
      <c r="Q30" s="88"/>
      <c r="R30" s="37"/>
      <c r="S30" s="20"/>
      <c r="T30" s="3"/>
      <c r="U30" s="3"/>
      <c r="V30" s="3"/>
      <c r="W30" s="3"/>
      <c r="X30" s="10"/>
      <c r="Y30" s="17"/>
      <c r="Z30" s="2"/>
      <c r="AA30" s="2"/>
      <c r="AB30" s="2"/>
      <c r="AC30" s="3"/>
      <c r="AD30" s="37"/>
      <c r="AE30" s="9"/>
      <c r="AF30" s="2"/>
      <c r="AG30" s="2"/>
      <c r="AH30" s="2"/>
      <c r="AI30" s="3"/>
      <c r="AJ30" s="10"/>
      <c r="AK30" s="28"/>
      <c r="AL30" s="3"/>
      <c r="AM30" s="3"/>
      <c r="AN30" s="10"/>
      <c r="AO30" s="28"/>
      <c r="AP30" s="28"/>
      <c r="AQ30" s="3"/>
      <c r="AR30" s="10"/>
      <c r="AS30" s="20"/>
      <c r="AT30" s="28"/>
      <c r="AU30" s="3"/>
      <c r="AV30" s="10"/>
      <c r="AW30" s="20"/>
      <c r="AX30" s="28"/>
      <c r="AY30" s="3"/>
      <c r="AZ30" s="10"/>
      <c r="BA30" s="20"/>
      <c r="BB30" s="28"/>
      <c r="BC30" s="3"/>
      <c r="BD30" s="10"/>
      <c r="BE30" s="23"/>
      <c r="BF30" s="28"/>
      <c r="BG30" s="3"/>
      <c r="BH30" s="10"/>
      <c r="BI30" s="20"/>
      <c r="BJ30" s="28"/>
      <c r="BK30" s="3"/>
      <c r="BL30" s="10"/>
    </row>
    <row r="31" spans="2:64" x14ac:dyDescent="0.3">
      <c r="B31" s="62">
        <f t="shared" si="0"/>
        <v>0</v>
      </c>
      <c r="C31" s="47">
        <f t="shared" si="1"/>
        <v>0</v>
      </c>
      <c r="D31" s="47">
        <f t="shared" si="2"/>
        <v>0</v>
      </c>
      <c r="E31" s="47">
        <f t="shared" si="3"/>
        <v>0</v>
      </c>
      <c r="F31" s="47">
        <f t="shared" si="4"/>
        <v>0</v>
      </c>
      <c r="G31" s="47">
        <f t="shared" si="5"/>
        <v>0</v>
      </c>
      <c r="H31" s="47">
        <f t="shared" si="6"/>
        <v>0</v>
      </c>
      <c r="I31" s="47">
        <f t="shared" si="7"/>
        <v>0</v>
      </c>
      <c r="J31" s="47">
        <f t="shared" si="8"/>
        <v>0</v>
      </c>
      <c r="K31" s="63">
        <f t="shared" si="9"/>
        <v>0</v>
      </c>
      <c r="L31" s="55">
        <f t="shared" si="10"/>
        <v>0</v>
      </c>
      <c r="N31" s="33">
        <v>12</v>
      </c>
      <c r="O31" s="28"/>
      <c r="P31" s="88"/>
      <c r="Q31" s="88"/>
      <c r="R31" s="37"/>
      <c r="S31" s="20"/>
      <c r="T31" s="3"/>
      <c r="U31" s="3"/>
      <c r="V31" s="3"/>
      <c r="W31" s="3"/>
      <c r="X31" s="10"/>
      <c r="Y31" s="17"/>
      <c r="Z31" s="2"/>
      <c r="AA31" s="2"/>
      <c r="AB31" s="2"/>
      <c r="AC31" s="3"/>
      <c r="AD31" s="37"/>
      <c r="AE31" s="9"/>
      <c r="AF31" s="2"/>
      <c r="AG31" s="2"/>
      <c r="AH31" s="2"/>
      <c r="AI31" s="3"/>
      <c r="AJ31" s="10"/>
      <c r="AK31" s="28"/>
      <c r="AL31" s="3"/>
      <c r="AM31" s="3"/>
      <c r="AN31" s="10"/>
      <c r="AO31" s="28"/>
      <c r="AP31" s="28"/>
      <c r="AQ31" s="3"/>
      <c r="AR31" s="10"/>
      <c r="AS31" s="20"/>
      <c r="AT31" s="28"/>
      <c r="AU31" s="3"/>
      <c r="AV31" s="10"/>
      <c r="AW31" s="20"/>
      <c r="AX31" s="28"/>
      <c r="AY31" s="3"/>
      <c r="AZ31" s="10"/>
      <c r="BA31" s="20"/>
      <c r="BB31" s="28"/>
      <c r="BC31" s="3"/>
      <c r="BD31" s="10"/>
      <c r="BE31" s="23"/>
      <c r="BF31" s="28"/>
      <c r="BG31" s="3"/>
      <c r="BH31" s="10"/>
      <c r="BI31" s="20"/>
      <c r="BJ31" s="28"/>
      <c r="BK31" s="3"/>
      <c r="BL31" s="10"/>
    </row>
    <row r="32" spans="2:64" x14ac:dyDescent="0.3">
      <c r="B32" s="62">
        <f t="shared" si="0"/>
        <v>0</v>
      </c>
      <c r="C32" s="47">
        <f t="shared" si="1"/>
        <v>0</v>
      </c>
      <c r="D32" s="47">
        <f t="shared" si="2"/>
        <v>0</v>
      </c>
      <c r="E32" s="47">
        <f t="shared" si="3"/>
        <v>0</v>
      </c>
      <c r="F32" s="47">
        <f t="shared" si="4"/>
        <v>0</v>
      </c>
      <c r="G32" s="47">
        <f t="shared" si="5"/>
        <v>0</v>
      </c>
      <c r="H32" s="47">
        <f t="shared" si="6"/>
        <v>0</v>
      </c>
      <c r="I32" s="47">
        <f t="shared" si="7"/>
        <v>0</v>
      </c>
      <c r="J32" s="47">
        <f t="shared" si="8"/>
        <v>0</v>
      </c>
      <c r="K32" s="63">
        <f t="shared" si="9"/>
        <v>0</v>
      </c>
      <c r="L32" s="55">
        <f t="shared" si="10"/>
        <v>0</v>
      </c>
      <c r="N32" s="33">
        <v>13</v>
      </c>
      <c r="O32" s="28"/>
      <c r="P32" s="88"/>
      <c r="Q32" s="88"/>
      <c r="R32" s="37"/>
      <c r="S32" s="20"/>
      <c r="T32" s="3"/>
      <c r="U32" s="3"/>
      <c r="V32" s="3"/>
      <c r="W32" s="3"/>
      <c r="X32" s="10"/>
      <c r="Y32" s="17"/>
      <c r="Z32" s="2"/>
      <c r="AA32" s="2"/>
      <c r="AB32" s="2"/>
      <c r="AC32" s="3"/>
      <c r="AD32" s="37"/>
      <c r="AE32" s="9"/>
      <c r="AF32" s="2"/>
      <c r="AG32" s="2"/>
      <c r="AH32" s="2"/>
      <c r="AI32" s="3"/>
      <c r="AJ32" s="10"/>
      <c r="AK32" s="28"/>
      <c r="AL32" s="3"/>
      <c r="AM32" s="3"/>
      <c r="AN32" s="10"/>
      <c r="AO32" s="28"/>
      <c r="AP32" s="28"/>
      <c r="AQ32" s="3"/>
      <c r="AR32" s="10"/>
      <c r="AS32" s="20"/>
      <c r="AT32" s="28"/>
      <c r="AU32" s="3"/>
      <c r="AV32" s="10"/>
      <c r="AW32" s="20"/>
      <c r="AX32" s="28"/>
      <c r="AY32" s="3"/>
      <c r="AZ32" s="10"/>
      <c r="BA32" s="20"/>
      <c r="BB32" s="28"/>
      <c r="BC32" s="3"/>
      <c r="BD32" s="10"/>
      <c r="BE32" s="23"/>
      <c r="BF32" s="28"/>
      <c r="BG32" s="3"/>
      <c r="BH32" s="10"/>
      <c r="BI32" s="20"/>
      <c r="BJ32" s="28"/>
      <c r="BK32" s="3"/>
      <c r="BL32" s="10"/>
    </row>
    <row r="33" spans="2:64" x14ac:dyDescent="0.3">
      <c r="B33" s="62">
        <f t="shared" si="0"/>
        <v>0</v>
      </c>
      <c r="C33" s="47">
        <f t="shared" si="1"/>
        <v>0</v>
      </c>
      <c r="D33" s="47">
        <f t="shared" si="2"/>
        <v>0</v>
      </c>
      <c r="E33" s="47">
        <f t="shared" si="3"/>
        <v>0</v>
      </c>
      <c r="F33" s="47">
        <f t="shared" si="4"/>
        <v>0</v>
      </c>
      <c r="G33" s="47">
        <f t="shared" si="5"/>
        <v>0</v>
      </c>
      <c r="H33" s="47">
        <f t="shared" si="6"/>
        <v>0</v>
      </c>
      <c r="I33" s="47">
        <f t="shared" si="7"/>
        <v>0</v>
      </c>
      <c r="J33" s="47">
        <f t="shared" si="8"/>
        <v>0</v>
      </c>
      <c r="K33" s="63">
        <f t="shared" si="9"/>
        <v>0</v>
      </c>
      <c r="L33" s="55">
        <f t="shared" si="10"/>
        <v>0</v>
      </c>
      <c r="N33" s="33">
        <v>14</v>
      </c>
      <c r="O33" s="28"/>
      <c r="P33" s="88"/>
      <c r="Q33" s="88"/>
      <c r="R33" s="37"/>
      <c r="S33" s="20"/>
      <c r="T33" s="3"/>
      <c r="U33" s="3"/>
      <c r="V33" s="3"/>
      <c r="W33" s="3"/>
      <c r="X33" s="10"/>
      <c r="Y33" s="17"/>
      <c r="Z33" s="2"/>
      <c r="AA33" s="2"/>
      <c r="AB33" s="2"/>
      <c r="AC33" s="3"/>
      <c r="AD33" s="37"/>
      <c r="AE33" s="9"/>
      <c r="AF33" s="2"/>
      <c r="AG33" s="2"/>
      <c r="AH33" s="2"/>
      <c r="AI33" s="3"/>
      <c r="AJ33" s="10"/>
      <c r="AK33" s="28"/>
      <c r="AL33" s="3"/>
      <c r="AM33" s="3"/>
      <c r="AN33" s="10"/>
      <c r="AO33" s="28"/>
      <c r="AP33" s="28"/>
      <c r="AQ33" s="3"/>
      <c r="AR33" s="10"/>
      <c r="AS33" s="20"/>
      <c r="AT33" s="28"/>
      <c r="AU33" s="3"/>
      <c r="AV33" s="10"/>
      <c r="AW33" s="20"/>
      <c r="AX33" s="28"/>
      <c r="AY33" s="3"/>
      <c r="AZ33" s="10"/>
      <c r="BA33" s="20"/>
      <c r="BB33" s="28"/>
      <c r="BC33" s="3"/>
      <c r="BD33" s="10"/>
      <c r="BE33" s="23"/>
      <c r="BF33" s="28"/>
      <c r="BG33" s="3"/>
      <c r="BH33" s="10"/>
      <c r="BI33" s="20"/>
      <c r="BJ33" s="28"/>
      <c r="BK33" s="3"/>
      <c r="BL33" s="10"/>
    </row>
    <row r="34" spans="2:64" x14ac:dyDescent="0.3">
      <c r="B34" s="62">
        <f t="shared" si="0"/>
        <v>0</v>
      </c>
      <c r="C34" s="47">
        <f t="shared" si="1"/>
        <v>0</v>
      </c>
      <c r="D34" s="47">
        <f t="shared" si="2"/>
        <v>0</v>
      </c>
      <c r="E34" s="47">
        <f t="shared" si="3"/>
        <v>0</v>
      </c>
      <c r="F34" s="47">
        <f t="shared" si="4"/>
        <v>0</v>
      </c>
      <c r="G34" s="47">
        <f t="shared" si="5"/>
        <v>0</v>
      </c>
      <c r="H34" s="47">
        <f t="shared" si="6"/>
        <v>0</v>
      </c>
      <c r="I34" s="47">
        <f t="shared" si="7"/>
        <v>0</v>
      </c>
      <c r="J34" s="47">
        <f t="shared" si="8"/>
        <v>0</v>
      </c>
      <c r="K34" s="63">
        <f t="shared" si="9"/>
        <v>0</v>
      </c>
      <c r="L34" s="55">
        <f t="shared" si="10"/>
        <v>0</v>
      </c>
      <c r="N34" s="33">
        <v>15</v>
      </c>
      <c r="O34" s="28"/>
      <c r="P34" s="88"/>
      <c r="Q34" s="88"/>
      <c r="R34" s="37"/>
      <c r="S34" s="20"/>
      <c r="T34" s="3"/>
      <c r="U34" s="3"/>
      <c r="V34" s="3"/>
      <c r="W34" s="3"/>
      <c r="X34" s="10"/>
      <c r="Y34" s="17"/>
      <c r="Z34" s="2"/>
      <c r="AA34" s="2"/>
      <c r="AB34" s="2"/>
      <c r="AC34" s="3"/>
      <c r="AD34" s="37"/>
      <c r="AE34" s="9"/>
      <c r="AF34" s="2"/>
      <c r="AG34" s="2"/>
      <c r="AH34" s="2"/>
      <c r="AI34" s="3"/>
      <c r="AJ34" s="10"/>
      <c r="AK34" s="28"/>
      <c r="AL34" s="3"/>
      <c r="AM34" s="3"/>
      <c r="AN34" s="10"/>
      <c r="AO34" s="28"/>
      <c r="AP34" s="28"/>
      <c r="AQ34" s="3"/>
      <c r="AR34" s="10"/>
      <c r="AS34" s="20"/>
      <c r="AT34" s="28"/>
      <c r="AU34" s="3"/>
      <c r="AV34" s="10"/>
      <c r="AW34" s="20"/>
      <c r="AX34" s="28"/>
      <c r="AY34" s="3"/>
      <c r="AZ34" s="10"/>
      <c r="BA34" s="20"/>
      <c r="BB34" s="28"/>
      <c r="BC34" s="3"/>
      <c r="BD34" s="10"/>
      <c r="BE34" s="23"/>
      <c r="BF34" s="28"/>
      <c r="BG34" s="3"/>
      <c r="BH34" s="10"/>
      <c r="BI34" s="20"/>
      <c r="BJ34" s="28"/>
      <c r="BK34" s="3"/>
      <c r="BL34" s="10"/>
    </row>
    <row r="35" spans="2:64" x14ac:dyDescent="0.3">
      <c r="B35" s="62">
        <f t="shared" si="0"/>
        <v>0</v>
      </c>
      <c r="C35" s="47">
        <f t="shared" si="1"/>
        <v>0</v>
      </c>
      <c r="D35" s="47">
        <f t="shared" si="2"/>
        <v>0</v>
      </c>
      <c r="E35" s="47">
        <f t="shared" si="3"/>
        <v>0</v>
      </c>
      <c r="F35" s="47">
        <f t="shared" si="4"/>
        <v>0</v>
      </c>
      <c r="G35" s="47">
        <f t="shared" si="5"/>
        <v>0</v>
      </c>
      <c r="H35" s="47">
        <f t="shared" si="6"/>
        <v>0</v>
      </c>
      <c r="I35" s="47">
        <f t="shared" si="7"/>
        <v>0</v>
      </c>
      <c r="J35" s="47">
        <f t="shared" si="8"/>
        <v>0</v>
      </c>
      <c r="K35" s="63">
        <f t="shared" si="9"/>
        <v>0</v>
      </c>
      <c r="L35" s="55">
        <f t="shared" si="10"/>
        <v>0</v>
      </c>
      <c r="N35" s="33">
        <v>16</v>
      </c>
      <c r="O35" s="28"/>
      <c r="P35" s="88"/>
      <c r="Q35" s="88"/>
      <c r="R35" s="37"/>
      <c r="S35" s="20"/>
      <c r="T35" s="3"/>
      <c r="U35" s="3"/>
      <c r="V35" s="3"/>
      <c r="W35" s="3"/>
      <c r="X35" s="10"/>
      <c r="Y35" s="17"/>
      <c r="Z35" s="2"/>
      <c r="AA35" s="2"/>
      <c r="AB35" s="2"/>
      <c r="AC35" s="3"/>
      <c r="AD35" s="37"/>
      <c r="AE35" s="9"/>
      <c r="AF35" s="2"/>
      <c r="AG35" s="2"/>
      <c r="AH35" s="2"/>
      <c r="AI35" s="3"/>
      <c r="AJ35" s="10"/>
      <c r="AK35" s="28"/>
      <c r="AL35" s="3"/>
      <c r="AM35" s="3"/>
      <c r="AN35" s="10"/>
      <c r="AO35" s="28"/>
      <c r="AP35" s="28"/>
      <c r="AQ35" s="3"/>
      <c r="AR35" s="10"/>
      <c r="AS35" s="20"/>
      <c r="AT35" s="28"/>
      <c r="AU35" s="3"/>
      <c r="AV35" s="10"/>
      <c r="AW35" s="20"/>
      <c r="AX35" s="28"/>
      <c r="AY35" s="3"/>
      <c r="AZ35" s="10"/>
      <c r="BA35" s="20"/>
      <c r="BB35" s="28"/>
      <c r="BC35" s="3"/>
      <c r="BD35" s="10"/>
      <c r="BE35" s="23"/>
      <c r="BF35" s="28"/>
      <c r="BG35" s="3"/>
      <c r="BH35" s="10"/>
      <c r="BI35" s="20"/>
      <c r="BJ35" s="28"/>
      <c r="BK35" s="3"/>
      <c r="BL35" s="10"/>
    </row>
    <row r="36" spans="2:64" x14ac:dyDescent="0.3">
      <c r="B36" s="62">
        <f t="shared" si="0"/>
        <v>0</v>
      </c>
      <c r="C36" s="47">
        <f t="shared" si="1"/>
        <v>0</v>
      </c>
      <c r="D36" s="47">
        <f t="shared" si="2"/>
        <v>0</v>
      </c>
      <c r="E36" s="47">
        <f t="shared" si="3"/>
        <v>0</v>
      </c>
      <c r="F36" s="47">
        <f t="shared" si="4"/>
        <v>0</v>
      </c>
      <c r="G36" s="47">
        <f t="shared" si="5"/>
        <v>0</v>
      </c>
      <c r="H36" s="47">
        <f t="shared" si="6"/>
        <v>0</v>
      </c>
      <c r="I36" s="47">
        <f t="shared" si="7"/>
        <v>0</v>
      </c>
      <c r="J36" s="47">
        <f t="shared" si="8"/>
        <v>0</v>
      </c>
      <c r="K36" s="63">
        <f t="shared" si="9"/>
        <v>0</v>
      </c>
      <c r="L36" s="55">
        <f t="shared" si="10"/>
        <v>0</v>
      </c>
      <c r="N36" s="33">
        <v>17</v>
      </c>
      <c r="O36" s="28"/>
      <c r="P36" s="88"/>
      <c r="Q36" s="88"/>
      <c r="R36" s="37"/>
      <c r="S36" s="20"/>
      <c r="T36" s="3"/>
      <c r="U36" s="3"/>
      <c r="V36" s="3"/>
      <c r="W36" s="3"/>
      <c r="X36" s="10"/>
      <c r="Y36" s="17"/>
      <c r="Z36" s="2"/>
      <c r="AA36" s="2"/>
      <c r="AB36" s="2"/>
      <c r="AC36" s="3"/>
      <c r="AD36" s="37"/>
      <c r="AE36" s="9"/>
      <c r="AF36" s="2"/>
      <c r="AG36" s="2"/>
      <c r="AH36" s="2"/>
      <c r="AI36" s="3"/>
      <c r="AJ36" s="10"/>
      <c r="AK36" s="28"/>
      <c r="AL36" s="3"/>
      <c r="AM36" s="3"/>
      <c r="AN36" s="10"/>
      <c r="AO36" s="28"/>
      <c r="AP36" s="28"/>
      <c r="AQ36" s="3"/>
      <c r="AR36" s="10"/>
      <c r="AS36" s="20"/>
      <c r="AT36" s="28"/>
      <c r="AU36" s="3"/>
      <c r="AV36" s="10"/>
      <c r="AW36" s="20"/>
      <c r="AX36" s="28"/>
      <c r="AY36" s="3"/>
      <c r="AZ36" s="10"/>
      <c r="BA36" s="20"/>
      <c r="BB36" s="28"/>
      <c r="BC36" s="3"/>
      <c r="BD36" s="10"/>
      <c r="BE36" s="23"/>
      <c r="BF36" s="28"/>
      <c r="BG36" s="3"/>
      <c r="BH36" s="10"/>
      <c r="BI36" s="20"/>
      <c r="BJ36" s="28"/>
      <c r="BK36" s="3"/>
      <c r="BL36" s="10"/>
    </row>
    <row r="37" spans="2:64" x14ac:dyDescent="0.3">
      <c r="B37" s="62">
        <f t="shared" si="0"/>
        <v>0</v>
      </c>
      <c r="C37" s="47">
        <f t="shared" si="1"/>
        <v>0</v>
      </c>
      <c r="D37" s="47">
        <f t="shared" si="2"/>
        <v>0</v>
      </c>
      <c r="E37" s="47">
        <f t="shared" si="3"/>
        <v>0</v>
      </c>
      <c r="F37" s="47">
        <f t="shared" si="4"/>
        <v>0</v>
      </c>
      <c r="G37" s="47">
        <f t="shared" si="5"/>
        <v>0</v>
      </c>
      <c r="H37" s="47">
        <f t="shared" si="6"/>
        <v>0</v>
      </c>
      <c r="I37" s="47">
        <f t="shared" si="7"/>
        <v>0</v>
      </c>
      <c r="J37" s="47">
        <f t="shared" si="8"/>
        <v>0</v>
      </c>
      <c r="K37" s="63">
        <f t="shared" si="9"/>
        <v>0</v>
      </c>
      <c r="L37" s="55">
        <f t="shared" si="10"/>
        <v>0</v>
      </c>
      <c r="N37" s="33">
        <v>18</v>
      </c>
      <c r="O37" s="28"/>
      <c r="P37" s="88"/>
      <c r="Q37" s="88"/>
      <c r="R37" s="37"/>
      <c r="S37" s="20"/>
      <c r="T37" s="3"/>
      <c r="U37" s="3"/>
      <c r="V37" s="3"/>
      <c r="W37" s="3"/>
      <c r="X37" s="10"/>
      <c r="Y37" s="17"/>
      <c r="Z37" s="2"/>
      <c r="AA37" s="2"/>
      <c r="AB37" s="2"/>
      <c r="AC37" s="3"/>
      <c r="AD37" s="37"/>
      <c r="AE37" s="9"/>
      <c r="AF37" s="2"/>
      <c r="AG37" s="2"/>
      <c r="AH37" s="2"/>
      <c r="AI37" s="3"/>
      <c r="AJ37" s="10"/>
      <c r="AK37" s="28"/>
      <c r="AL37" s="3"/>
      <c r="AM37" s="3"/>
      <c r="AN37" s="10"/>
      <c r="AO37" s="28"/>
      <c r="AP37" s="28"/>
      <c r="AQ37" s="3"/>
      <c r="AR37" s="10"/>
      <c r="AS37" s="20"/>
      <c r="AT37" s="28"/>
      <c r="AU37" s="3"/>
      <c r="AV37" s="10"/>
      <c r="AW37" s="20"/>
      <c r="AX37" s="28"/>
      <c r="AY37" s="3"/>
      <c r="AZ37" s="10"/>
      <c r="BA37" s="20"/>
      <c r="BB37" s="28"/>
      <c r="BC37" s="3"/>
      <c r="BD37" s="10"/>
      <c r="BE37" s="23"/>
      <c r="BF37" s="28"/>
      <c r="BG37" s="3"/>
      <c r="BH37" s="10"/>
      <c r="BI37" s="20"/>
      <c r="BJ37" s="28"/>
      <c r="BK37" s="3"/>
      <c r="BL37" s="10"/>
    </row>
    <row r="38" spans="2:64" x14ac:dyDescent="0.3">
      <c r="B38" s="62">
        <f t="shared" si="0"/>
        <v>0</v>
      </c>
      <c r="C38" s="47">
        <f t="shared" si="1"/>
        <v>0</v>
      </c>
      <c r="D38" s="47">
        <f t="shared" si="2"/>
        <v>0</v>
      </c>
      <c r="E38" s="47">
        <f t="shared" si="3"/>
        <v>0</v>
      </c>
      <c r="F38" s="47">
        <f t="shared" si="4"/>
        <v>0</v>
      </c>
      <c r="G38" s="47">
        <f t="shared" si="5"/>
        <v>0</v>
      </c>
      <c r="H38" s="47">
        <f t="shared" si="6"/>
        <v>0</v>
      </c>
      <c r="I38" s="47">
        <f t="shared" si="7"/>
        <v>0</v>
      </c>
      <c r="J38" s="47">
        <f t="shared" si="8"/>
        <v>0</v>
      </c>
      <c r="K38" s="63">
        <f t="shared" si="9"/>
        <v>0</v>
      </c>
      <c r="L38" s="55">
        <f t="shared" si="10"/>
        <v>0</v>
      </c>
      <c r="N38" s="33">
        <v>19</v>
      </c>
      <c r="O38" s="28"/>
      <c r="P38" s="88"/>
      <c r="Q38" s="88"/>
      <c r="R38" s="37"/>
      <c r="S38" s="20"/>
      <c r="T38" s="3"/>
      <c r="U38" s="3"/>
      <c r="V38" s="3"/>
      <c r="W38" s="3"/>
      <c r="X38" s="10"/>
      <c r="Y38" s="17"/>
      <c r="Z38" s="2"/>
      <c r="AA38" s="2"/>
      <c r="AB38" s="2"/>
      <c r="AC38" s="3"/>
      <c r="AD38" s="37"/>
      <c r="AE38" s="9"/>
      <c r="AF38" s="2"/>
      <c r="AG38" s="2"/>
      <c r="AH38" s="2"/>
      <c r="AI38" s="3"/>
      <c r="AJ38" s="10"/>
      <c r="AK38" s="28"/>
      <c r="AL38" s="3"/>
      <c r="AM38" s="3"/>
      <c r="AN38" s="10"/>
      <c r="AO38" s="28"/>
      <c r="AP38" s="28"/>
      <c r="AQ38" s="3"/>
      <c r="AR38" s="10"/>
      <c r="AS38" s="20"/>
      <c r="AT38" s="28"/>
      <c r="AU38" s="3"/>
      <c r="AV38" s="10"/>
      <c r="AW38" s="20"/>
      <c r="AX38" s="28"/>
      <c r="AY38" s="3"/>
      <c r="AZ38" s="10"/>
      <c r="BA38" s="20"/>
      <c r="BB38" s="28"/>
      <c r="BC38" s="3"/>
      <c r="BD38" s="10"/>
      <c r="BE38" s="23"/>
      <c r="BF38" s="28"/>
      <c r="BG38" s="3"/>
      <c r="BH38" s="10"/>
      <c r="BI38" s="20"/>
      <c r="BJ38" s="28"/>
      <c r="BK38" s="3"/>
      <c r="BL38" s="10"/>
    </row>
    <row r="39" spans="2:64" x14ac:dyDescent="0.3">
      <c r="B39" s="62">
        <f t="shared" si="0"/>
        <v>0</v>
      </c>
      <c r="C39" s="47">
        <f t="shared" si="1"/>
        <v>0</v>
      </c>
      <c r="D39" s="47">
        <f t="shared" si="2"/>
        <v>0</v>
      </c>
      <c r="E39" s="47">
        <f t="shared" si="3"/>
        <v>0</v>
      </c>
      <c r="F39" s="47">
        <f t="shared" si="4"/>
        <v>0</v>
      </c>
      <c r="G39" s="47">
        <f t="shared" si="5"/>
        <v>0</v>
      </c>
      <c r="H39" s="47">
        <f t="shared" si="6"/>
        <v>0</v>
      </c>
      <c r="I39" s="47">
        <f t="shared" si="7"/>
        <v>0</v>
      </c>
      <c r="J39" s="47">
        <f t="shared" si="8"/>
        <v>0</v>
      </c>
      <c r="K39" s="63">
        <f t="shared" si="9"/>
        <v>0</v>
      </c>
      <c r="L39" s="55">
        <f t="shared" si="10"/>
        <v>0</v>
      </c>
      <c r="N39" s="33">
        <v>20</v>
      </c>
      <c r="O39" s="28"/>
      <c r="P39" s="88"/>
      <c r="Q39" s="88"/>
      <c r="R39" s="37"/>
      <c r="S39" s="20"/>
      <c r="T39" s="3"/>
      <c r="U39" s="3"/>
      <c r="V39" s="3"/>
      <c r="W39" s="3"/>
      <c r="X39" s="10"/>
      <c r="Y39" s="17"/>
      <c r="Z39" s="2"/>
      <c r="AA39" s="2"/>
      <c r="AB39" s="2"/>
      <c r="AC39" s="3"/>
      <c r="AD39" s="37"/>
      <c r="AE39" s="9"/>
      <c r="AF39" s="2"/>
      <c r="AG39" s="2"/>
      <c r="AH39" s="2"/>
      <c r="AI39" s="3"/>
      <c r="AJ39" s="10"/>
      <c r="AK39" s="28"/>
      <c r="AL39" s="3"/>
      <c r="AM39" s="3"/>
      <c r="AN39" s="10"/>
      <c r="AO39" s="28"/>
      <c r="AP39" s="28"/>
      <c r="AQ39" s="3"/>
      <c r="AR39" s="10"/>
      <c r="AS39" s="20"/>
      <c r="AT39" s="28"/>
      <c r="AU39" s="3"/>
      <c r="AV39" s="10"/>
      <c r="AW39" s="20"/>
      <c r="AX39" s="28"/>
      <c r="AY39" s="3"/>
      <c r="AZ39" s="10"/>
      <c r="BA39" s="20"/>
      <c r="BB39" s="28"/>
      <c r="BC39" s="3"/>
      <c r="BD39" s="10"/>
      <c r="BE39" s="23"/>
      <c r="BF39" s="28"/>
      <c r="BG39" s="3"/>
      <c r="BH39" s="10"/>
      <c r="BI39" s="20"/>
      <c r="BJ39" s="28"/>
      <c r="BK39" s="3"/>
      <c r="BL39" s="10"/>
    </row>
    <row r="40" spans="2:64" x14ac:dyDescent="0.3">
      <c r="B40" s="62">
        <f t="shared" si="0"/>
        <v>0</v>
      </c>
      <c r="C40" s="47">
        <f t="shared" si="1"/>
        <v>0</v>
      </c>
      <c r="D40" s="47">
        <f t="shared" si="2"/>
        <v>0</v>
      </c>
      <c r="E40" s="47">
        <f t="shared" si="3"/>
        <v>0</v>
      </c>
      <c r="F40" s="47">
        <f t="shared" si="4"/>
        <v>0</v>
      </c>
      <c r="G40" s="47">
        <f t="shared" si="5"/>
        <v>0</v>
      </c>
      <c r="H40" s="47">
        <f t="shared" si="6"/>
        <v>0</v>
      </c>
      <c r="I40" s="47">
        <f t="shared" si="7"/>
        <v>0</v>
      </c>
      <c r="J40" s="47">
        <f t="shared" si="8"/>
        <v>0</v>
      </c>
      <c r="K40" s="63">
        <f t="shared" si="9"/>
        <v>0</v>
      </c>
      <c r="L40" s="55">
        <f t="shared" si="10"/>
        <v>0</v>
      </c>
      <c r="N40" s="33">
        <v>21</v>
      </c>
      <c r="O40" s="28"/>
      <c r="P40" s="88"/>
      <c r="Q40" s="88"/>
      <c r="R40" s="37"/>
      <c r="S40" s="20"/>
      <c r="T40" s="3"/>
      <c r="U40" s="3"/>
      <c r="V40" s="3"/>
      <c r="W40" s="3"/>
      <c r="X40" s="10"/>
      <c r="Y40" s="17"/>
      <c r="Z40" s="2"/>
      <c r="AA40" s="2"/>
      <c r="AB40" s="2"/>
      <c r="AC40" s="3"/>
      <c r="AD40" s="37"/>
      <c r="AE40" s="9"/>
      <c r="AF40" s="2"/>
      <c r="AG40" s="2"/>
      <c r="AH40" s="2"/>
      <c r="AI40" s="3"/>
      <c r="AJ40" s="10"/>
      <c r="AK40" s="28"/>
      <c r="AL40" s="3"/>
      <c r="AM40" s="3"/>
      <c r="AN40" s="10"/>
      <c r="AO40" s="28"/>
      <c r="AP40" s="28"/>
      <c r="AQ40" s="3"/>
      <c r="AR40" s="10"/>
      <c r="AS40" s="20"/>
      <c r="AT40" s="28"/>
      <c r="AU40" s="3"/>
      <c r="AV40" s="10"/>
      <c r="AW40" s="20"/>
      <c r="AX40" s="28"/>
      <c r="AY40" s="3"/>
      <c r="AZ40" s="10"/>
      <c r="BA40" s="20"/>
      <c r="BB40" s="28"/>
      <c r="BC40" s="3"/>
      <c r="BD40" s="10"/>
      <c r="BE40" s="23"/>
      <c r="BF40" s="28"/>
      <c r="BG40" s="3"/>
      <c r="BH40" s="10"/>
      <c r="BI40" s="20"/>
      <c r="BJ40" s="28"/>
      <c r="BK40" s="3"/>
      <c r="BL40" s="10"/>
    </row>
    <row r="41" spans="2:64" x14ac:dyDescent="0.3">
      <c r="B41" s="62">
        <f t="shared" si="0"/>
        <v>0</v>
      </c>
      <c r="C41" s="47">
        <f t="shared" si="1"/>
        <v>0</v>
      </c>
      <c r="D41" s="47">
        <f t="shared" si="2"/>
        <v>0</v>
      </c>
      <c r="E41" s="47">
        <f t="shared" si="3"/>
        <v>0</v>
      </c>
      <c r="F41" s="47">
        <f t="shared" si="4"/>
        <v>0</v>
      </c>
      <c r="G41" s="47">
        <f t="shared" si="5"/>
        <v>0</v>
      </c>
      <c r="H41" s="47">
        <f t="shared" si="6"/>
        <v>0</v>
      </c>
      <c r="I41" s="47">
        <f t="shared" si="7"/>
        <v>0</v>
      </c>
      <c r="J41" s="47">
        <f t="shared" si="8"/>
        <v>0</v>
      </c>
      <c r="K41" s="63">
        <f t="shared" si="9"/>
        <v>0</v>
      </c>
      <c r="L41" s="55">
        <f t="shared" si="10"/>
        <v>0</v>
      </c>
      <c r="N41" s="33">
        <v>22</v>
      </c>
      <c r="O41" s="28"/>
      <c r="P41" s="88"/>
      <c r="Q41" s="88"/>
      <c r="R41" s="37"/>
      <c r="S41" s="20"/>
      <c r="T41" s="3"/>
      <c r="U41" s="3"/>
      <c r="V41" s="3"/>
      <c r="W41" s="3"/>
      <c r="X41" s="10"/>
      <c r="Y41" s="17"/>
      <c r="Z41" s="2"/>
      <c r="AA41" s="2"/>
      <c r="AB41" s="2"/>
      <c r="AC41" s="3"/>
      <c r="AD41" s="37"/>
      <c r="AE41" s="9"/>
      <c r="AF41" s="2"/>
      <c r="AG41" s="2"/>
      <c r="AH41" s="2"/>
      <c r="AI41" s="3"/>
      <c r="AJ41" s="10"/>
      <c r="AK41" s="28"/>
      <c r="AL41" s="3"/>
      <c r="AM41" s="3"/>
      <c r="AN41" s="10"/>
      <c r="AO41" s="28"/>
      <c r="AP41" s="28"/>
      <c r="AQ41" s="3"/>
      <c r="AR41" s="10"/>
      <c r="AS41" s="20"/>
      <c r="AT41" s="28"/>
      <c r="AU41" s="3"/>
      <c r="AV41" s="10"/>
      <c r="AW41" s="20"/>
      <c r="AX41" s="28"/>
      <c r="AY41" s="3"/>
      <c r="AZ41" s="10"/>
      <c r="BA41" s="20"/>
      <c r="BB41" s="28"/>
      <c r="BC41" s="3"/>
      <c r="BD41" s="10"/>
      <c r="BE41" s="23"/>
      <c r="BF41" s="28"/>
      <c r="BG41" s="3"/>
      <c r="BH41" s="10"/>
      <c r="BI41" s="20"/>
      <c r="BJ41" s="28"/>
      <c r="BK41" s="3"/>
      <c r="BL41" s="10"/>
    </row>
    <row r="42" spans="2:64" x14ac:dyDescent="0.3">
      <c r="B42" s="62">
        <f t="shared" si="0"/>
        <v>0</v>
      </c>
      <c r="C42" s="47">
        <f t="shared" si="1"/>
        <v>0</v>
      </c>
      <c r="D42" s="47">
        <f t="shared" si="2"/>
        <v>0</v>
      </c>
      <c r="E42" s="47">
        <f t="shared" si="3"/>
        <v>0</v>
      </c>
      <c r="F42" s="47">
        <f t="shared" si="4"/>
        <v>0</v>
      </c>
      <c r="G42" s="47">
        <f t="shared" si="5"/>
        <v>0</v>
      </c>
      <c r="H42" s="47">
        <f t="shared" si="6"/>
        <v>0</v>
      </c>
      <c r="I42" s="47">
        <f t="shared" si="7"/>
        <v>0</v>
      </c>
      <c r="J42" s="47">
        <f t="shared" si="8"/>
        <v>0</v>
      </c>
      <c r="K42" s="63">
        <f t="shared" si="9"/>
        <v>0</v>
      </c>
      <c r="L42" s="55">
        <f t="shared" si="10"/>
        <v>0</v>
      </c>
      <c r="N42" s="33">
        <v>23</v>
      </c>
      <c r="O42" s="28"/>
      <c r="P42" s="88"/>
      <c r="Q42" s="88"/>
      <c r="R42" s="37"/>
      <c r="S42" s="20"/>
      <c r="T42" s="3"/>
      <c r="U42" s="3"/>
      <c r="V42" s="3"/>
      <c r="W42" s="3"/>
      <c r="X42" s="10"/>
      <c r="Y42" s="17"/>
      <c r="Z42" s="2"/>
      <c r="AA42" s="2"/>
      <c r="AB42" s="2"/>
      <c r="AC42" s="3"/>
      <c r="AD42" s="37"/>
      <c r="AE42" s="9"/>
      <c r="AF42" s="2"/>
      <c r="AG42" s="2"/>
      <c r="AH42" s="2"/>
      <c r="AI42" s="3"/>
      <c r="AJ42" s="10"/>
      <c r="AK42" s="28"/>
      <c r="AL42" s="3"/>
      <c r="AM42" s="3"/>
      <c r="AN42" s="10"/>
      <c r="AO42" s="28"/>
      <c r="AP42" s="28"/>
      <c r="AQ42" s="3"/>
      <c r="AR42" s="10"/>
      <c r="AS42" s="20"/>
      <c r="AT42" s="28"/>
      <c r="AU42" s="3"/>
      <c r="AV42" s="10"/>
      <c r="AW42" s="20"/>
      <c r="AX42" s="28"/>
      <c r="AY42" s="3"/>
      <c r="AZ42" s="10"/>
      <c r="BA42" s="20"/>
      <c r="BB42" s="28"/>
      <c r="BC42" s="3"/>
      <c r="BD42" s="10"/>
      <c r="BE42" s="23"/>
      <c r="BF42" s="28"/>
      <c r="BG42" s="3"/>
      <c r="BH42" s="10"/>
      <c r="BI42" s="20"/>
      <c r="BJ42" s="28"/>
      <c r="BK42" s="3"/>
      <c r="BL42" s="10"/>
    </row>
    <row r="43" spans="2:64" x14ac:dyDescent="0.3">
      <c r="B43" s="62">
        <f t="shared" si="0"/>
        <v>0</v>
      </c>
      <c r="C43" s="47">
        <f t="shared" si="1"/>
        <v>0</v>
      </c>
      <c r="D43" s="47">
        <f t="shared" si="2"/>
        <v>0</v>
      </c>
      <c r="E43" s="47">
        <f t="shared" si="3"/>
        <v>0</v>
      </c>
      <c r="F43" s="47">
        <f t="shared" si="4"/>
        <v>0</v>
      </c>
      <c r="G43" s="47">
        <f t="shared" si="5"/>
        <v>0</v>
      </c>
      <c r="H43" s="47">
        <f t="shared" si="6"/>
        <v>0</v>
      </c>
      <c r="I43" s="47">
        <f t="shared" si="7"/>
        <v>0</v>
      </c>
      <c r="J43" s="47">
        <f t="shared" si="8"/>
        <v>0</v>
      </c>
      <c r="K43" s="63">
        <f t="shared" si="9"/>
        <v>0</v>
      </c>
      <c r="L43" s="55">
        <f t="shared" si="10"/>
        <v>0</v>
      </c>
      <c r="N43" s="33">
        <v>24</v>
      </c>
      <c r="O43" s="28"/>
      <c r="P43" s="88"/>
      <c r="Q43" s="88"/>
      <c r="R43" s="37"/>
      <c r="S43" s="20"/>
      <c r="T43" s="3"/>
      <c r="U43" s="3"/>
      <c r="V43" s="3"/>
      <c r="W43" s="3"/>
      <c r="X43" s="10"/>
      <c r="Y43" s="17"/>
      <c r="Z43" s="2"/>
      <c r="AA43" s="2"/>
      <c r="AB43" s="2"/>
      <c r="AC43" s="3"/>
      <c r="AD43" s="37"/>
      <c r="AE43" s="9"/>
      <c r="AF43" s="2"/>
      <c r="AG43" s="2"/>
      <c r="AH43" s="2"/>
      <c r="AI43" s="3"/>
      <c r="AJ43" s="10"/>
      <c r="AK43" s="28"/>
      <c r="AL43" s="3"/>
      <c r="AM43" s="3"/>
      <c r="AN43" s="10"/>
      <c r="AO43" s="28"/>
      <c r="AP43" s="28"/>
      <c r="AQ43" s="3"/>
      <c r="AR43" s="10"/>
      <c r="AS43" s="20"/>
      <c r="AT43" s="28"/>
      <c r="AU43" s="3"/>
      <c r="AV43" s="10"/>
      <c r="AW43" s="20"/>
      <c r="AX43" s="28"/>
      <c r="AY43" s="3"/>
      <c r="AZ43" s="10"/>
      <c r="BA43" s="20"/>
      <c r="BB43" s="28"/>
      <c r="BC43" s="3"/>
      <c r="BD43" s="10"/>
      <c r="BE43" s="23"/>
      <c r="BF43" s="28"/>
      <c r="BG43" s="3"/>
      <c r="BH43" s="10"/>
      <c r="BI43" s="20"/>
      <c r="BJ43" s="28"/>
      <c r="BK43" s="3"/>
      <c r="BL43" s="10"/>
    </row>
    <row r="44" spans="2:64" x14ac:dyDescent="0.3">
      <c r="B44" s="62">
        <f t="shared" si="0"/>
        <v>0</v>
      </c>
      <c r="C44" s="47">
        <f t="shared" si="1"/>
        <v>0</v>
      </c>
      <c r="D44" s="47">
        <f t="shared" si="2"/>
        <v>0</v>
      </c>
      <c r="E44" s="47">
        <f t="shared" si="3"/>
        <v>0</v>
      </c>
      <c r="F44" s="47">
        <f t="shared" si="4"/>
        <v>0</v>
      </c>
      <c r="G44" s="47">
        <f t="shared" si="5"/>
        <v>0</v>
      </c>
      <c r="H44" s="47">
        <f t="shared" si="6"/>
        <v>0</v>
      </c>
      <c r="I44" s="47">
        <f t="shared" si="7"/>
        <v>0</v>
      </c>
      <c r="J44" s="47">
        <f t="shared" si="8"/>
        <v>0</v>
      </c>
      <c r="K44" s="63">
        <f t="shared" si="9"/>
        <v>0</v>
      </c>
      <c r="L44" s="55">
        <f t="shared" si="10"/>
        <v>0</v>
      </c>
      <c r="N44" s="33">
        <v>25</v>
      </c>
      <c r="O44" s="28"/>
      <c r="P44" s="88"/>
      <c r="Q44" s="88"/>
      <c r="R44" s="37"/>
      <c r="S44" s="20"/>
      <c r="T44" s="3"/>
      <c r="U44" s="3"/>
      <c r="V44" s="3"/>
      <c r="W44" s="3"/>
      <c r="X44" s="10"/>
      <c r="Y44" s="17"/>
      <c r="Z44" s="2"/>
      <c r="AA44" s="2"/>
      <c r="AB44" s="2"/>
      <c r="AC44" s="3"/>
      <c r="AD44" s="37"/>
      <c r="AE44" s="9"/>
      <c r="AF44" s="2"/>
      <c r="AG44" s="2"/>
      <c r="AH44" s="2"/>
      <c r="AI44" s="3"/>
      <c r="AJ44" s="10"/>
      <c r="AK44" s="28"/>
      <c r="AL44" s="3"/>
      <c r="AM44" s="3"/>
      <c r="AN44" s="10"/>
      <c r="AO44" s="28"/>
      <c r="AP44" s="28"/>
      <c r="AQ44" s="3"/>
      <c r="AR44" s="10"/>
      <c r="AS44" s="20"/>
      <c r="AT44" s="28"/>
      <c r="AU44" s="3"/>
      <c r="AV44" s="10"/>
      <c r="AW44" s="20"/>
      <c r="AX44" s="28"/>
      <c r="AY44" s="3"/>
      <c r="AZ44" s="10"/>
      <c r="BA44" s="20"/>
      <c r="BB44" s="28"/>
      <c r="BC44" s="3"/>
      <c r="BD44" s="10"/>
      <c r="BE44" s="23"/>
      <c r="BF44" s="28"/>
      <c r="BG44" s="3"/>
      <c r="BH44" s="10"/>
      <c r="BI44" s="20"/>
      <c r="BJ44" s="28"/>
      <c r="BK44" s="3"/>
      <c r="BL44" s="10"/>
    </row>
    <row r="45" spans="2:64" x14ac:dyDescent="0.3">
      <c r="B45" s="62">
        <f t="shared" si="0"/>
        <v>0</v>
      </c>
      <c r="C45" s="47">
        <f t="shared" si="1"/>
        <v>0</v>
      </c>
      <c r="D45" s="47">
        <f t="shared" si="2"/>
        <v>0</v>
      </c>
      <c r="E45" s="47">
        <f t="shared" si="3"/>
        <v>0</v>
      </c>
      <c r="F45" s="47">
        <f t="shared" si="4"/>
        <v>0</v>
      </c>
      <c r="G45" s="47">
        <f t="shared" si="5"/>
        <v>0</v>
      </c>
      <c r="H45" s="47">
        <f t="shared" si="6"/>
        <v>0</v>
      </c>
      <c r="I45" s="47">
        <f t="shared" si="7"/>
        <v>0</v>
      </c>
      <c r="J45" s="47">
        <f t="shared" si="8"/>
        <v>0</v>
      </c>
      <c r="K45" s="63">
        <f t="shared" si="9"/>
        <v>0</v>
      </c>
      <c r="L45" s="55">
        <f t="shared" si="10"/>
        <v>0</v>
      </c>
      <c r="N45" s="33">
        <v>26</v>
      </c>
      <c r="O45" s="28"/>
      <c r="P45" s="88"/>
      <c r="Q45" s="88"/>
      <c r="R45" s="37"/>
      <c r="S45" s="20"/>
      <c r="T45" s="3"/>
      <c r="U45" s="3"/>
      <c r="V45" s="3"/>
      <c r="W45" s="3"/>
      <c r="X45" s="10"/>
      <c r="Y45" s="17"/>
      <c r="Z45" s="2"/>
      <c r="AA45" s="2"/>
      <c r="AB45" s="2"/>
      <c r="AC45" s="3"/>
      <c r="AD45" s="37"/>
      <c r="AE45" s="9"/>
      <c r="AF45" s="2"/>
      <c r="AG45" s="2"/>
      <c r="AH45" s="2"/>
      <c r="AI45" s="3"/>
      <c r="AJ45" s="10"/>
      <c r="AK45" s="28"/>
      <c r="AL45" s="3"/>
      <c r="AM45" s="3"/>
      <c r="AN45" s="10"/>
      <c r="AO45" s="28"/>
      <c r="AP45" s="28"/>
      <c r="AQ45" s="3"/>
      <c r="AR45" s="10"/>
      <c r="AS45" s="20"/>
      <c r="AT45" s="28"/>
      <c r="AU45" s="3"/>
      <c r="AV45" s="10"/>
      <c r="AW45" s="20"/>
      <c r="AX45" s="28"/>
      <c r="AY45" s="3"/>
      <c r="AZ45" s="10"/>
      <c r="BA45" s="20"/>
      <c r="BB45" s="28"/>
      <c r="BC45" s="3"/>
      <c r="BD45" s="10"/>
      <c r="BE45" s="23"/>
      <c r="BF45" s="28"/>
      <c r="BG45" s="3"/>
      <c r="BH45" s="10"/>
      <c r="BI45" s="20"/>
      <c r="BJ45" s="28"/>
      <c r="BK45" s="3"/>
      <c r="BL45" s="10"/>
    </row>
    <row r="46" spans="2:64" x14ac:dyDescent="0.3">
      <c r="B46" s="62">
        <f t="shared" si="0"/>
        <v>0</v>
      </c>
      <c r="C46" s="47">
        <f t="shared" si="1"/>
        <v>0</v>
      </c>
      <c r="D46" s="47">
        <f t="shared" si="2"/>
        <v>0</v>
      </c>
      <c r="E46" s="47">
        <f t="shared" si="3"/>
        <v>0</v>
      </c>
      <c r="F46" s="47">
        <f t="shared" si="4"/>
        <v>0</v>
      </c>
      <c r="G46" s="47">
        <f t="shared" si="5"/>
        <v>0</v>
      </c>
      <c r="H46" s="47">
        <f t="shared" si="6"/>
        <v>0</v>
      </c>
      <c r="I46" s="47">
        <f t="shared" si="7"/>
        <v>0</v>
      </c>
      <c r="J46" s="47">
        <f t="shared" si="8"/>
        <v>0</v>
      </c>
      <c r="K46" s="63">
        <f t="shared" si="9"/>
        <v>0</v>
      </c>
      <c r="L46" s="55">
        <f t="shared" si="10"/>
        <v>0</v>
      </c>
      <c r="N46" s="33">
        <v>27</v>
      </c>
      <c r="O46" s="28"/>
      <c r="P46" s="88"/>
      <c r="Q46" s="88"/>
      <c r="R46" s="37"/>
      <c r="S46" s="20"/>
      <c r="T46" s="3"/>
      <c r="U46" s="3"/>
      <c r="V46" s="3"/>
      <c r="W46" s="3"/>
      <c r="X46" s="10"/>
      <c r="Y46" s="17"/>
      <c r="Z46" s="2"/>
      <c r="AA46" s="2"/>
      <c r="AB46" s="2"/>
      <c r="AC46" s="3"/>
      <c r="AD46" s="37"/>
      <c r="AE46" s="9"/>
      <c r="AF46" s="2"/>
      <c r="AG46" s="2"/>
      <c r="AH46" s="2"/>
      <c r="AI46" s="3"/>
      <c r="AJ46" s="10"/>
      <c r="AK46" s="28"/>
      <c r="AL46" s="3"/>
      <c r="AM46" s="3"/>
      <c r="AN46" s="10"/>
      <c r="AO46" s="28"/>
      <c r="AP46" s="28"/>
      <c r="AQ46" s="3"/>
      <c r="AR46" s="10"/>
      <c r="AS46" s="20"/>
      <c r="AT46" s="28"/>
      <c r="AU46" s="3"/>
      <c r="AV46" s="10"/>
      <c r="AW46" s="20"/>
      <c r="AX46" s="28"/>
      <c r="AY46" s="3"/>
      <c r="AZ46" s="10"/>
      <c r="BA46" s="20"/>
      <c r="BB46" s="28"/>
      <c r="BC46" s="3"/>
      <c r="BD46" s="10"/>
      <c r="BE46" s="23"/>
      <c r="BF46" s="28"/>
      <c r="BG46" s="3"/>
      <c r="BH46" s="10"/>
      <c r="BI46" s="20"/>
      <c r="BJ46" s="28"/>
      <c r="BK46" s="3"/>
      <c r="BL46" s="10"/>
    </row>
    <row r="47" spans="2:64" x14ac:dyDescent="0.3">
      <c r="B47" s="62">
        <f t="shared" si="0"/>
        <v>0</v>
      </c>
      <c r="C47" s="47">
        <f t="shared" si="1"/>
        <v>0</v>
      </c>
      <c r="D47" s="47">
        <f t="shared" si="2"/>
        <v>0</v>
      </c>
      <c r="E47" s="47">
        <f t="shared" si="3"/>
        <v>0</v>
      </c>
      <c r="F47" s="47">
        <f t="shared" si="4"/>
        <v>0</v>
      </c>
      <c r="G47" s="47">
        <f t="shared" si="5"/>
        <v>0</v>
      </c>
      <c r="H47" s="47">
        <f t="shared" si="6"/>
        <v>0</v>
      </c>
      <c r="I47" s="47">
        <f t="shared" si="7"/>
        <v>0</v>
      </c>
      <c r="J47" s="47">
        <f t="shared" si="8"/>
        <v>0</v>
      </c>
      <c r="K47" s="63">
        <f t="shared" si="9"/>
        <v>0</v>
      </c>
      <c r="L47" s="55">
        <f t="shared" si="10"/>
        <v>0</v>
      </c>
      <c r="N47" s="33">
        <v>28</v>
      </c>
      <c r="O47" s="28"/>
      <c r="P47" s="88"/>
      <c r="Q47" s="88"/>
      <c r="R47" s="37"/>
      <c r="S47" s="20"/>
      <c r="T47" s="3"/>
      <c r="U47" s="3"/>
      <c r="V47" s="3"/>
      <c r="W47" s="3"/>
      <c r="X47" s="10"/>
      <c r="Y47" s="17"/>
      <c r="Z47" s="2"/>
      <c r="AA47" s="2"/>
      <c r="AB47" s="2"/>
      <c r="AC47" s="3"/>
      <c r="AD47" s="37"/>
      <c r="AE47" s="9"/>
      <c r="AF47" s="2"/>
      <c r="AG47" s="2"/>
      <c r="AH47" s="2"/>
      <c r="AI47" s="3"/>
      <c r="AJ47" s="10"/>
      <c r="AK47" s="28"/>
      <c r="AL47" s="3"/>
      <c r="AM47" s="3"/>
      <c r="AN47" s="10"/>
      <c r="AO47" s="28"/>
      <c r="AP47" s="28"/>
      <c r="AQ47" s="3"/>
      <c r="AR47" s="10"/>
      <c r="AS47" s="20"/>
      <c r="AT47" s="28"/>
      <c r="AU47" s="3"/>
      <c r="AV47" s="10"/>
      <c r="AW47" s="20"/>
      <c r="AX47" s="28"/>
      <c r="AY47" s="3"/>
      <c r="AZ47" s="10"/>
      <c r="BA47" s="20"/>
      <c r="BB47" s="28"/>
      <c r="BC47" s="3"/>
      <c r="BD47" s="10"/>
      <c r="BE47" s="23"/>
      <c r="BF47" s="28"/>
      <c r="BG47" s="3"/>
      <c r="BH47" s="10"/>
      <c r="BI47" s="20"/>
      <c r="BJ47" s="28"/>
      <c r="BK47" s="3"/>
      <c r="BL47" s="10"/>
    </row>
    <row r="48" spans="2:64" x14ac:dyDescent="0.3">
      <c r="B48" s="62">
        <f t="shared" si="0"/>
        <v>0</v>
      </c>
      <c r="C48" s="47">
        <f t="shared" si="1"/>
        <v>0</v>
      </c>
      <c r="D48" s="47">
        <f t="shared" si="2"/>
        <v>0</v>
      </c>
      <c r="E48" s="47">
        <f t="shared" si="3"/>
        <v>0</v>
      </c>
      <c r="F48" s="47">
        <f t="shared" si="4"/>
        <v>0</v>
      </c>
      <c r="G48" s="47">
        <f t="shared" si="5"/>
        <v>0</v>
      </c>
      <c r="H48" s="47">
        <f t="shared" si="6"/>
        <v>0</v>
      </c>
      <c r="I48" s="47">
        <f t="shared" si="7"/>
        <v>0</v>
      </c>
      <c r="J48" s="47">
        <f t="shared" si="8"/>
        <v>0</v>
      </c>
      <c r="K48" s="63">
        <f t="shared" si="9"/>
        <v>0</v>
      </c>
      <c r="L48" s="55">
        <f t="shared" si="10"/>
        <v>0</v>
      </c>
      <c r="N48" s="33">
        <v>29</v>
      </c>
      <c r="O48" s="28"/>
      <c r="P48" s="88"/>
      <c r="Q48" s="88"/>
      <c r="R48" s="37"/>
      <c r="S48" s="20"/>
      <c r="T48" s="3"/>
      <c r="U48" s="3"/>
      <c r="V48" s="3"/>
      <c r="W48" s="3"/>
      <c r="X48" s="10"/>
      <c r="Y48" s="17"/>
      <c r="Z48" s="2"/>
      <c r="AA48" s="2"/>
      <c r="AB48" s="2"/>
      <c r="AC48" s="3"/>
      <c r="AD48" s="37"/>
      <c r="AE48" s="9"/>
      <c r="AF48" s="2"/>
      <c r="AG48" s="2"/>
      <c r="AH48" s="2"/>
      <c r="AI48" s="3"/>
      <c r="AJ48" s="10"/>
      <c r="AK48" s="28"/>
      <c r="AL48" s="3"/>
      <c r="AM48" s="3"/>
      <c r="AN48" s="10"/>
      <c r="AO48" s="28"/>
      <c r="AP48" s="28"/>
      <c r="AQ48" s="3"/>
      <c r="AR48" s="10"/>
      <c r="AS48" s="20"/>
      <c r="AT48" s="28"/>
      <c r="AU48" s="3"/>
      <c r="AV48" s="10"/>
      <c r="AW48" s="20"/>
      <c r="AX48" s="28"/>
      <c r="AY48" s="3"/>
      <c r="AZ48" s="10"/>
      <c r="BA48" s="20"/>
      <c r="BB48" s="28"/>
      <c r="BC48" s="3"/>
      <c r="BD48" s="10"/>
      <c r="BE48" s="23"/>
      <c r="BF48" s="28"/>
      <c r="BG48" s="3"/>
      <c r="BH48" s="10"/>
      <c r="BI48" s="20"/>
      <c r="BJ48" s="28"/>
      <c r="BK48" s="3"/>
      <c r="BL48" s="10"/>
    </row>
    <row r="49" spans="2:64" x14ac:dyDescent="0.3">
      <c r="B49" s="62">
        <f t="shared" si="0"/>
        <v>0</v>
      </c>
      <c r="C49" s="47">
        <f t="shared" si="1"/>
        <v>0</v>
      </c>
      <c r="D49" s="47">
        <f t="shared" si="2"/>
        <v>0</v>
      </c>
      <c r="E49" s="47">
        <f t="shared" si="3"/>
        <v>0</v>
      </c>
      <c r="F49" s="47">
        <f t="shared" si="4"/>
        <v>0</v>
      </c>
      <c r="G49" s="47">
        <f t="shared" si="5"/>
        <v>0</v>
      </c>
      <c r="H49" s="47">
        <f t="shared" si="6"/>
        <v>0</v>
      </c>
      <c r="I49" s="47">
        <f t="shared" si="7"/>
        <v>0</v>
      </c>
      <c r="J49" s="47">
        <f t="shared" si="8"/>
        <v>0</v>
      </c>
      <c r="K49" s="63">
        <f t="shared" si="9"/>
        <v>0</v>
      </c>
      <c r="L49" s="55">
        <f t="shared" si="10"/>
        <v>0</v>
      </c>
      <c r="N49" s="33">
        <v>30</v>
      </c>
      <c r="O49" s="28"/>
      <c r="P49" s="88"/>
      <c r="Q49" s="88"/>
      <c r="R49" s="37"/>
      <c r="S49" s="20"/>
      <c r="T49" s="3"/>
      <c r="U49" s="3"/>
      <c r="V49" s="3"/>
      <c r="W49" s="3"/>
      <c r="X49" s="10"/>
      <c r="Y49" s="17"/>
      <c r="Z49" s="2"/>
      <c r="AA49" s="2"/>
      <c r="AB49" s="2"/>
      <c r="AC49" s="3"/>
      <c r="AD49" s="37"/>
      <c r="AE49" s="9"/>
      <c r="AF49" s="2"/>
      <c r="AG49" s="2"/>
      <c r="AH49" s="2"/>
      <c r="AI49" s="3"/>
      <c r="AJ49" s="10"/>
      <c r="AK49" s="28"/>
      <c r="AL49" s="3"/>
      <c r="AM49" s="3"/>
      <c r="AN49" s="10"/>
      <c r="AO49" s="28"/>
      <c r="AP49" s="28"/>
      <c r="AQ49" s="3"/>
      <c r="AR49" s="10"/>
      <c r="AS49" s="20"/>
      <c r="AT49" s="28"/>
      <c r="AU49" s="3"/>
      <c r="AV49" s="10"/>
      <c r="AW49" s="20"/>
      <c r="AX49" s="28"/>
      <c r="AY49" s="3"/>
      <c r="AZ49" s="10"/>
      <c r="BA49" s="20"/>
      <c r="BB49" s="28"/>
      <c r="BC49" s="3"/>
      <c r="BD49" s="10"/>
      <c r="BE49" s="23"/>
      <c r="BF49" s="28"/>
      <c r="BG49" s="3"/>
      <c r="BH49" s="10"/>
      <c r="BI49" s="20"/>
      <c r="BJ49" s="28"/>
      <c r="BK49" s="3"/>
      <c r="BL49" s="10"/>
    </row>
    <row r="50" spans="2:64" x14ac:dyDescent="0.3">
      <c r="B50" s="62">
        <f t="shared" si="0"/>
        <v>0</v>
      </c>
      <c r="C50" s="47">
        <f t="shared" si="1"/>
        <v>0</v>
      </c>
      <c r="D50" s="47">
        <f t="shared" si="2"/>
        <v>0</v>
      </c>
      <c r="E50" s="47">
        <f t="shared" si="3"/>
        <v>0</v>
      </c>
      <c r="F50" s="47">
        <f t="shared" si="4"/>
        <v>0</v>
      </c>
      <c r="G50" s="47">
        <f t="shared" si="5"/>
        <v>0</v>
      </c>
      <c r="H50" s="47">
        <f t="shared" si="6"/>
        <v>0</v>
      </c>
      <c r="I50" s="47">
        <f t="shared" si="7"/>
        <v>0</v>
      </c>
      <c r="J50" s="47">
        <f t="shared" si="8"/>
        <v>0</v>
      </c>
      <c r="K50" s="63">
        <f t="shared" si="9"/>
        <v>0</v>
      </c>
      <c r="L50" s="55">
        <f t="shared" si="10"/>
        <v>0</v>
      </c>
      <c r="N50" s="33">
        <v>31</v>
      </c>
      <c r="O50" s="28"/>
      <c r="P50" s="88"/>
      <c r="Q50" s="88"/>
      <c r="R50" s="37"/>
      <c r="S50" s="20"/>
      <c r="T50" s="3"/>
      <c r="U50" s="3"/>
      <c r="V50" s="3"/>
      <c r="W50" s="3"/>
      <c r="X50" s="10"/>
      <c r="Y50" s="17"/>
      <c r="Z50" s="2"/>
      <c r="AA50" s="2"/>
      <c r="AB50" s="2"/>
      <c r="AC50" s="3"/>
      <c r="AD50" s="37"/>
      <c r="AE50" s="9"/>
      <c r="AF50" s="2"/>
      <c r="AG50" s="2"/>
      <c r="AH50" s="2"/>
      <c r="AI50" s="3"/>
      <c r="AJ50" s="10"/>
      <c r="AK50" s="28"/>
      <c r="AL50" s="3"/>
      <c r="AM50" s="3"/>
      <c r="AN50" s="10"/>
      <c r="AO50" s="28"/>
      <c r="AP50" s="28"/>
      <c r="AQ50" s="3"/>
      <c r="AR50" s="10"/>
      <c r="AS50" s="20"/>
      <c r="AT50" s="28"/>
      <c r="AU50" s="3"/>
      <c r="AV50" s="10"/>
      <c r="AW50" s="20"/>
      <c r="AX50" s="28"/>
      <c r="AY50" s="3"/>
      <c r="AZ50" s="10"/>
      <c r="BA50" s="20"/>
      <c r="BB50" s="28"/>
      <c r="BC50" s="3"/>
      <c r="BD50" s="10"/>
      <c r="BE50" s="23"/>
      <c r="BF50" s="28"/>
      <c r="BG50" s="3"/>
      <c r="BH50" s="10"/>
      <c r="BI50" s="20"/>
      <c r="BJ50" s="28"/>
      <c r="BK50" s="3"/>
      <c r="BL50" s="10"/>
    </row>
    <row r="51" spans="2:64" ht="15" thickBot="1" x14ac:dyDescent="0.35">
      <c r="B51" s="64">
        <f t="shared" si="0"/>
        <v>0</v>
      </c>
      <c r="C51" s="65">
        <f t="shared" si="1"/>
        <v>0</v>
      </c>
      <c r="D51" s="65">
        <f t="shared" si="2"/>
        <v>0</v>
      </c>
      <c r="E51" s="65">
        <f t="shared" si="3"/>
        <v>0</v>
      </c>
      <c r="F51" s="65">
        <f t="shared" si="4"/>
        <v>0</v>
      </c>
      <c r="G51" s="65">
        <f t="shared" si="5"/>
        <v>0</v>
      </c>
      <c r="H51" s="65">
        <f t="shared" si="6"/>
        <v>0</v>
      </c>
      <c r="I51" s="65">
        <f t="shared" si="7"/>
        <v>0</v>
      </c>
      <c r="J51" s="65">
        <f t="shared" si="8"/>
        <v>0</v>
      </c>
      <c r="K51" s="66">
        <f t="shared" si="9"/>
        <v>0</v>
      </c>
      <c r="L51" s="55">
        <f t="shared" si="10"/>
        <v>0</v>
      </c>
      <c r="N51" s="33">
        <v>32</v>
      </c>
      <c r="O51" s="28"/>
      <c r="P51" s="88"/>
      <c r="Q51" s="88"/>
      <c r="R51" s="37"/>
      <c r="S51" s="20"/>
      <c r="T51" s="3"/>
      <c r="U51" s="3"/>
      <c r="V51" s="3"/>
      <c r="W51" s="3"/>
      <c r="X51" s="10"/>
      <c r="Y51" s="17"/>
      <c r="Z51" s="2"/>
      <c r="AA51" s="2"/>
      <c r="AB51" s="2"/>
      <c r="AC51" s="3"/>
      <c r="AD51" s="37"/>
      <c r="AE51" s="9"/>
      <c r="AF51" s="2"/>
      <c r="AG51" s="2"/>
      <c r="AH51" s="2"/>
      <c r="AI51" s="3"/>
      <c r="AJ51" s="10"/>
      <c r="AK51" s="28"/>
      <c r="AL51" s="3"/>
      <c r="AM51" s="3"/>
      <c r="AN51" s="10"/>
      <c r="AO51" s="28"/>
      <c r="AP51" s="28"/>
      <c r="AQ51" s="3"/>
      <c r="AR51" s="10"/>
      <c r="AS51" s="20"/>
      <c r="AT51" s="28"/>
      <c r="AU51" s="3"/>
      <c r="AV51" s="10"/>
      <c r="AW51" s="20"/>
      <c r="AX51" s="28"/>
      <c r="AY51" s="3"/>
      <c r="AZ51" s="10"/>
      <c r="BA51" s="20"/>
      <c r="BB51" s="28"/>
      <c r="BC51" s="3"/>
      <c r="BD51" s="10"/>
      <c r="BE51" s="23"/>
      <c r="BF51" s="28"/>
      <c r="BG51" s="3"/>
      <c r="BH51" s="10"/>
      <c r="BI51" s="20"/>
      <c r="BJ51" s="28"/>
      <c r="BK51" s="3"/>
      <c r="BL51" s="10"/>
    </row>
    <row r="52" spans="2:64" x14ac:dyDescent="0.3">
      <c r="N52" s="34" t="s">
        <v>25</v>
      </c>
      <c r="O52" s="29"/>
      <c r="P52" s="89"/>
      <c r="Q52" s="89"/>
      <c r="R52" s="38"/>
      <c r="S52" s="18">
        <f>AVERAGE(S20:S51)</f>
        <v>9.9999999999999995E-7</v>
      </c>
      <c r="T52" s="4">
        <f>AVERAGE(T20:T51)</f>
        <v>9.9999999999999995E-7</v>
      </c>
      <c r="U52" s="4">
        <f>AVERAGE(U20:U51)</f>
        <v>9.9999999999999995E-7</v>
      </c>
      <c r="V52" s="4" t="e">
        <f>AVERAGE(V20:V51)</f>
        <v>#DIV/0!</v>
      </c>
      <c r="W52" s="4">
        <f>(SUM(D20:D51)+SUM(T20:T51)+SUM(S20:S51)*0.35)/SUM(S20:U51)</f>
        <v>0.45</v>
      </c>
      <c r="X52" s="48" t="e">
        <f>AVERAGE(X20:X51)</f>
        <v>#DIV/0!</v>
      </c>
      <c r="Y52" s="58">
        <f>AVERAGE(Y20:Y51)</f>
        <v>9.9999999999999995E-7</v>
      </c>
      <c r="Z52" s="56">
        <f>AVERAGE(Z20:Z51)</f>
        <v>9.9999999999999995E-7</v>
      </c>
      <c r="AA52" s="56">
        <f>AVERAGE(AA20:AA51)</f>
        <v>9.9999999999999995E-7</v>
      </c>
      <c r="AB52" s="56" t="e">
        <f>AVERAGE(AB20:AB51)</f>
        <v>#DIV/0!</v>
      </c>
      <c r="AC52" s="56">
        <f>(SUM(B20:B51)+SUM(Z20:Z51)+SUM(Y20:Y51)*0.35)/SUM(Y20:AA51)</f>
        <v>0.45</v>
      </c>
      <c r="AD52" s="76" t="e">
        <f>AVERAGE(AD20:AD51)</f>
        <v>#DIV/0!</v>
      </c>
      <c r="AE52" s="79">
        <f>AVERAGE(AE20:AE51)</f>
        <v>0.83333333333333337</v>
      </c>
      <c r="AF52" s="56">
        <f>AVERAGE(AF20:AF51)</f>
        <v>1.5</v>
      </c>
      <c r="AG52" s="56">
        <f>AVERAGE(AG20:AG51)</f>
        <v>9.9999999999999995E-7</v>
      </c>
      <c r="AH52" s="56" t="e">
        <f>AVERAGE(AH20:AH51)</f>
        <v>#DIV/0!</v>
      </c>
      <c r="AI52" s="56">
        <f>(SUM(C20:C51)+SUM(AF20:AF51)+SUM(AE20:AE51)*0.35)/SUM(AE20:AG51)</f>
        <v>0.76785708801020791</v>
      </c>
      <c r="AJ52" s="57">
        <f>AVERAGE(AJ20:AJ51)</f>
        <v>9</v>
      </c>
      <c r="AK52" s="58">
        <f>AVERAGE(AK20:AK51)</f>
        <v>14.666666666666666</v>
      </c>
      <c r="AL52" s="56" t="e">
        <f>AVERAGE(AL20:AL51)</f>
        <v>#DIV/0!</v>
      </c>
      <c r="AM52" s="56">
        <f>SUM(E20:E51)/SUM(AK20:AK51)</f>
        <v>2.247727272727273</v>
      </c>
      <c r="AN52" s="57">
        <f>AVERAGE(AN20:AN51)</f>
        <v>7.166666666666667</v>
      </c>
      <c r="AO52" s="58">
        <f>AVERAGE(AO20:AO51)</f>
        <v>3.5</v>
      </c>
      <c r="AP52" s="56" t="e">
        <f>AVERAGE(AP20:AP51)</f>
        <v>#DIV/0!</v>
      </c>
      <c r="AQ52" s="56">
        <f>SUM(F20:F51)/SUM(AO20:AO51)</f>
        <v>2.1476190476190475</v>
      </c>
      <c r="AR52" s="57">
        <f>AVERAGE(AR20:AR51)</f>
        <v>6</v>
      </c>
      <c r="AS52" s="58">
        <f>AVERAGE(AS20:AS51)</f>
        <v>9.9999999999999995E-7</v>
      </c>
      <c r="AT52" s="56" t="e">
        <f>AVERAGE(AT20:AT51)</f>
        <v>#DIV/0!</v>
      </c>
      <c r="AU52" s="56">
        <f>SUM(G20:G51)/SUM(AS20:AS51)</f>
        <v>0</v>
      </c>
      <c r="AV52" s="57" t="e">
        <f>AVERAGE(AV20:AV51)</f>
        <v>#DIV/0!</v>
      </c>
      <c r="AW52" s="58">
        <f>AVERAGE(AW20:AW51)</f>
        <v>0.3333335</v>
      </c>
      <c r="AX52" s="56" t="e">
        <f>AVERAGE(AX20:AX51)</f>
        <v>#DIV/0!</v>
      </c>
      <c r="AY52" s="56">
        <f>SUM(H20:H51)/SUM(AW20:AW51)</f>
        <v>0.79999960000019998</v>
      </c>
      <c r="AZ52" s="57">
        <f>AVERAGE(AZ20:AZ51)</f>
        <v>4</v>
      </c>
      <c r="BA52" s="58">
        <f>AVERAGE(BA20:BA51)</f>
        <v>9.9999999999999995E-7</v>
      </c>
      <c r="BB52" s="56" t="e">
        <f>AVERAGE(BB20:BB51)</f>
        <v>#DIV/0!</v>
      </c>
      <c r="BC52" s="56">
        <f>SUM(I20:I51)/SUM(BA20:BA51)</f>
        <v>0</v>
      </c>
      <c r="BD52" s="57" t="e">
        <f>AVERAGE(BD20:BD51)</f>
        <v>#DIV/0!</v>
      </c>
      <c r="BE52" s="58">
        <f>AVERAGE(BE20:BE51)</f>
        <v>9.9999999999999995E-7</v>
      </c>
      <c r="BF52" s="56" t="e">
        <f>AVERAGE(BF20:BF51)</f>
        <v>#DIV/0!</v>
      </c>
      <c r="BG52" s="56">
        <f>SUM(J20:J51)/SUM(BE20:BE51)</f>
        <v>0</v>
      </c>
      <c r="BH52" s="57" t="e">
        <f>AVERAGE(BH20:BH51)</f>
        <v>#DIV/0!</v>
      </c>
      <c r="BI52" s="58">
        <f>AVERAGE(BI20:BI51)</f>
        <v>9.9999999999999995E-7</v>
      </c>
      <c r="BJ52" s="56" t="e">
        <f>AVERAGE(BJ20:BJ51)</f>
        <v>#DIV/0!</v>
      </c>
      <c r="BK52" s="56">
        <f>SUM(K20:K51)/SUM(BI20:BI51)</f>
        <v>0</v>
      </c>
      <c r="BL52" s="57" t="e">
        <f>AVERAGE(BL20:BL51)</f>
        <v>#DIV/0!</v>
      </c>
    </row>
    <row r="53" spans="2:64" x14ac:dyDescent="0.3">
      <c r="N53" s="34" t="s">
        <v>30</v>
      </c>
      <c r="O53" s="29"/>
      <c r="P53" s="89"/>
      <c r="Q53" s="89"/>
      <c r="R53" s="38"/>
      <c r="S53" s="18"/>
      <c r="T53" s="4"/>
      <c r="U53" s="4"/>
      <c r="V53" s="4"/>
      <c r="W53" s="5">
        <f>SUM(D20:D51)/SUM(U20:U51)</f>
        <v>0</v>
      </c>
      <c r="X53" s="38"/>
      <c r="Y53" s="58"/>
      <c r="Z53" s="56"/>
      <c r="AA53" s="56"/>
      <c r="AB53" s="56"/>
      <c r="AC53" s="77">
        <f>SUM(B20:B51)/SUM(AA20:AA51)</f>
        <v>0</v>
      </c>
      <c r="AD53" s="78"/>
      <c r="AE53" s="79"/>
      <c r="AF53" s="56"/>
      <c r="AG53" s="56"/>
      <c r="AH53" s="56"/>
      <c r="AI53" s="77">
        <f>SUM(C20:C51)/SUM(AG20:AG51)</f>
        <v>0</v>
      </c>
      <c r="AJ53" s="80"/>
      <c r="AK53" s="29"/>
      <c r="AL53" s="5"/>
      <c r="AM53" s="5"/>
      <c r="AN53" s="12"/>
      <c r="AO53" s="29"/>
      <c r="AP53" s="29"/>
      <c r="AQ53" s="5"/>
      <c r="AR53" s="12"/>
      <c r="AS53" s="21"/>
      <c r="AT53" s="29"/>
      <c r="AU53" s="5"/>
      <c r="AV53" s="12"/>
      <c r="AW53" s="21"/>
      <c r="AX53" s="29"/>
      <c r="AY53" s="5"/>
      <c r="AZ53" s="12"/>
      <c r="BA53" s="21"/>
      <c r="BB53" s="29"/>
      <c r="BC53" s="5"/>
      <c r="BD53" s="12"/>
      <c r="BE53" s="21"/>
      <c r="BF53" s="29"/>
      <c r="BG53" s="5"/>
      <c r="BH53" s="12"/>
      <c r="BI53" s="21"/>
      <c r="BJ53" s="29"/>
      <c r="BK53" s="5"/>
      <c r="BL53" s="12"/>
    </row>
    <row r="54" spans="2:64" x14ac:dyDescent="0.3">
      <c r="N54" s="34" t="s">
        <v>11</v>
      </c>
      <c r="O54" s="29"/>
      <c r="P54" s="89"/>
      <c r="Q54" s="89"/>
      <c r="R54" s="38"/>
      <c r="S54" s="21"/>
      <c r="T54" s="5"/>
      <c r="U54" s="5"/>
      <c r="V54" s="5"/>
      <c r="W54" s="5"/>
      <c r="X54" s="12"/>
      <c r="Y54" s="18"/>
      <c r="Z54" s="4"/>
      <c r="AA54" s="4"/>
      <c r="AB54" s="4"/>
      <c r="AC54" s="5"/>
      <c r="AD54" s="38"/>
      <c r="AE54" s="11"/>
      <c r="AF54" s="4"/>
      <c r="AG54" s="4"/>
      <c r="AH54" s="4"/>
      <c r="AI54" s="5"/>
      <c r="AJ54" s="12"/>
      <c r="AK54" s="29"/>
      <c r="AL54" s="5"/>
      <c r="AM54" s="5"/>
      <c r="AN54" s="12"/>
      <c r="AO54" s="29"/>
      <c r="AP54" s="29"/>
      <c r="AQ54" s="5"/>
      <c r="AR54" s="12"/>
      <c r="AS54" s="21"/>
      <c r="AT54" s="29"/>
      <c r="AU54" s="5"/>
      <c r="AV54" s="12"/>
      <c r="AW54" s="21"/>
      <c r="AX54" s="29"/>
      <c r="AY54" s="5"/>
      <c r="AZ54" s="12"/>
      <c r="BA54" s="21"/>
      <c r="BB54" s="29"/>
      <c r="BC54" s="5"/>
      <c r="BD54" s="12"/>
      <c r="BE54" s="21"/>
      <c r="BF54" s="29"/>
      <c r="BG54" s="5"/>
      <c r="BH54" s="12"/>
      <c r="BI54" s="21"/>
      <c r="BJ54" s="29"/>
      <c r="BK54" s="5"/>
      <c r="BL54" s="12"/>
    </row>
    <row r="55" spans="2:64" ht="15" thickBot="1" x14ac:dyDescent="0.35">
      <c r="N55" s="35" t="s">
        <v>12</v>
      </c>
      <c r="O55" s="30"/>
      <c r="P55" s="90"/>
      <c r="Q55" s="90"/>
      <c r="R55" s="39"/>
      <c r="S55" s="22"/>
      <c r="T55" s="15"/>
      <c r="U55" s="15"/>
      <c r="V55" s="15"/>
      <c r="W55" s="15"/>
      <c r="X55" s="16"/>
      <c r="Y55" s="19"/>
      <c r="Z55" s="14"/>
      <c r="AA55" s="14"/>
      <c r="AB55" s="14"/>
      <c r="AC55" s="15"/>
      <c r="AD55" s="39"/>
      <c r="AE55" s="13"/>
      <c r="AF55" s="14"/>
      <c r="AG55" s="14"/>
      <c r="AH55" s="14"/>
      <c r="AI55" s="15"/>
      <c r="AJ55" s="16"/>
      <c r="AK55" s="30"/>
      <c r="AL55" s="15"/>
      <c r="AM55" s="15"/>
      <c r="AN55" s="16"/>
      <c r="AO55" s="30"/>
      <c r="AP55" s="30"/>
      <c r="AQ55" s="15"/>
      <c r="AR55" s="16"/>
      <c r="AS55" s="22"/>
      <c r="AT55" s="30"/>
      <c r="AU55" s="15"/>
      <c r="AV55" s="16"/>
      <c r="AW55" s="22"/>
      <c r="AX55" s="30"/>
      <c r="AY55" s="15"/>
      <c r="AZ55" s="16"/>
      <c r="BA55" s="22"/>
      <c r="BB55" s="30"/>
      <c r="BC55" s="15"/>
      <c r="BD55" s="16"/>
      <c r="BE55" s="22"/>
      <c r="BF55" s="30"/>
      <c r="BG55" s="15"/>
      <c r="BH55" s="16"/>
      <c r="BI55" s="22"/>
      <c r="BJ55" s="30"/>
      <c r="BK55" s="15"/>
      <c r="BL55" s="16"/>
    </row>
    <row r="60" spans="2:64" ht="15" thickBot="1" x14ac:dyDescent="0.35">
      <c r="U60">
        <f>T13</f>
        <v>0</v>
      </c>
      <c r="V60" t="s">
        <v>33</v>
      </c>
    </row>
    <row r="61" spans="2:64" ht="15" thickBot="1" x14ac:dyDescent="0.35">
      <c r="B61" s="59" t="s">
        <v>44</v>
      </c>
      <c r="C61" s="60"/>
      <c r="D61" s="61"/>
      <c r="E61" s="47"/>
      <c r="F61" s="47"/>
      <c r="I61" s="47"/>
      <c r="J61" s="47"/>
      <c r="K61" s="47"/>
      <c r="O61" t="s">
        <v>161</v>
      </c>
    </row>
    <row r="62" spans="2:64" ht="15" thickBot="1" x14ac:dyDescent="0.35">
      <c r="B62" s="73" t="str">
        <f>V62</f>
        <v>D, см</v>
      </c>
      <c r="C62" s="74" t="str">
        <f>W62</f>
        <v>h, м</v>
      </c>
      <c r="D62" s="75" t="str">
        <f>X62</f>
        <v>A, лет</v>
      </c>
      <c r="E62" s="47"/>
      <c r="F62" s="47"/>
      <c r="I62" s="47"/>
      <c r="J62" s="47"/>
      <c r="K62" s="47"/>
      <c r="O62" s="115"/>
      <c r="P62" s="116"/>
      <c r="Q62" s="116"/>
      <c r="R62" s="116"/>
      <c r="S62" s="116"/>
      <c r="T62" s="116"/>
      <c r="U62" s="116" t="s">
        <v>24</v>
      </c>
      <c r="V62" s="116" t="str">
        <f>AB19</f>
        <v>D, см</v>
      </c>
      <c r="W62" s="116" t="str">
        <f>AC19</f>
        <v>h, м</v>
      </c>
      <c r="X62" s="117" t="str">
        <f>AD19</f>
        <v>A, лет</v>
      </c>
    </row>
    <row r="63" spans="2:64" x14ac:dyDescent="0.3">
      <c r="B63" s="81" t="e">
        <f>V63*U63</f>
        <v>#DIV/0!</v>
      </c>
      <c r="C63" s="82">
        <f>W63*U63</f>
        <v>1.352643064548127E-6</v>
      </c>
      <c r="D63" s="83" t="e">
        <f>X63*U63</f>
        <v>#DIV/0!</v>
      </c>
      <c r="E63" s="47"/>
      <c r="F63" s="85"/>
      <c r="H63" s="47"/>
      <c r="I63" s="47"/>
      <c r="J63" s="47"/>
      <c r="K63" s="47"/>
      <c r="O63" s="138">
        <f t="shared" ref="O63:O72" si="11">U63/$U$75*10</f>
        <v>1.4399992281604134E-6</v>
      </c>
      <c r="P63" s="139"/>
      <c r="Q63" s="139"/>
      <c r="R63" s="47" t="str">
        <f>S18</f>
        <v>Сосна</v>
      </c>
      <c r="S63" s="47"/>
      <c r="T63" s="47"/>
      <c r="U63" s="123">
        <f>SUM(S52:U52)/(AE16*AE16*3.15/10000*1000)</f>
        <v>3.0058734767736153E-6</v>
      </c>
      <c r="V63" s="139" t="e">
        <f>V52</f>
        <v>#DIV/0!</v>
      </c>
      <c r="W63" s="139">
        <f>W52</f>
        <v>0.45</v>
      </c>
      <c r="X63" s="140" t="e">
        <f>X52</f>
        <v>#DIV/0!</v>
      </c>
      <c r="Y63" s="55"/>
    </row>
    <row r="64" spans="2:64" x14ac:dyDescent="0.3">
      <c r="B64" s="81" t="e">
        <f t="shared" ref="B64:B72" si="12">V64*U64</f>
        <v>#DIV/0!</v>
      </c>
      <c r="C64" s="82">
        <f t="shared" ref="C64:C72" si="13">W64*U64</f>
        <v>1.352643064548127E-6</v>
      </c>
      <c r="D64" s="83" t="e">
        <f t="shared" ref="D64:D72" si="14">X64*U64</f>
        <v>#DIV/0!</v>
      </c>
      <c r="E64" s="47"/>
      <c r="F64" s="85"/>
      <c r="H64" s="47"/>
      <c r="I64" s="47"/>
      <c r="J64" s="47"/>
      <c r="K64" s="47"/>
      <c r="O64" s="138">
        <f t="shared" si="11"/>
        <v>1.4399992281604134E-6</v>
      </c>
      <c r="P64" s="139"/>
      <c r="Q64" s="139"/>
      <c r="R64" s="47" t="str">
        <f>Y18</f>
        <v>Ель из подроста</v>
      </c>
      <c r="S64" s="47"/>
      <c r="T64" s="47"/>
      <c r="U64" s="123">
        <f>SUM(Y52:AA52)/(AE16*AE16*3.15/10000*1000)</f>
        <v>3.0058734767736153E-6</v>
      </c>
      <c r="V64" s="139" t="e">
        <f>AB52</f>
        <v>#DIV/0!</v>
      </c>
      <c r="W64" s="139">
        <f>AC52</f>
        <v>0.45</v>
      </c>
      <c r="X64" s="140" t="e">
        <f>AD52</f>
        <v>#DIV/0!</v>
      </c>
      <c r="Y64" s="55"/>
    </row>
    <row r="65" spans="2:25" x14ac:dyDescent="0.3">
      <c r="B65" s="81" t="e">
        <f t="shared" si="12"/>
        <v>#DIV/0!</v>
      </c>
      <c r="C65" s="82">
        <f t="shared" si="13"/>
        <v>1.7951750786512577</v>
      </c>
      <c r="D65" s="83">
        <f t="shared" si="14"/>
        <v>21.04112335503574</v>
      </c>
      <c r="E65" s="47"/>
      <c r="F65" s="47"/>
      <c r="G65" s="47"/>
      <c r="H65" s="47"/>
      <c r="I65" s="47"/>
      <c r="J65" s="47"/>
      <c r="K65" s="47"/>
      <c r="O65" s="138">
        <f t="shared" si="11"/>
        <v>1.1199998796800643</v>
      </c>
      <c r="P65" s="139"/>
      <c r="Q65" s="139"/>
      <c r="R65" s="47" t="str">
        <f>AE18</f>
        <v>ЕЛЬ лесные культуры</v>
      </c>
      <c r="S65" s="47"/>
      <c r="T65" s="47"/>
      <c r="U65" s="123">
        <f>SUM(AE52:AG52)/(AE16*AE16*3.15/10000*1000)</f>
        <v>2.3379025950039711</v>
      </c>
      <c r="V65" s="139" t="e">
        <f>AH52</f>
        <v>#DIV/0!</v>
      </c>
      <c r="W65" s="139">
        <f>AI52</f>
        <v>0.76785708801020791</v>
      </c>
      <c r="X65" s="140">
        <f>AJ52</f>
        <v>9</v>
      </c>
      <c r="Y65" s="55"/>
    </row>
    <row r="66" spans="2:25" x14ac:dyDescent="0.3">
      <c r="B66" s="81" t="e">
        <f t="shared" si="12"/>
        <v>#DIV/0!</v>
      </c>
      <c r="C66" s="82">
        <f t="shared" si="13"/>
        <v>33.031209650323397</v>
      </c>
      <c r="D66" s="83">
        <f t="shared" si="14"/>
        <v>105.31690033436445</v>
      </c>
      <c r="E66" s="47"/>
      <c r="F66" s="47"/>
      <c r="G66" s="47"/>
      <c r="H66" s="47"/>
      <c r="I66" s="47"/>
      <c r="J66" s="47"/>
      <c r="K66" s="47"/>
      <c r="O66" s="138">
        <f t="shared" si="11"/>
        <v>7.0399962265620211</v>
      </c>
      <c r="P66" s="139"/>
      <c r="Q66" s="139"/>
      <c r="R66" s="47" t="str">
        <f>AK18</f>
        <v>Берёза</v>
      </c>
      <c r="S66" s="47"/>
      <c r="T66" s="47"/>
      <c r="U66" s="123">
        <f>AK52/(AE16*AE16*3.15/10000*1000)</f>
        <v>14.695381442004342</v>
      </c>
      <c r="V66" s="139" t="e">
        <f>AL52</f>
        <v>#DIV/0!</v>
      </c>
      <c r="W66" s="139">
        <f>AM52</f>
        <v>2.247727272727273</v>
      </c>
      <c r="X66" s="140">
        <f>AN52</f>
        <v>7.166666666666667</v>
      </c>
      <c r="Y66" s="55"/>
    </row>
    <row r="67" spans="2:25" x14ac:dyDescent="0.3">
      <c r="B67" s="81" t="e">
        <f t="shared" si="12"/>
        <v>#DIV/0!</v>
      </c>
      <c r="C67" s="82">
        <f t="shared" si="13"/>
        <v>7.5313829890272252</v>
      </c>
      <c r="D67" s="83">
        <f t="shared" si="14"/>
        <v>21.041114337415308</v>
      </c>
      <c r="E67" s="47"/>
      <c r="F67" s="47"/>
      <c r="G67" s="47"/>
      <c r="H67" s="47"/>
      <c r="I67" s="47"/>
      <c r="J67" s="47"/>
      <c r="K67" s="47"/>
      <c r="O67" s="138">
        <f t="shared" si="11"/>
        <v>1.6799990995204821</v>
      </c>
      <c r="P67" s="139"/>
      <c r="Q67" s="139"/>
      <c r="R67" s="47" t="str">
        <f>AO18</f>
        <v>Осина</v>
      </c>
      <c r="S67" s="47"/>
      <c r="T67" s="47"/>
      <c r="U67" s="123">
        <f>AO52/(AE16*AE16*3.15/10000*1000)</f>
        <v>3.5068523895692181</v>
      </c>
      <c r="V67" s="139" t="e">
        <f>AP52</f>
        <v>#DIV/0!</v>
      </c>
      <c r="W67" s="139">
        <f>AQ52</f>
        <v>2.1476190476190475</v>
      </c>
      <c r="X67" s="140">
        <f>AR52</f>
        <v>6</v>
      </c>
      <c r="Y67" s="55"/>
    </row>
    <row r="68" spans="2:25" x14ac:dyDescent="0.3">
      <c r="B68" s="81" t="e">
        <f t="shared" si="12"/>
        <v>#DIV/0!</v>
      </c>
      <c r="C68" s="82">
        <f t="shared" si="13"/>
        <v>0</v>
      </c>
      <c r="D68" s="83" t="e">
        <f t="shared" si="14"/>
        <v>#DIV/0!</v>
      </c>
      <c r="E68" s="47"/>
      <c r="F68" s="47"/>
      <c r="G68" s="47"/>
      <c r="H68" s="47"/>
      <c r="I68" s="47"/>
      <c r="J68" s="47"/>
      <c r="K68" s="47"/>
      <c r="O68" s="138">
        <f t="shared" si="11"/>
        <v>4.7999974272013764E-7</v>
      </c>
      <c r="P68" s="139"/>
      <c r="Q68" s="139"/>
      <c r="R68" s="47" t="str">
        <f>AS18</f>
        <v>Ольха серая</v>
      </c>
      <c r="S68" s="47"/>
      <c r="T68" s="47"/>
      <c r="U68" s="123">
        <f>AS52/(AE16*AE16*3.15/10000*1000)</f>
        <v>1.001957825591205E-6</v>
      </c>
      <c r="V68" s="139" t="e">
        <f>AT52</f>
        <v>#DIV/0!</v>
      </c>
      <c r="W68" s="139">
        <f>AU52</f>
        <v>0</v>
      </c>
      <c r="X68" s="140" t="e">
        <f>AV52</f>
        <v>#DIV/0!</v>
      </c>
      <c r="Y68" s="55"/>
    </row>
    <row r="69" spans="2:25" x14ac:dyDescent="0.3">
      <c r="B69" s="81" t="e">
        <f t="shared" si="12"/>
        <v>#DIV/0!</v>
      </c>
      <c r="C69" s="82">
        <f t="shared" si="13"/>
        <v>0.26718875349098803</v>
      </c>
      <c r="D69" s="83">
        <f t="shared" si="14"/>
        <v>1.335944435426824</v>
      </c>
      <c r="E69" s="47"/>
      <c r="F69" s="47"/>
      <c r="G69" s="47"/>
      <c r="H69" s="47"/>
      <c r="I69" s="47"/>
      <c r="J69" s="47"/>
      <c r="K69" s="47"/>
      <c r="O69" s="138">
        <f t="shared" si="11"/>
        <v>0.15999999424000305</v>
      </c>
      <c r="P69" s="139"/>
      <c r="Q69" s="139"/>
      <c r="R69" s="47" t="str">
        <f>AW18</f>
        <v>Ива</v>
      </c>
      <c r="S69" s="47"/>
      <c r="T69" s="47"/>
      <c r="U69" s="123">
        <f>AW52/(AE16*AE16*3.15/10000*1000)</f>
        <v>0.33398610885670599</v>
      </c>
      <c r="V69" s="139" t="e">
        <f>AX52</f>
        <v>#DIV/0!</v>
      </c>
      <c r="W69" s="139">
        <f>AY52</f>
        <v>0.79999960000019998</v>
      </c>
      <c r="X69" s="140">
        <f>AZ52</f>
        <v>4</v>
      </c>
      <c r="Y69" s="55"/>
    </row>
    <row r="70" spans="2:25" x14ac:dyDescent="0.3">
      <c r="B70" s="81" t="e">
        <f t="shared" si="12"/>
        <v>#DIV/0!</v>
      </c>
      <c r="C70" s="82">
        <f t="shared" si="13"/>
        <v>0</v>
      </c>
      <c r="D70" s="83" t="e">
        <f t="shared" si="14"/>
        <v>#DIV/0!</v>
      </c>
      <c r="E70" s="47"/>
      <c r="F70" s="47"/>
      <c r="G70" s="47"/>
      <c r="H70" s="47"/>
      <c r="I70" s="47"/>
      <c r="J70" s="47"/>
      <c r="K70" s="47"/>
      <c r="O70" s="138">
        <f t="shared" si="11"/>
        <v>4.7999974272013764E-7</v>
      </c>
      <c r="P70" s="139"/>
      <c r="Q70" s="139"/>
      <c r="R70" s="47" t="str">
        <f>BA18</f>
        <v>Чёрёмуха</v>
      </c>
      <c r="S70" s="47"/>
      <c r="T70" s="47"/>
      <c r="U70" s="123">
        <f>BA52/(AE16*AE16*3.15/10000*1000)</f>
        <v>1.001957825591205E-6</v>
      </c>
      <c r="V70" s="139" t="e">
        <f>BB52</f>
        <v>#DIV/0!</v>
      </c>
      <c r="W70" s="139">
        <f>BC52</f>
        <v>0</v>
      </c>
      <c r="X70" s="140" t="e">
        <f>BD52</f>
        <v>#DIV/0!</v>
      </c>
      <c r="Y70" s="55"/>
    </row>
    <row r="71" spans="2:25" x14ac:dyDescent="0.3">
      <c r="B71" s="81" t="e">
        <f t="shared" si="12"/>
        <v>#DIV/0!</v>
      </c>
      <c r="C71" s="82">
        <f t="shared" si="13"/>
        <v>0</v>
      </c>
      <c r="D71" s="83" t="e">
        <f t="shared" si="14"/>
        <v>#DIV/0!</v>
      </c>
      <c r="E71" s="47"/>
      <c r="F71" s="47"/>
      <c r="G71" s="47"/>
      <c r="H71" s="47"/>
      <c r="I71" s="47"/>
      <c r="J71" s="47"/>
      <c r="K71" s="47"/>
      <c r="O71" s="138">
        <f t="shared" si="11"/>
        <v>4.7999974272013764E-7</v>
      </c>
      <c r="P71" s="139"/>
      <c r="Q71" s="139"/>
      <c r="R71" s="47" t="str">
        <f>BE18</f>
        <v>Дуб</v>
      </c>
      <c r="S71" s="47"/>
      <c r="T71" s="47"/>
      <c r="U71" s="123">
        <f>BE52/(AE16*AE16*3.15/10000*1000)</f>
        <v>1.001957825591205E-6</v>
      </c>
      <c r="V71" s="139" t="e">
        <f>BF52</f>
        <v>#DIV/0!</v>
      </c>
      <c r="W71" s="139">
        <f>BG52</f>
        <v>0</v>
      </c>
      <c r="X71" s="140" t="e">
        <f>BH52</f>
        <v>#DIV/0!</v>
      </c>
      <c r="Y71" s="55"/>
    </row>
    <row r="72" spans="2:25" x14ac:dyDescent="0.3">
      <c r="B72" s="81" t="e">
        <f t="shared" si="12"/>
        <v>#DIV/0!</v>
      </c>
      <c r="C72" s="82">
        <f t="shared" si="13"/>
        <v>0</v>
      </c>
      <c r="D72" s="83" t="e">
        <f t="shared" si="14"/>
        <v>#DIV/0!</v>
      </c>
      <c r="E72" s="47"/>
      <c r="F72" s="47"/>
      <c r="G72" s="47"/>
      <c r="H72" s="47"/>
      <c r="I72" s="47"/>
      <c r="J72" s="47"/>
      <c r="K72" s="47"/>
      <c r="O72" s="138">
        <f t="shared" si="11"/>
        <v>4.7999974272013764E-7</v>
      </c>
      <c r="P72" s="139"/>
      <c r="Q72" s="139"/>
      <c r="R72" s="47" t="str">
        <f>BI18</f>
        <v>Рябина</v>
      </c>
      <c r="S72" s="47"/>
      <c r="T72" s="47"/>
      <c r="U72" s="123">
        <f>BI52/(AE16*AE16*3.15/10000*1000)</f>
        <v>1.001957825591205E-6</v>
      </c>
      <c r="V72" s="139" t="e">
        <f>BJ52</f>
        <v>#DIV/0!</v>
      </c>
      <c r="W72" s="139">
        <f>BK52</f>
        <v>0</v>
      </c>
      <c r="X72" s="140" t="e">
        <f>BL52</f>
        <v>#DIV/0!</v>
      </c>
      <c r="Y72" s="55"/>
    </row>
    <row r="73" spans="2:25" x14ac:dyDescent="0.3">
      <c r="B73" s="62">
        <f>AC72*AA72</f>
        <v>0</v>
      </c>
      <c r="C73" s="71">
        <f>AI72*AG72</f>
        <v>0</v>
      </c>
      <c r="D73" s="63"/>
      <c r="E73" s="47"/>
      <c r="F73" s="47"/>
      <c r="G73" s="47"/>
      <c r="H73" s="47"/>
      <c r="I73" s="47"/>
      <c r="J73" s="47"/>
      <c r="K73" s="47"/>
      <c r="O73" s="118"/>
      <c r="P73" s="47"/>
      <c r="Q73" s="47"/>
      <c r="R73" s="47"/>
      <c r="S73" s="47"/>
      <c r="T73" s="47"/>
      <c r="U73" s="141"/>
      <c r="V73" s="141"/>
      <c r="W73" s="141"/>
      <c r="X73" s="140"/>
      <c r="Y73" s="55"/>
    </row>
    <row r="74" spans="2:25" x14ac:dyDescent="0.3">
      <c r="B74" s="62">
        <f>AC73*AA73</f>
        <v>0</v>
      </c>
      <c r="C74" s="71">
        <f>AI73*AG73</f>
        <v>0</v>
      </c>
      <c r="D74" s="63">
        <f>W73*U73</f>
        <v>0</v>
      </c>
      <c r="E74" s="47"/>
      <c r="F74" s="47"/>
      <c r="G74" s="47"/>
      <c r="H74" s="47"/>
      <c r="I74" s="47"/>
      <c r="J74" s="47"/>
      <c r="K74" s="47"/>
      <c r="O74" s="118"/>
      <c r="P74" s="47"/>
      <c r="Q74" s="47"/>
      <c r="R74" s="47"/>
      <c r="S74" s="47"/>
      <c r="T74" s="47"/>
      <c r="U74" s="141"/>
      <c r="V74" s="141"/>
      <c r="W74" s="141"/>
      <c r="X74" s="140"/>
      <c r="Y74" s="55"/>
    </row>
    <row r="75" spans="2:25" x14ac:dyDescent="0.3">
      <c r="B75" s="62">
        <f>AC74*AA74</f>
        <v>0</v>
      </c>
      <c r="C75" s="71">
        <f>AI74*AG74</f>
        <v>0</v>
      </c>
      <c r="D75" s="63">
        <f>W74*U74</f>
        <v>0</v>
      </c>
      <c r="E75" s="47"/>
      <c r="F75" s="47"/>
      <c r="G75" s="47"/>
      <c r="H75" s="47"/>
      <c r="I75" s="47"/>
      <c r="J75" s="47"/>
      <c r="K75" s="47"/>
      <c r="O75" s="142">
        <f>SUM(O63:O72)</f>
        <v>10</v>
      </c>
      <c r="P75" s="143"/>
      <c r="Q75" s="143"/>
      <c r="R75" s="45" t="s">
        <v>27</v>
      </c>
      <c r="S75" s="45"/>
      <c r="T75" s="45"/>
      <c r="U75" s="144">
        <f>SUM(U63:U72)</f>
        <v>20.874132555012498</v>
      </c>
      <c r="V75" s="144" t="e">
        <f>SUM(B63:B72)/$U$75</f>
        <v>#DIV/0!</v>
      </c>
      <c r="W75" s="144">
        <f>SUM(C63:C72)/$U$75</f>
        <v>2.0419990658027838</v>
      </c>
      <c r="X75" s="145" t="e">
        <f>SUM(D63:D72)/$U$75</f>
        <v>#DIV/0!</v>
      </c>
      <c r="Y75" s="55"/>
    </row>
    <row r="76" spans="2:25" x14ac:dyDescent="0.3">
      <c r="B76" s="62">
        <f>AC75*AA75</f>
        <v>0</v>
      </c>
      <c r="C76" s="71">
        <f>AI75*AG75</f>
        <v>0</v>
      </c>
      <c r="D76" s="63"/>
      <c r="E76" s="47"/>
      <c r="F76" s="47"/>
      <c r="G76" s="47"/>
      <c r="H76" s="47"/>
      <c r="I76" s="47"/>
      <c r="J76" s="47"/>
      <c r="K76" s="47"/>
    </row>
    <row r="77" spans="2:25" ht="15" thickBot="1" x14ac:dyDescent="0.35">
      <c r="B77" s="64">
        <f>AC93*AA93</f>
        <v>0</v>
      </c>
      <c r="C77" s="72">
        <f>AI93*AG93</f>
        <v>0</v>
      </c>
      <c r="D77" s="66">
        <f>W93*U93</f>
        <v>0</v>
      </c>
      <c r="E77" s="47"/>
      <c r="F77" s="47"/>
      <c r="G77" s="47"/>
      <c r="H77" s="47"/>
      <c r="I77" s="47"/>
      <c r="J77" s="47"/>
      <c r="K77" s="47"/>
    </row>
  </sheetData>
  <mergeCells count="11">
    <mergeCell ref="AS18:AV18"/>
    <mergeCell ref="AW18:AZ18"/>
    <mergeCell ref="BA18:BD18"/>
    <mergeCell ref="BE18:BH18"/>
    <mergeCell ref="BI18:BL18"/>
    <mergeCell ref="AO18:AR18"/>
    <mergeCell ref="O18:R18"/>
    <mergeCell ref="S18:X18"/>
    <mergeCell ref="Y18:AD18"/>
    <mergeCell ref="AE18:AJ18"/>
    <mergeCell ref="AK18:AN18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BL77"/>
  <sheetViews>
    <sheetView zoomScale="80" zoomScaleNormal="80" workbookViewId="0">
      <pane xSplit="18" ySplit="19" topLeftCell="S59" activePane="bottomRight" state="frozen"/>
      <selection pane="topRight" activeCell="Q1" sqref="Q1"/>
      <selection pane="bottomLeft" activeCell="A11" sqref="A11"/>
      <selection pane="bottomRight" activeCell="AZ28" sqref="AZ28"/>
    </sheetView>
  </sheetViews>
  <sheetFormatPr defaultRowHeight="14.4" x14ac:dyDescent="0.3"/>
  <cols>
    <col min="2" max="2" width="16.109375" hidden="1" customWidth="1"/>
    <col min="3" max="3" width="17.5546875" hidden="1" customWidth="1"/>
    <col min="4" max="11" width="12.88671875" hidden="1" customWidth="1"/>
    <col min="18" max="18" width="11" customWidth="1"/>
    <col min="21" max="21" width="9" customWidth="1"/>
    <col min="34" max="56" width="9.88671875" bestFit="1" customWidth="1"/>
  </cols>
  <sheetData>
    <row r="1" spans="14:39" ht="15" thickBot="1" x14ac:dyDescent="0.35"/>
    <row r="2" spans="14:39" x14ac:dyDescent="0.3">
      <c r="V2" s="59"/>
      <c r="W2" s="67" t="s">
        <v>38</v>
      </c>
      <c r="X2" s="67"/>
      <c r="Y2" s="60"/>
      <c r="Z2" s="60"/>
      <c r="AA2" s="60"/>
      <c r="AB2" s="60"/>
      <c r="AC2" s="60"/>
      <c r="AD2" s="60"/>
      <c r="AE2" s="60">
        <v>8</v>
      </c>
      <c r="AF2" s="60" t="s">
        <v>142</v>
      </c>
      <c r="AG2" s="60"/>
      <c r="AH2" s="60"/>
      <c r="AI2" s="60"/>
      <c r="AJ2" s="60"/>
      <c r="AK2" s="60"/>
      <c r="AL2" s="60"/>
      <c r="AM2" s="61"/>
    </row>
    <row r="3" spans="14:39" x14ac:dyDescent="0.3">
      <c r="V3" s="62">
        <v>1</v>
      </c>
      <c r="W3" s="47" t="s">
        <v>158</v>
      </c>
      <c r="X3" s="47"/>
      <c r="Y3" s="47"/>
      <c r="Z3" s="47"/>
      <c r="AA3" s="47"/>
      <c r="AB3" s="47"/>
      <c r="AC3" s="47"/>
      <c r="AD3" s="47"/>
      <c r="AE3" s="47">
        <v>9</v>
      </c>
      <c r="AF3" s="47" t="s">
        <v>156</v>
      </c>
      <c r="AG3" s="47"/>
      <c r="AH3" s="47"/>
      <c r="AI3" s="47"/>
      <c r="AJ3" s="47"/>
      <c r="AK3" s="47"/>
      <c r="AL3" s="47"/>
      <c r="AM3" s="63"/>
    </row>
    <row r="4" spans="14:39" x14ac:dyDescent="0.3">
      <c r="V4" s="62">
        <v>2</v>
      </c>
      <c r="W4" s="47" t="s">
        <v>159</v>
      </c>
      <c r="X4" s="47"/>
      <c r="Y4" s="47"/>
      <c r="Z4" s="47"/>
      <c r="AA4" s="47"/>
      <c r="AB4" s="47"/>
      <c r="AC4" s="47"/>
      <c r="AD4" s="47"/>
      <c r="AE4" s="47">
        <v>10</v>
      </c>
      <c r="AF4" s="47" t="s">
        <v>157</v>
      </c>
      <c r="AG4" s="47"/>
      <c r="AH4" s="47"/>
      <c r="AI4" s="47"/>
      <c r="AJ4" s="47"/>
      <c r="AK4" s="47"/>
      <c r="AL4" s="47"/>
      <c r="AM4" s="63"/>
    </row>
    <row r="5" spans="14:39" x14ac:dyDescent="0.3">
      <c r="V5" s="62">
        <v>3</v>
      </c>
      <c r="W5" s="47" t="s">
        <v>34</v>
      </c>
      <c r="X5" s="47"/>
      <c r="Y5" s="47"/>
      <c r="Z5" s="47"/>
      <c r="AA5" s="47"/>
      <c r="AB5" s="47"/>
      <c r="AC5" s="47"/>
      <c r="AD5" s="47"/>
      <c r="AE5" s="47">
        <v>11</v>
      </c>
      <c r="AF5" s="47" t="s">
        <v>39</v>
      </c>
      <c r="AG5" s="47"/>
      <c r="AH5" s="47"/>
      <c r="AI5" s="47"/>
      <c r="AJ5" s="47"/>
      <c r="AK5" s="47"/>
      <c r="AL5" s="47"/>
      <c r="AM5" s="63"/>
    </row>
    <row r="6" spans="14:39" x14ac:dyDescent="0.3">
      <c r="V6" s="62">
        <v>4</v>
      </c>
      <c r="W6" s="47" t="s">
        <v>35</v>
      </c>
      <c r="X6" s="47"/>
      <c r="Y6" s="47"/>
      <c r="Z6" s="47"/>
      <c r="AA6" s="47"/>
      <c r="AB6" s="47"/>
      <c r="AC6" s="47"/>
      <c r="AD6" s="47"/>
      <c r="AE6" s="47">
        <v>12</v>
      </c>
      <c r="AF6" s="47" t="s">
        <v>40</v>
      </c>
      <c r="AG6" s="47"/>
      <c r="AH6" s="47"/>
      <c r="AI6" s="47"/>
      <c r="AJ6" s="47"/>
      <c r="AK6" s="47"/>
      <c r="AL6" s="47"/>
      <c r="AM6" s="63"/>
    </row>
    <row r="7" spans="14:39" x14ac:dyDescent="0.3">
      <c r="V7" s="62">
        <v>5</v>
      </c>
      <c r="W7" s="47" t="s">
        <v>36</v>
      </c>
      <c r="X7" s="47"/>
      <c r="Y7" s="47"/>
      <c r="Z7" s="47"/>
      <c r="AA7" s="47"/>
      <c r="AB7" s="47"/>
      <c r="AC7" s="47"/>
      <c r="AD7" s="47"/>
      <c r="AE7" s="47">
        <v>13</v>
      </c>
      <c r="AF7" s="47" t="s">
        <v>41</v>
      </c>
      <c r="AG7" s="47"/>
      <c r="AH7" s="47"/>
      <c r="AI7" s="47"/>
      <c r="AJ7" s="47"/>
      <c r="AK7" s="47"/>
      <c r="AL7" s="47"/>
      <c r="AM7" s="63"/>
    </row>
    <row r="8" spans="14:39" x14ac:dyDescent="0.3">
      <c r="V8" s="62">
        <v>6</v>
      </c>
      <c r="W8" s="47" t="s">
        <v>141</v>
      </c>
      <c r="X8" s="47"/>
      <c r="Y8" s="47"/>
      <c r="Z8" s="47"/>
      <c r="AA8" s="47"/>
      <c r="AB8" s="47"/>
      <c r="AC8" s="47"/>
      <c r="AD8" s="47"/>
      <c r="AE8" s="47">
        <v>14</v>
      </c>
      <c r="AF8" s="47"/>
      <c r="AG8" s="47"/>
      <c r="AH8" s="47"/>
      <c r="AI8" s="47"/>
      <c r="AJ8" s="47"/>
      <c r="AK8" s="47"/>
      <c r="AL8" s="47"/>
      <c r="AM8" s="63"/>
    </row>
    <row r="9" spans="14:39" ht="15" thickBot="1" x14ac:dyDescent="0.35">
      <c r="V9" s="64">
        <v>7</v>
      </c>
      <c r="W9" s="65" t="s">
        <v>37</v>
      </c>
      <c r="X9" s="65"/>
      <c r="Y9" s="65"/>
      <c r="Z9" s="65"/>
      <c r="AA9" s="65"/>
      <c r="AB9" s="65"/>
      <c r="AC9" s="65"/>
      <c r="AD9" s="65"/>
      <c r="AE9" s="65">
        <v>15</v>
      </c>
      <c r="AF9" s="65"/>
      <c r="AG9" s="65"/>
      <c r="AH9" s="65"/>
      <c r="AI9" s="65"/>
      <c r="AJ9" s="65"/>
      <c r="AK9" s="65"/>
      <c r="AL9" s="65"/>
      <c r="AM9" s="66"/>
    </row>
    <row r="13" spans="14:39" x14ac:dyDescent="0.3">
      <c r="N13" t="s">
        <v>32</v>
      </c>
      <c r="T13" s="45"/>
    </row>
    <row r="16" spans="14:39" x14ac:dyDescent="0.3">
      <c r="N16" s="46" t="s">
        <v>13</v>
      </c>
      <c r="S16">
        <v>1</v>
      </c>
      <c r="U16" s="45" t="s">
        <v>14</v>
      </c>
      <c r="V16" s="45">
        <v>176</v>
      </c>
      <c r="W16" s="45"/>
      <c r="X16" s="45" t="s">
        <v>15</v>
      </c>
      <c r="Y16" s="45">
        <v>5</v>
      </c>
      <c r="Z16" s="45" t="s">
        <v>16</v>
      </c>
      <c r="AA16" s="45">
        <v>1</v>
      </c>
      <c r="AB16" s="47"/>
      <c r="AC16" s="85" t="s">
        <v>45</v>
      </c>
      <c r="AE16" s="45">
        <v>1.78</v>
      </c>
      <c r="AG16" s="44" t="s">
        <v>28</v>
      </c>
      <c r="AI16" s="44"/>
    </row>
    <row r="17" spans="2:64" ht="15" thickBot="1" x14ac:dyDescent="0.35"/>
    <row r="18" spans="2:64" ht="15.6" thickTop="1" thickBot="1" x14ac:dyDescent="0.35">
      <c r="B18" s="59" t="s">
        <v>31</v>
      </c>
      <c r="C18" s="60"/>
      <c r="D18" s="60"/>
      <c r="E18" s="60"/>
      <c r="F18" s="60"/>
      <c r="G18" s="60"/>
      <c r="H18" s="60"/>
      <c r="I18" s="60"/>
      <c r="J18" s="60"/>
      <c r="K18" s="61"/>
      <c r="N18" s="1" t="s">
        <v>0</v>
      </c>
      <c r="O18" s="202" t="s">
        <v>1</v>
      </c>
      <c r="P18" s="194"/>
      <c r="Q18" s="194"/>
      <c r="R18" s="195"/>
      <c r="S18" s="193" t="s">
        <v>43</v>
      </c>
      <c r="T18" s="194"/>
      <c r="U18" s="194"/>
      <c r="V18" s="194"/>
      <c r="W18" s="194"/>
      <c r="X18" s="195"/>
      <c r="Y18" s="203" t="s">
        <v>17</v>
      </c>
      <c r="Z18" s="204"/>
      <c r="AA18" s="204"/>
      <c r="AB18" s="204"/>
      <c r="AC18" s="204"/>
      <c r="AD18" s="205"/>
      <c r="AE18" s="206" t="s">
        <v>18</v>
      </c>
      <c r="AF18" s="207"/>
      <c r="AG18" s="207"/>
      <c r="AH18" s="207"/>
      <c r="AI18" s="207"/>
      <c r="AJ18" s="208"/>
      <c r="AK18" s="193" t="s">
        <v>19</v>
      </c>
      <c r="AL18" s="194"/>
      <c r="AM18" s="194"/>
      <c r="AN18" s="195"/>
      <c r="AO18" s="193" t="s">
        <v>20</v>
      </c>
      <c r="AP18" s="194"/>
      <c r="AQ18" s="194"/>
      <c r="AR18" s="195"/>
      <c r="AS18" s="193" t="s">
        <v>21</v>
      </c>
      <c r="AT18" s="194"/>
      <c r="AU18" s="194"/>
      <c r="AV18" s="195"/>
      <c r="AW18" s="193" t="s">
        <v>26</v>
      </c>
      <c r="AX18" s="194"/>
      <c r="AY18" s="194"/>
      <c r="AZ18" s="195"/>
      <c r="BA18" s="193" t="s">
        <v>22</v>
      </c>
      <c r="BB18" s="194"/>
      <c r="BC18" s="194"/>
      <c r="BD18" s="195"/>
      <c r="BE18" s="193" t="s">
        <v>29</v>
      </c>
      <c r="BF18" s="194"/>
      <c r="BG18" s="194"/>
      <c r="BH18" s="195"/>
      <c r="BI18" s="193" t="s">
        <v>42</v>
      </c>
      <c r="BJ18" s="194"/>
      <c r="BK18" s="194"/>
      <c r="BL18" s="195"/>
    </row>
    <row r="19" spans="2:64" ht="21" thickBot="1" x14ac:dyDescent="0.35">
      <c r="B19" s="64" t="str">
        <f>Y18</f>
        <v>Ель из подроста</v>
      </c>
      <c r="C19" s="65" t="str">
        <f>AE18</f>
        <v>ЕЛЬ лесные культуры</v>
      </c>
      <c r="D19" s="65" t="str">
        <f>S18</f>
        <v>Сосна</v>
      </c>
      <c r="E19" s="65" t="str">
        <f>AK18</f>
        <v>Берёза</v>
      </c>
      <c r="F19" s="65" t="str">
        <f>AO18</f>
        <v>Осина</v>
      </c>
      <c r="G19" s="65" t="str">
        <f>AS18</f>
        <v>Ольха серая</v>
      </c>
      <c r="H19" s="65" t="str">
        <f>AW18</f>
        <v>Ива</v>
      </c>
      <c r="I19" s="65" t="str">
        <f>BA18</f>
        <v>Чёрёмуха</v>
      </c>
      <c r="J19" s="65" t="str">
        <f>BE18</f>
        <v>Дуб</v>
      </c>
      <c r="K19" s="66" t="str">
        <f>BI18</f>
        <v>Рябина</v>
      </c>
      <c r="L19" t="s">
        <v>46</v>
      </c>
      <c r="N19" s="31" t="s">
        <v>2</v>
      </c>
      <c r="O19" s="25" t="s">
        <v>3</v>
      </c>
      <c r="P19" s="86" t="s">
        <v>48</v>
      </c>
      <c r="Q19" s="86" t="s">
        <v>47</v>
      </c>
      <c r="R19" s="68" t="s">
        <v>4</v>
      </c>
      <c r="S19" s="41" t="s">
        <v>5</v>
      </c>
      <c r="T19" s="42" t="s">
        <v>6</v>
      </c>
      <c r="U19" s="42" t="s">
        <v>7</v>
      </c>
      <c r="V19" s="42" t="s">
        <v>23</v>
      </c>
      <c r="W19" s="43" t="s">
        <v>8</v>
      </c>
      <c r="X19" s="26" t="s">
        <v>9</v>
      </c>
      <c r="Y19" s="70" t="s">
        <v>5</v>
      </c>
      <c r="Z19" s="42" t="s">
        <v>6</v>
      </c>
      <c r="AA19" s="42" t="s">
        <v>7</v>
      </c>
      <c r="AB19" s="42" t="s">
        <v>23</v>
      </c>
      <c r="AC19" s="43" t="s">
        <v>8</v>
      </c>
      <c r="AD19" s="26" t="s">
        <v>9</v>
      </c>
      <c r="AE19" s="53" t="s">
        <v>5</v>
      </c>
      <c r="AF19" s="50" t="s">
        <v>6</v>
      </c>
      <c r="AG19" s="50" t="s">
        <v>7</v>
      </c>
      <c r="AH19" s="50" t="s">
        <v>23</v>
      </c>
      <c r="AI19" s="51" t="s">
        <v>8</v>
      </c>
      <c r="AJ19" s="54" t="s">
        <v>9</v>
      </c>
      <c r="AK19" s="49" t="s">
        <v>10</v>
      </c>
      <c r="AL19" s="50" t="s">
        <v>23</v>
      </c>
      <c r="AM19" s="51" t="s">
        <v>8</v>
      </c>
      <c r="AN19" s="52" t="s">
        <v>9</v>
      </c>
      <c r="AO19" s="25" t="s">
        <v>10</v>
      </c>
      <c r="AP19" s="42" t="s">
        <v>23</v>
      </c>
      <c r="AQ19" s="43" t="s">
        <v>8</v>
      </c>
      <c r="AR19" s="26" t="s">
        <v>9</v>
      </c>
      <c r="AS19" s="25" t="s">
        <v>10</v>
      </c>
      <c r="AT19" s="42" t="s">
        <v>23</v>
      </c>
      <c r="AU19" s="43" t="s">
        <v>8</v>
      </c>
      <c r="AV19" s="26" t="s">
        <v>9</v>
      </c>
      <c r="AW19" s="25" t="s">
        <v>10</v>
      </c>
      <c r="AX19" s="42" t="s">
        <v>23</v>
      </c>
      <c r="AY19" s="43" t="s">
        <v>8</v>
      </c>
      <c r="AZ19" s="26" t="s">
        <v>9</v>
      </c>
      <c r="BA19" s="25" t="s">
        <v>10</v>
      </c>
      <c r="BB19" s="42" t="s">
        <v>23</v>
      </c>
      <c r="BC19" s="43" t="s">
        <v>8</v>
      </c>
      <c r="BD19" s="26" t="s">
        <v>9</v>
      </c>
      <c r="BE19" s="25" t="s">
        <v>10</v>
      </c>
      <c r="BF19" s="42" t="s">
        <v>23</v>
      </c>
      <c r="BG19" s="43" t="s">
        <v>8</v>
      </c>
      <c r="BH19" s="26" t="s">
        <v>9</v>
      </c>
      <c r="BI19" s="25" t="s">
        <v>10</v>
      </c>
      <c r="BJ19" s="42" t="s">
        <v>23</v>
      </c>
      <c r="BK19" s="43" t="s">
        <v>8</v>
      </c>
      <c r="BL19" s="26" t="s">
        <v>9</v>
      </c>
    </row>
    <row r="20" spans="2:64" x14ac:dyDescent="0.3">
      <c r="B20" s="62">
        <f>AC20*AA20</f>
        <v>0</v>
      </c>
      <c r="C20" s="47">
        <f>AI20*AG20</f>
        <v>10.5</v>
      </c>
      <c r="D20" s="47">
        <f>W20*U20</f>
        <v>0</v>
      </c>
      <c r="E20" s="47">
        <f>AK20*AM20</f>
        <v>80</v>
      </c>
      <c r="F20" s="47">
        <f>AO20*AQ20</f>
        <v>16</v>
      </c>
      <c r="G20" s="47">
        <f>AS20*AU20</f>
        <v>0</v>
      </c>
      <c r="H20" s="47">
        <f>AW20*AY20</f>
        <v>0</v>
      </c>
      <c r="I20" s="47">
        <f>BA20*BC20</f>
        <v>0</v>
      </c>
      <c r="J20" s="47">
        <f>BE20*BG20</f>
        <v>0</v>
      </c>
      <c r="K20" s="63">
        <f>BI20*BK20</f>
        <v>0</v>
      </c>
      <c r="L20" s="55">
        <f>SUM(S20:U20,Y20:AA20,AE20:AG20,AK20,AO20,AS20,AW20,BA20,BE20,BI20)/($AE$16*$AE$16*3.15/10000*1000)</f>
        <v>21.041125358951394</v>
      </c>
      <c r="N20" s="32">
        <v>1</v>
      </c>
      <c r="O20" s="27">
        <v>871</v>
      </c>
      <c r="P20" s="87" t="s">
        <v>176</v>
      </c>
      <c r="Q20" s="87"/>
      <c r="R20" s="69"/>
      <c r="S20" s="40">
        <v>9.9999999999999995E-7</v>
      </c>
      <c r="T20" s="40">
        <v>9.9999999999999995E-7</v>
      </c>
      <c r="U20" s="40">
        <v>9.9999999999999995E-7</v>
      </c>
      <c r="V20" s="40"/>
      <c r="W20" s="40"/>
      <c r="X20" s="24"/>
      <c r="Y20" s="40">
        <v>9.9999999999999995E-7</v>
      </c>
      <c r="Z20" s="40">
        <v>9.9999999999999995E-7</v>
      </c>
      <c r="AA20" s="40">
        <v>9.9999999999999995E-7</v>
      </c>
      <c r="AB20" s="6"/>
      <c r="AC20" s="7"/>
      <c r="AD20" s="36"/>
      <c r="AE20" s="40">
        <v>2</v>
      </c>
      <c r="AF20" s="40">
        <v>7</v>
      </c>
      <c r="AG20" s="40">
        <v>5</v>
      </c>
      <c r="AH20" s="6">
        <v>2.5</v>
      </c>
      <c r="AI20" s="7">
        <v>2.1</v>
      </c>
      <c r="AJ20" s="8">
        <v>20</v>
      </c>
      <c r="AK20" s="40">
        <v>5</v>
      </c>
      <c r="AL20" s="7">
        <v>14</v>
      </c>
      <c r="AM20" s="7">
        <v>16</v>
      </c>
      <c r="AN20" s="8">
        <v>22</v>
      </c>
      <c r="AO20" s="40">
        <v>2</v>
      </c>
      <c r="AP20" s="27">
        <v>7</v>
      </c>
      <c r="AQ20" s="40">
        <v>8</v>
      </c>
      <c r="AR20" s="24">
        <v>22</v>
      </c>
      <c r="AS20" s="40">
        <v>9.9999999999999995E-7</v>
      </c>
      <c r="AT20" s="27"/>
      <c r="AU20" s="40"/>
      <c r="AV20" s="24"/>
      <c r="AW20" s="40">
        <v>9.9999999999999995E-7</v>
      </c>
      <c r="AX20" s="27"/>
      <c r="AY20" s="40"/>
      <c r="AZ20" s="24"/>
      <c r="BA20" s="40">
        <v>9.9999999999999995E-7</v>
      </c>
      <c r="BB20" s="27"/>
      <c r="BC20" s="40"/>
      <c r="BD20" s="24"/>
      <c r="BE20" s="40">
        <v>9.9999999999999995E-7</v>
      </c>
      <c r="BF20" s="27"/>
      <c r="BG20" s="40"/>
      <c r="BH20" s="24"/>
      <c r="BI20" s="40">
        <v>9.9999999999999995E-7</v>
      </c>
      <c r="BJ20" s="27"/>
      <c r="BK20" s="40"/>
      <c r="BL20" s="24"/>
    </row>
    <row r="21" spans="2:64" x14ac:dyDescent="0.3">
      <c r="B21" s="62">
        <f t="shared" ref="B21:B51" si="0">AC21*AA21</f>
        <v>0</v>
      </c>
      <c r="C21" s="47">
        <f t="shared" ref="C21:C51" si="1">AI21*AG21</f>
        <v>0</v>
      </c>
      <c r="D21" s="47">
        <f t="shared" ref="D21:D51" si="2">W21*U21</f>
        <v>0</v>
      </c>
      <c r="E21" s="47">
        <f t="shared" ref="E21:E51" si="3">AK21*AM21</f>
        <v>95</v>
      </c>
      <c r="F21" s="47">
        <f t="shared" ref="F21:F51" si="4">AO21*AQ21</f>
        <v>0</v>
      </c>
      <c r="G21" s="47">
        <f t="shared" ref="G21:G51" si="5">AS21*AU21</f>
        <v>0</v>
      </c>
      <c r="H21" s="47">
        <f t="shared" ref="H21:H51" si="6">AW21*AY21</f>
        <v>0</v>
      </c>
      <c r="I21" s="47">
        <f t="shared" ref="I21:I51" si="7">BA21*BC21</f>
        <v>0</v>
      </c>
      <c r="J21" s="47">
        <f t="shared" ref="J21:J51" si="8">BE21*BG21</f>
        <v>0</v>
      </c>
      <c r="K21" s="63">
        <f t="shared" ref="K21:K51" si="9">BI21*BK21</f>
        <v>0</v>
      </c>
      <c r="L21" s="55">
        <f t="shared" ref="L21:L51" si="10">SUM(S21:U21,Y21:AA21,AE21:AG21,AK21,AO21,AS21,AW21,BA21,BE21,BI21)/($AE$16*$AE$16*3.15/10000*1000)</f>
        <v>5.0097891279560258</v>
      </c>
      <c r="N21" s="33">
        <v>2</v>
      </c>
      <c r="O21" s="28">
        <v>872</v>
      </c>
      <c r="P21" s="88" t="s">
        <v>176</v>
      </c>
      <c r="Q21" s="88"/>
      <c r="R21" s="37"/>
      <c r="S21" s="20"/>
      <c r="T21" s="3"/>
      <c r="U21" s="3"/>
      <c r="V21" s="3"/>
      <c r="W21" s="3"/>
      <c r="X21" s="10"/>
      <c r="Y21" s="17"/>
      <c r="Z21" s="2"/>
      <c r="AA21" s="2"/>
      <c r="AB21" s="2"/>
      <c r="AC21" s="3"/>
      <c r="AD21" s="37"/>
      <c r="AE21" s="9">
        <v>0</v>
      </c>
      <c r="AF21" s="2">
        <v>0</v>
      </c>
      <c r="AG21" s="2">
        <v>0</v>
      </c>
      <c r="AH21" s="2"/>
      <c r="AI21" s="3"/>
      <c r="AJ21" s="10"/>
      <c r="AK21" s="28">
        <v>5</v>
      </c>
      <c r="AL21" s="3">
        <v>16</v>
      </c>
      <c r="AM21" s="3">
        <v>19</v>
      </c>
      <c r="AN21" s="10">
        <v>23</v>
      </c>
      <c r="AO21" s="28">
        <v>0</v>
      </c>
      <c r="AP21" s="28"/>
      <c r="AQ21" s="3"/>
      <c r="AR21" s="10"/>
      <c r="AS21" s="20">
        <v>0</v>
      </c>
      <c r="AT21" s="28"/>
      <c r="AU21" s="3"/>
      <c r="AV21" s="10"/>
      <c r="AW21" s="20">
        <v>0</v>
      </c>
      <c r="AX21" s="28"/>
      <c r="AY21" s="3"/>
      <c r="AZ21" s="10"/>
      <c r="BA21" s="20"/>
      <c r="BB21" s="28"/>
      <c r="BC21" s="3"/>
      <c r="BD21" s="10"/>
      <c r="BE21" s="23"/>
      <c r="BF21" s="28"/>
      <c r="BG21" s="3"/>
      <c r="BH21" s="10"/>
      <c r="BI21" s="23"/>
      <c r="BJ21" s="28"/>
      <c r="BK21" s="3"/>
      <c r="BL21" s="10"/>
    </row>
    <row r="22" spans="2:64" x14ac:dyDescent="0.3">
      <c r="B22" s="62">
        <f t="shared" si="0"/>
        <v>0</v>
      </c>
      <c r="C22" s="47">
        <f t="shared" si="1"/>
        <v>0</v>
      </c>
      <c r="D22" s="47">
        <f t="shared" si="2"/>
        <v>0</v>
      </c>
      <c r="E22" s="47">
        <f t="shared" si="3"/>
        <v>57</v>
      </c>
      <c r="F22" s="47">
        <f t="shared" si="4"/>
        <v>68</v>
      </c>
      <c r="G22" s="47">
        <f t="shared" si="5"/>
        <v>0</v>
      </c>
      <c r="H22" s="47">
        <f t="shared" si="6"/>
        <v>0</v>
      </c>
      <c r="I22" s="47">
        <f t="shared" si="7"/>
        <v>0</v>
      </c>
      <c r="J22" s="47">
        <f t="shared" si="8"/>
        <v>0</v>
      </c>
      <c r="K22" s="63">
        <f t="shared" si="9"/>
        <v>0</v>
      </c>
      <c r="L22" s="55">
        <f t="shared" si="10"/>
        <v>7.0137047791384362</v>
      </c>
      <c r="N22" s="33">
        <v>3</v>
      </c>
      <c r="O22" s="28">
        <v>873</v>
      </c>
      <c r="P22" s="88" t="s">
        <v>176</v>
      </c>
      <c r="Q22" s="88"/>
      <c r="R22" s="37"/>
      <c r="S22" s="20"/>
      <c r="T22" s="3"/>
      <c r="U22" s="3"/>
      <c r="V22" s="3"/>
      <c r="W22" s="3"/>
      <c r="X22" s="10"/>
      <c r="Y22" s="17"/>
      <c r="Z22" s="2"/>
      <c r="AA22" s="2"/>
      <c r="AB22" s="2"/>
      <c r="AC22" s="3"/>
      <c r="AD22" s="37"/>
      <c r="AE22" s="9">
        <v>0</v>
      </c>
      <c r="AF22" s="2">
        <v>0</v>
      </c>
      <c r="AG22" s="2">
        <v>0</v>
      </c>
      <c r="AH22" s="2"/>
      <c r="AI22" s="3"/>
      <c r="AJ22" s="10"/>
      <c r="AK22" s="28">
        <v>3</v>
      </c>
      <c r="AL22" s="3">
        <v>16</v>
      </c>
      <c r="AM22" s="3">
        <v>19</v>
      </c>
      <c r="AN22" s="10">
        <v>23</v>
      </c>
      <c r="AO22" s="28">
        <v>4</v>
      </c>
      <c r="AP22" s="28">
        <v>13</v>
      </c>
      <c r="AQ22" s="3">
        <v>17</v>
      </c>
      <c r="AR22" s="10">
        <v>23</v>
      </c>
      <c r="AS22" s="20">
        <v>0</v>
      </c>
      <c r="AT22" s="28"/>
      <c r="AU22" s="3"/>
      <c r="AV22" s="10"/>
      <c r="AW22" s="20">
        <v>0</v>
      </c>
      <c r="AX22" s="28"/>
      <c r="AY22" s="3"/>
      <c r="AZ22" s="10"/>
      <c r="BA22" s="20"/>
      <c r="BB22" s="28"/>
      <c r="BC22" s="3"/>
      <c r="BD22" s="10"/>
      <c r="BE22" s="23"/>
      <c r="BF22" s="28"/>
      <c r="BG22" s="3"/>
      <c r="BH22" s="10"/>
      <c r="BI22" s="23"/>
      <c r="BJ22" s="28"/>
      <c r="BK22" s="3"/>
      <c r="BL22" s="10"/>
    </row>
    <row r="23" spans="2:64" x14ac:dyDescent="0.3">
      <c r="B23" s="62">
        <f t="shared" si="0"/>
        <v>0</v>
      </c>
      <c r="C23" s="47">
        <f t="shared" si="1"/>
        <v>4.5</v>
      </c>
      <c r="D23" s="47">
        <f t="shared" si="2"/>
        <v>0</v>
      </c>
      <c r="E23" s="47">
        <f t="shared" si="3"/>
        <v>33</v>
      </c>
      <c r="F23" s="47">
        <f t="shared" si="4"/>
        <v>0</v>
      </c>
      <c r="G23" s="47">
        <f t="shared" si="5"/>
        <v>0</v>
      </c>
      <c r="H23" s="47">
        <f t="shared" si="6"/>
        <v>0</v>
      </c>
      <c r="I23" s="47">
        <f t="shared" si="7"/>
        <v>0</v>
      </c>
      <c r="J23" s="47">
        <f t="shared" si="8"/>
        <v>0</v>
      </c>
      <c r="K23" s="63">
        <f t="shared" si="9"/>
        <v>0</v>
      </c>
      <c r="L23" s="55">
        <f t="shared" si="10"/>
        <v>4.0078313023648207</v>
      </c>
      <c r="N23" s="33">
        <v>4</v>
      </c>
      <c r="O23" s="27">
        <v>874</v>
      </c>
      <c r="P23" s="87" t="s">
        <v>176</v>
      </c>
      <c r="Q23" s="87"/>
      <c r="R23" s="37"/>
      <c r="S23" s="20"/>
      <c r="T23" s="3"/>
      <c r="U23" s="3"/>
      <c r="V23" s="3"/>
      <c r="W23" s="3"/>
      <c r="X23" s="10"/>
      <c r="Y23" s="17"/>
      <c r="Z23" s="2"/>
      <c r="AA23" s="2"/>
      <c r="AB23" s="2"/>
      <c r="AC23" s="3"/>
      <c r="AD23" s="37"/>
      <c r="AE23" s="9">
        <v>0</v>
      </c>
      <c r="AF23" s="2">
        <v>0</v>
      </c>
      <c r="AG23" s="2">
        <v>1</v>
      </c>
      <c r="AH23" s="2">
        <v>6</v>
      </c>
      <c r="AI23" s="3">
        <v>4.5</v>
      </c>
      <c r="AJ23" s="10">
        <v>23</v>
      </c>
      <c r="AK23" s="28">
        <v>3</v>
      </c>
      <c r="AL23" s="3">
        <v>9</v>
      </c>
      <c r="AM23" s="3">
        <v>11</v>
      </c>
      <c r="AN23" s="10">
        <v>23</v>
      </c>
      <c r="AO23" s="28">
        <v>0</v>
      </c>
      <c r="AP23" s="28"/>
      <c r="AQ23" s="3"/>
      <c r="AR23" s="10"/>
      <c r="AS23" s="20">
        <v>0</v>
      </c>
      <c r="AT23" s="28"/>
      <c r="AU23" s="3"/>
      <c r="AV23" s="10"/>
      <c r="AW23" s="20">
        <v>0</v>
      </c>
      <c r="AX23" s="28"/>
      <c r="AY23" s="3"/>
      <c r="AZ23" s="10"/>
      <c r="BA23" s="20"/>
      <c r="BB23" s="28"/>
      <c r="BC23" s="3"/>
      <c r="BD23" s="10"/>
      <c r="BE23" s="23"/>
      <c r="BF23" s="28"/>
      <c r="BG23" s="3"/>
      <c r="BH23" s="10"/>
      <c r="BI23" s="23"/>
      <c r="BJ23" s="28"/>
      <c r="BK23" s="3"/>
      <c r="BL23" s="10"/>
    </row>
    <row r="24" spans="2:64" x14ac:dyDescent="0.3">
      <c r="B24" s="62">
        <f t="shared" si="0"/>
        <v>0</v>
      </c>
      <c r="C24" s="47">
        <f t="shared" si="1"/>
        <v>0</v>
      </c>
      <c r="D24" s="47">
        <f t="shared" si="2"/>
        <v>0</v>
      </c>
      <c r="E24" s="47">
        <f t="shared" si="3"/>
        <v>0</v>
      </c>
      <c r="F24" s="47">
        <f t="shared" si="4"/>
        <v>13</v>
      </c>
      <c r="G24" s="47">
        <f t="shared" si="5"/>
        <v>0</v>
      </c>
      <c r="H24" s="47">
        <f t="shared" si="6"/>
        <v>0</v>
      </c>
      <c r="I24" s="47">
        <f t="shared" si="7"/>
        <v>0</v>
      </c>
      <c r="J24" s="47">
        <f t="shared" si="8"/>
        <v>0</v>
      </c>
      <c r="K24" s="63">
        <f t="shared" si="9"/>
        <v>0</v>
      </c>
      <c r="L24" s="55">
        <f t="shared" si="10"/>
        <v>1.0019578255912052</v>
      </c>
      <c r="N24" s="33">
        <v>5</v>
      </c>
      <c r="O24" s="28">
        <v>875</v>
      </c>
      <c r="P24" s="88" t="s">
        <v>176</v>
      </c>
      <c r="Q24" s="88"/>
      <c r="R24" s="37"/>
      <c r="S24" s="20"/>
      <c r="T24" s="3"/>
      <c r="U24" s="3"/>
      <c r="V24" s="3"/>
      <c r="W24" s="3"/>
      <c r="X24" s="10"/>
      <c r="Y24" s="17"/>
      <c r="Z24" s="2"/>
      <c r="AA24" s="2"/>
      <c r="AB24" s="2"/>
      <c r="AC24" s="3"/>
      <c r="AD24" s="37"/>
      <c r="AE24" s="9">
        <v>0</v>
      </c>
      <c r="AF24" s="2">
        <v>0</v>
      </c>
      <c r="AG24" s="2">
        <v>0</v>
      </c>
      <c r="AH24" s="2"/>
      <c r="AI24" s="3"/>
      <c r="AJ24" s="10"/>
      <c r="AK24" s="28">
        <v>0</v>
      </c>
      <c r="AL24" s="3"/>
      <c r="AM24" s="3"/>
      <c r="AN24" s="10"/>
      <c r="AO24" s="28">
        <v>1</v>
      </c>
      <c r="AP24" s="28">
        <v>10</v>
      </c>
      <c r="AQ24" s="3">
        <v>13</v>
      </c>
      <c r="AR24" s="10">
        <v>23</v>
      </c>
      <c r="AS24" s="20">
        <v>0</v>
      </c>
      <c r="AT24" s="28"/>
      <c r="AU24" s="3"/>
      <c r="AV24" s="10"/>
      <c r="AW24" s="20">
        <v>0</v>
      </c>
      <c r="AX24" s="28"/>
      <c r="AY24" s="3"/>
      <c r="AZ24" s="10"/>
      <c r="BA24" s="20"/>
      <c r="BB24" s="28"/>
      <c r="BC24" s="3"/>
      <c r="BD24" s="10"/>
      <c r="BE24" s="23"/>
      <c r="BF24" s="28"/>
      <c r="BG24" s="3"/>
      <c r="BH24" s="10"/>
      <c r="BI24" s="20"/>
      <c r="BJ24" s="28"/>
      <c r="BK24" s="3"/>
      <c r="BL24" s="10"/>
    </row>
    <row r="25" spans="2:64" x14ac:dyDescent="0.3">
      <c r="B25" s="62">
        <f t="shared" si="0"/>
        <v>0</v>
      </c>
      <c r="C25" s="47">
        <f t="shared" si="1"/>
        <v>0</v>
      </c>
      <c r="D25" s="47">
        <f t="shared" si="2"/>
        <v>0</v>
      </c>
      <c r="E25" s="47">
        <f t="shared" si="3"/>
        <v>13</v>
      </c>
      <c r="F25" s="47">
        <f t="shared" si="4"/>
        <v>20</v>
      </c>
      <c r="G25" s="47">
        <f t="shared" si="5"/>
        <v>0</v>
      </c>
      <c r="H25" s="47">
        <f t="shared" si="6"/>
        <v>10</v>
      </c>
      <c r="I25" s="47">
        <f t="shared" si="7"/>
        <v>0</v>
      </c>
      <c r="J25" s="47">
        <f t="shared" si="8"/>
        <v>0</v>
      </c>
      <c r="K25" s="63">
        <f t="shared" si="9"/>
        <v>0</v>
      </c>
      <c r="L25" s="55">
        <f t="shared" si="10"/>
        <v>3.0058734767736155</v>
      </c>
      <c r="N25" s="33">
        <v>6</v>
      </c>
      <c r="O25" s="28">
        <v>876</v>
      </c>
      <c r="P25" s="88" t="s">
        <v>176</v>
      </c>
      <c r="Q25" s="88"/>
      <c r="R25" s="37"/>
      <c r="S25" s="20"/>
      <c r="T25" s="3"/>
      <c r="U25" s="3"/>
      <c r="V25" s="3"/>
      <c r="W25" s="3"/>
      <c r="X25" s="10"/>
      <c r="Y25" s="17"/>
      <c r="Z25" s="2"/>
      <c r="AA25" s="2"/>
      <c r="AB25" s="2"/>
      <c r="AC25" s="3"/>
      <c r="AD25" s="37"/>
      <c r="AE25" s="9">
        <v>0</v>
      </c>
      <c r="AF25" s="2">
        <v>0</v>
      </c>
      <c r="AG25" s="2">
        <v>0</v>
      </c>
      <c r="AH25" s="2"/>
      <c r="AI25" s="3"/>
      <c r="AJ25" s="10"/>
      <c r="AK25" s="28">
        <v>1</v>
      </c>
      <c r="AL25" s="3">
        <v>10</v>
      </c>
      <c r="AM25" s="3">
        <v>13</v>
      </c>
      <c r="AN25" s="10">
        <v>23</v>
      </c>
      <c r="AO25" s="28">
        <v>1</v>
      </c>
      <c r="AP25" s="28">
        <v>17</v>
      </c>
      <c r="AQ25" s="3">
        <v>20</v>
      </c>
      <c r="AR25" s="10">
        <v>23</v>
      </c>
      <c r="AS25" s="20">
        <v>0</v>
      </c>
      <c r="AT25" s="28"/>
      <c r="AU25" s="3"/>
      <c r="AV25" s="10"/>
      <c r="AW25" s="20">
        <v>1</v>
      </c>
      <c r="AX25" s="28">
        <v>8</v>
      </c>
      <c r="AY25" s="3">
        <v>10</v>
      </c>
      <c r="AZ25" s="10">
        <v>22</v>
      </c>
      <c r="BA25" s="20"/>
      <c r="BB25" s="28"/>
      <c r="BC25" s="3"/>
      <c r="BD25" s="10"/>
      <c r="BE25" s="23"/>
      <c r="BF25" s="28"/>
      <c r="BG25" s="3"/>
      <c r="BH25" s="10"/>
      <c r="BI25" s="20"/>
      <c r="BJ25" s="28"/>
      <c r="BK25" s="3"/>
      <c r="BL25" s="10"/>
    </row>
    <row r="26" spans="2:64" x14ac:dyDescent="0.3">
      <c r="B26" s="62">
        <f t="shared" si="0"/>
        <v>0</v>
      </c>
      <c r="C26" s="47">
        <f t="shared" si="1"/>
        <v>2.7</v>
      </c>
      <c r="D26" s="47">
        <f t="shared" si="2"/>
        <v>0</v>
      </c>
      <c r="E26" s="47">
        <f t="shared" si="3"/>
        <v>136</v>
      </c>
      <c r="F26" s="47">
        <f t="shared" si="4"/>
        <v>0</v>
      </c>
      <c r="G26" s="47">
        <f t="shared" si="5"/>
        <v>48</v>
      </c>
      <c r="H26" s="47">
        <f t="shared" si="6"/>
        <v>0</v>
      </c>
      <c r="I26" s="47">
        <f t="shared" si="7"/>
        <v>0</v>
      </c>
      <c r="J26" s="47">
        <f t="shared" si="8"/>
        <v>0</v>
      </c>
      <c r="K26" s="63">
        <f t="shared" si="9"/>
        <v>0</v>
      </c>
      <c r="L26" s="55">
        <f t="shared" si="10"/>
        <v>13.025451732685667</v>
      </c>
      <c r="N26" s="33">
        <v>7</v>
      </c>
      <c r="O26" s="27">
        <v>877</v>
      </c>
      <c r="P26" s="87" t="s">
        <v>176</v>
      </c>
      <c r="Q26" s="87"/>
      <c r="R26" s="37"/>
      <c r="S26" s="20"/>
      <c r="T26" s="3"/>
      <c r="U26" s="3"/>
      <c r="V26" s="3"/>
      <c r="W26" s="3"/>
      <c r="X26" s="10"/>
      <c r="Y26" s="17"/>
      <c r="Z26" s="2"/>
      <c r="AA26" s="2"/>
      <c r="AB26" s="2"/>
      <c r="AC26" s="3"/>
      <c r="AD26" s="37"/>
      <c r="AE26" s="9">
        <v>0</v>
      </c>
      <c r="AF26" s="2">
        <v>0</v>
      </c>
      <c r="AG26" s="2">
        <v>1</v>
      </c>
      <c r="AH26" s="2"/>
      <c r="AI26" s="3">
        <v>2.7</v>
      </c>
      <c r="AJ26" s="10">
        <v>23</v>
      </c>
      <c r="AK26" s="28">
        <v>8</v>
      </c>
      <c r="AL26" s="3">
        <v>15</v>
      </c>
      <c r="AM26" s="3">
        <v>17</v>
      </c>
      <c r="AN26" s="10">
        <v>23</v>
      </c>
      <c r="AO26" s="28">
        <v>0</v>
      </c>
      <c r="AP26" s="28"/>
      <c r="AQ26" s="3"/>
      <c r="AR26" s="10"/>
      <c r="AS26" s="20">
        <v>4</v>
      </c>
      <c r="AT26" s="28">
        <v>12</v>
      </c>
      <c r="AU26" s="3">
        <v>12</v>
      </c>
      <c r="AV26" s="10">
        <v>23</v>
      </c>
      <c r="AW26" s="20">
        <v>0</v>
      </c>
      <c r="AX26" s="28"/>
      <c r="AY26" s="3"/>
      <c r="AZ26" s="10"/>
      <c r="BA26" s="20"/>
      <c r="BB26" s="28"/>
      <c r="BC26" s="3"/>
      <c r="BD26" s="10"/>
      <c r="BE26" s="23"/>
      <c r="BF26" s="28"/>
      <c r="BG26" s="3"/>
      <c r="BH26" s="10"/>
      <c r="BI26" s="20"/>
      <c r="BJ26" s="28"/>
      <c r="BK26" s="3"/>
      <c r="BL26" s="10"/>
    </row>
    <row r="27" spans="2:64" x14ac:dyDescent="0.3">
      <c r="B27" s="62">
        <f t="shared" si="0"/>
        <v>0</v>
      </c>
      <c r="C27" s="47">
        <f t="shared" si="1"/>
        <v>4.5999999999999996</v>
      </c>
      <c r="D27" s="47">
        <f t="shared" si="2"/>
        <v>0</v>
      </c>
      <c r="E27" s="47">
        <f t="shared" si="3"/>
        <v>0</v>
      </c>
      <c r="F27" s="47">
        <f t="shared" si="4"/>
        <v>60</v>
      </c>
      <c r="G27" s="47">
        <f t="shared" si="5"/>
        <v>8</v>
      </c>
      <c r="H27" s="47">
        <f t="shared" si="6"/>
        <v>0</v>
      </c>
      <c r="I27" s="47">
        <f t="shared" si="7"/>
        <v>0</v>
      </c>
      <c r="J27" s="47">
        <f t="shared" si="8"/>
        <v>0</v>
      </c>
      <c r="K27" s="63">
        <f t="shared" si="9"/>
        <v>0</v>
      </c>
      <c r="L27" s="55">
        <f t="shared" si="10"/>
        <v>9.0176204303208465</v>
      </c>
      <c r="N27" s="33">
        <v>8</v>
      </c>
      <c r="O27" s="28">
        <v>878</v>
      </c>
      <c r="P27" s="88" t="s">
        <v>176</v>
      </c>
      <c r="Q27" s="88"/>
      <c r="R27" s="37"/>
      <c r="S27" s="20"/>
      <c r="T27" s="3"/>
      <c r="U27" s="3"/>
      <c r="V27" s="3"/>
      <c r="W27" s="3"/>
      <c r="X27" s="10"/>
      <c r="Y27" s="17"/>
      <c r="Z27" s="2"/>
      <c r="AA27" s="2"/>
      <c r="AB27" s="2"/>
      <c r="AC27" s="3"/>
      <c r="AD27" s="37"/>
      <c r="AE27" s="9">
        <v>0</v>
      </c>
      <c r="AF27" s="2">
        <v>0</v>
      </c>
      <c r="AG27" s="2">
        <v>2</v>
      </c>
      <c r="AH27" s="2">
        <v>3</v>
      </c>
      <c r="AI27" s="3">
        <v>2.2999999999999998</v>
      </c>
      <c r="AJ27" s="10">
        <v>23</v>
      </c>
      <c r="AK27" s="28">
        <v>0</v>
      </c>
      <c r="AL27" s="3"/>
      <c r="AM27" s="3"/>
      <c r="AN27" s="10"/>
      <c r="AO27" s="28">
        <v>6</v>
      </c>
      <c r="AP27" s="28">
        <v>12</v>
      </c>
      <c r="AQ27" s="3">
        <v>10</v>
      </c>
      <c r="AR27" s="10">
        <v>23</v>
      </c>
      <c r="AS27" s="20">
        <v>1</v>
      </c>
      <c r="AT27" s="28">
        <v>7</v>
      </c>
      <c r="AU27" s="3">
        <v>8</v>
      </c>
      <c r="AV27" s="10">
        <v>23</v>
      </c>
      <c r="AW27" s="20">
        <v>0</v>
      </c>
      <c r="AX27" s="28"/>
      <c r="AY27" s="3"/>
      <c r="AZ27" s="10"/>
      <c r="BA27" s="20"/>
      <c r="BB27" s="28"/>
      <c r="BC27" s="3"/>
      <c r="BD27" s="10"/>
      <c r="BE27" s="23"/>
      <c r="BF27" s="28"/>
      <c r="BG27" s="3"/>
      <c r="BH27" s="10"/>
      <c r="BI27" s="20"/>
      <c r="BJ27" s="28"/>
      <c r="BK27" s="3"/>
      <c r="BL27" s="10"/>
    </row>
    <row r="28" spans="2:64" x14ac:dyDescent="0.3">
      <c r="B28" s="62">
        <f t="shared" si="0"/>
        <v>0</v>
      </c>
      <c r="C28" s="47">
        <f t="shared" si="1"/>
        <v>0</v>
      </c>
      <c r="D28" s="47">
        <f t="shared" si="2"/>
        <v>0</v>
      </c>
      <c r="E28" s="47">
        <f t="shared" si="3"/>
        <v>0</v>
      </c>
      <c r="F28" s="47">
        <f t="shared" si="4"/>
        <v>0</v>
      </c>
      <c r="G28" s="47">
        <f t="shared" si="5"/>
        <v>0</v>
      </c>
      <c r="H28" s="47">
        <f t="shared" si="6"/>
        <v>0</v>
      </c>
      <c r="I28" s="47">
        <f t="shared" si="7"/>
        <v>0</v>
      </c>
      <c r="J28" s="47">
        <f t="shared" si="8"/>
        <v>0</v>
      </c>
      <c r="K28" s="63">
        <f t="shared" si="9"/>
        <v>0</v>
      </c>
      <c r="L28" s="55">
        <f t="shared" si="10"/>
        <v>0</v>
      </c>
      <c r="N28" s="33">
        <v>9</v>
      </c>
      <c r="O28" s="28"/>
      <c r="P28" s="88"/>
      <c r="Q28" s="88"/>
      <c r="R28" s="37"/>
      <c r="S28" s="20"/>
      <c r="T28" s="3"/>
      <c r="U28" s="3"/>
      <c r="V28" s="3"/>
      <c r="W28" s="3"/>
      <c r="X28" s="10"/>
      <c r="Y28" s="17"/>
      <c r="Z28" s="2"/>
      <c r="AA28" s="2"/>
      <c r="AB28" s="2"/>
      <c r="AC28" s="3"/>
      <c r="AD28" s="37"/>
      <c r="AE28" s="9"/>
      <c r="AF28" s="2"/>
      <c r="AG28" s="2"/>
      <c r="AH28" s="2"/>
      <c r="AI28" s="3"/>
      <c r="AJ28" s="10"/>
      <c r="AK28" s="28"/>
      <c r="AL28" s="3"/>
      <c r="AM28" s="3"/>
      <c r="AN28" s="10"/>
      <c r="AO28" s="28"/>
      <c r="AP28" s="28"/>
      <c r="AQ28" s="3"/>
      <c r="AR28" s="10"/>
      <c r="AS28" s="20"/>
      <c r="AT28" s="28"/>
      <c r="AU28" s="3"/>
      <c r="AV28" s="10"/>
      <c r="AW28" s="20"/>
      <c r="AX28" s="28"/>
      <c r="AY28" s="3"/>
      <c r="AZ28" s="10"/>
      <c r="BA28" s="20"/>
      <c r="BB28" s="28"/>
      <c r="BC28" s="3"/>
      <c r="BD28" s="10"/>
      <c r="BE28" s="23"/>
      <c r="BF28" s="28"/>
      <c r="BG28" s="3"/>
      <c r="BH28" s="10"/>
      <c r="BI28" s="20"/>
      <c r="BJ28" s="28"/>
      <c r="BK28" s="3"/>
      <c r="BL28" s="10"/>
    </row>
    <row r="29" spans="2:64" x14ac:dyDescent="0.3">
      <c r="B29" s="62">
        <f t="shared" si="0"/>
        <v>0</v>
      </c>
      <c r="C29" s="47">
        <f t="shared" si="1"/>
        <v>0</v>
      </c>
      <c r="D29" s="47">
        <f t="shared" si="2"/>
        <v>0</v>
      </c>
      <c r="E29" s="47">
        <f t="shared" si="3"/>
        <v>0</v>
      </c>
      <c r="F29" s="47">
        <f t="shared" si="4"/>
        <v>0</v>
      </c>
      <c r="G29" s="47">
        <f t="shared" si="5"/>
        <v>0</v>
      </c>
      <c r="H29" s="47">
        <f t="shared" si="6"/>
        <v>0</v>
      </c>
      <c r="I29" s="47">
        <f t="shared" si="7"/>
        <v>0</v>
      </c>
      <c r="J29" s="47">
        <f t="shared" si="8"/>
        <v>0</v>
      </c>
      <c r="K29" s="63">
        <f t="shared" si="9"/>
        <v>0</v>
      </c>
      <c r="L29" s="55">
        <f t="shared" si="10"/>
        <v>0</v>
      </c>
      <c r="N29" s="33">
        <v>10</v>
      </c>
      <c r="O29" s="27"/>
      <c r="P29" s="87"/>
      <c r="Q29" s="87"/>
      <c r="R29" s="37"/>
      <c r="S29" s="20"/>
      <c r="T29" s="3"/>
      <c r="U29" s="3"/>
      <c r="V29" s="3"/>
      <c r="W29" s="3"/>
      <c r="X29" s="10"/>
      <c r="Y29" s="17"/>
      <c r="Z29" s="2"/>
      <c r="AA29" s="2"/>
      <c r="AB29" s="2"/>
      <c r="AC29" s="3"/>
      <c r="AD29" s="37"/>
      <c r="AE29" s="9"/>
      <c r="AF29" s="2"/>
      <c r="AG29" s="2"/>
      <c r="AH29" s="2"/>
      <c r="AI29" s="3"/>
      <c r="AJ29" s="10"/>
      <c r="AK29" s="28"/>
      <c r="AL29" s="3"/>
      <c r="AM29" s="3"/>
      <c r="AN29" s="10"/>
      <c r="AO29" s="28"/>
      <c r="AP29" s="28"/>
      <c r="AQ29" s="3"/>
      <c r="AR29" s="10"/>
      <c r="AS29" s="20"/>
      <c r="AT29" s="28"/>
      <c r="AU29" s="3"/>
      <c r="AV29" s="10"/>
      <c r="AW29" s="20"/>
      <c r="AX29" s="28"/>
      <c r="AY29" s="3"/>
      <c r="AZ29" s="10"/>
      <c r="BA29" s="20"/>
      <c r="BB29" s="28"/>
      <c r="BC29" s="3"/>
      <c r="BD29" s="10"/>
      <c r="BE29" s="23"/>
      <c r="BF29" s="28"/>
      <c r="BG29" s="3"/>
      <c r="BH29" s="10"/>
      <c r="BI29" s="20"/>
      <c r="BJ29" s="28"/>
      <c r="BK29" s="3"/>
      <c r="BL29" s="10"/>
    </row>
    <row r="30" spans="2:64" x14ac:dyDescent="0.3">
      <c r="B30" s="62">
        <f t="shared" si="0"/>
        <v>0</v>
      </c>
      <c r="C30" s="47">
        <f t="shared" si="1"/>
        <v>0</v>
      </c>
      <c r="D30" s="47">
        <f t="shared" si="2"/>
        <v>0</v>
      </c>
      <c r="E30" s="47">
        <f t="shared" si="3"/>
        <v>0</v>
      </c>
      <c r="F30" s="47">
        <f t="shared" si="4"/>
        <v>0</v>
      </c>
      <c r="G30" s="47">
        <f t="shared" si="5"/>
        <v>0</v>
      </c>
      <c r="H30" s="47">
        <f t="shared" si="6"/>
        <v>0</v>
      </c>
      <c r="I30" s="47">
        <f t="shared" si="7"/>
        <v>0</v>
      </c>
      <c r="J30" s="47">
        <f t="shared" si="8"/>
        <v>0</v>
      </c>
      <c r="K30" s="63">
        <f t="shared" si="9"/>
        <v>0</v>
      </c>
      <c r="L30" s="55">
        <f t="shared" si="10"/>
        <v>0</v>
      </c>
      <c r="N30" s="33">
        <v>11</v>
      </c>
      <c r="O30" s="28"/>
      <c r="P30" s="88"/>
      <c r="Q30" s="88"/>
      <c r="R30" s="37"/>
      <c r="S30" s="20"/>
      <c r="T30" s="3"/>
      <c r="U30" s="3"/>
      <c r="V30" s="3"/>
      <c r="W30" s="3"/>
      <c r="X30" s="10"/>
      <c r="Y30" s="17"/>
      <c r="Z30" s="2"/>
      <c r="AA30" s="2"/>
      <c r="AB30" s="2"/>
      <c r="AC30" s="3"/>
      <c r="AD30" s="37"/>
      <c r="AE30" s="9"/>
      <c r="AF30" s="2"/>
      <c r="AG30" s="2"/>
      <c r="AH30" s="2"/>
      <c r="AI30" s="3"/>
      <c r="AJ30" s="10"/>
      <c r="AK30" s="28"/>
      <c r="AL30" s="3"/>
      <c r="AM30" s="3"/>
      <c r="AN30" s="10"/>
      <c r="AO30" s="28"/>
      <c r="AP30" s="28"/>
      <c r="AQ30" s="3"/>
      <c r="AR30" s="10"/>
      <c r="AS30" s="20"/>
      <c r="AT30" s="28"/>
      <c r="AU30" s="3"/>
      <c r="AV30" s="10"/>
      <c r="AW30" s="20"/>
      <c r="AX30" s="28"/>
      <c r="AY30" s="3"/>
      <c r="AZ30" s="10"/>
      <c r="BA30" s="20"/>
      <c r="BB30" s="28"/>
      <c r="BC30" s="3"/>
      <c r="BD30" s="10"/>
      <c r="BE30" s="23"/>
      <c r="BF30" s="28"/>
      <c r="BG30" s="3"/>
      <c r="BH30" s="10"/>
      <c r="BI30" s="20"/>
      <c r="BJ30" s="28"/>
      <c r="BK30" s="3"/>
      <c r="BL30" s="10"/>
    </row>
    <row r="31" spans="2:64" x14ac:dyDescent="0.3">
      <c r="B31" s="62">
        <f t="shared" si="0"/>
        <v>0</v>
      </c>
      <c r="C31" s="47">
        <f t="shared" si="1"/>
        <v>0</v>
      </c>
      <c r="D31" s="47">
        <f t="shared" si="2"/>
        <v>0</v>
      </c>
      <c r="E31" s="47">
        <f t="shared" si="3"/>
        <v>0</v>
      </c>
      <c r="F31" s="47">
        <f t="shared" si="4"/>
        <v>0</v>
      </c>
      <c r="G31" s="47">
        <f t="shared" si="5"/>
        <v>0</v>
      </c>
      <c r="H31" s="47">
        <f t="shared" si="6"/>
        <v>0</v>
      </c>
      <c r="I31" s="47">
        <f t="shared" si="7"/>
        <v>0</v>
      </c>
      <c r="J31" s="47">
        <f t="shared" si="8"/>
        <v>0</v>
      </c>
      <c r="K31" s="63">
        <f t="shared" si="9"/>
        <v>0</v>
      </c>
      <c r="L31" s="55">
        <f t="shared" si="10"/>
        <v>0</v>
      </c>
      <c r="N31" s="33">
        <v>12</v>
      </c>
      <c r="O31" s="28"/>
      <c r="P31" s="88"/>
      <c r="Q31" s="88"/>
      <c r="R31" s="37"/>
      <c r="S31" s="20"/>
      <c r="T31" s="3"/>
      <c r="U31" s="3"/>
      <c r="V31" s="3"/>
      <c r="W31" s="3"/>
      <c r="X31" s="10"/>
      <c r="Y31" s="17"/>
      <c r="Z31" s="2"/>
      <c r="AA31" s="2"/>
      <c r="AB31" s="2"/>
      <c r="AC31" s="3"/>
      <c r="AD31" s="37"/>
      <c r="AE31" s="9"/>
      <c r="AF31" s="2"/>
      <c r="AG31" s="2"/>
      <c r="AH31" s="2"/>
      <c r="AI31" s="3"/>
      <c r="AJ31" s="10"/>
      <c r="AK31" s="28"/>
      <c r="AL31" s="3"/>
      <c r="AM31" s="3"/>
      <c r="AN31" s="10"/>
      <c r="AO31" s="28"/>
      <c r="AP31" s="28"/>
      <c r="AQ31" s="3"/>
      <c r="AR31" s="10"/>
      <c r="AS31" s="20"/>
      <c r="AT31" s="28"/>
      <c r="AU31" s="3"/>
      <c r="AV31" s="10"/>
      <c r="AW31" s="20"/>
      <c r="AX31" s="28"/>
      <c r="AY31" s="3"/>
      <c r="AZ31" s="10"/>
      <c r="BA31" s="20"/>
      <c r="BB31" s="28"/>
      <c r="BC31" s="3"/>
      <c r="BD31" s="10"/>
      <c r="BE31" s="23"/>
      <c r="BF31" s="28"/>
      <c r="BG31" s="3"/>
      <c r="BH31" s="10"/>
      <c r="BI31" s="20"/>
      <c r="BJ31" s="28"/>
      <c r="BK31" s="3"/>
      <c r="BL31" s="10"/>
    </row>
    <row r="32" spans="2:64" x14ac:dyDescent="0.3">
      <c r="B32" s="62">
        <f t="shared" si="0"/>
        <v>0</v>
      </c>
      <c r="C32" s="47">
        <f t="shared" si="1"/>
        <v>0</v>
      </c>
      <c r="D32" s="47">
        <f t="shared" si="2"/>
        <v>0</v>
      </c>
      <c r="E32" s="47">
        <f t="shared" si="3"/>
        <v>0</v>
      </c>
      <c r="F32" s="47">
        <f t="shared" si="4"/>
        <v>0</v>
      </c>
      <c r="G32" s="47">
        <f t="shared" si="5"/>
        <v>0</v>
      </c>
      <c r="H32" s="47">
        <f t="shared" si="6"/>
        <v>0</v>
      </c>
      <c r="I32" s="47">
        <f t="shared" si="7"/>
        <v>0</v>
      </c>
      <c r="J32" s="47">
        <f t="shared" si="8"/>
        <v>0</v>
      </c>
      <c r="K32" s="63">
        <f t="shared" si="9"/>
        <v>0</v>
      </c>
      <c r="L32" s="55">
        <f t="shared" si="10"/>
        <v>0</v>
      </c>
      <c r="N32" s="33">
        <v>13</v>
      </c>
      <c r="O32" s="28"/>
      <c r="P32" s="88"/>
      <c r="Q32" s="88"/>
      <c r="R32" s="37"/>
      <c r="S32" s="20"/>
      <c r="T32" s="3"/>
      <c r="U32" s="3"/>
      <c r="V32" s="3"/>
      <c r="W32" s="3"/>
      <c r="X32" s="10"/>
      <c r="Y32" s="17"/>
      <c r="Z32" s="2"/>
      <c r="AA32" s="2"/>
      <c r="AB32" s="2"/>
      <c r="AC32" s="3"/>
      <c r="AD32" s="37"/>
      <c r="AE32" s="9"/>
      <c r="AF32" s="2"/>
      <c r="AG32" s="2"/>
      <c r="AH32" s="2"/>
      <c r="AI32" s="3"/>
      <c r="AJ32" s="10"/>
      <c r="AK32" s="28"/>
      <c r="AL32" s="3"/>
      <c r="AM32" s="3"/>
      <c r="AN32" s="10"/>
      <c r="AO32" s="28"/>
      <c r="AP32" s="28"/>
      <c r="AQ32" s="3"/>
      <c r="AR32" s="10"/>
      <c r="AS32" s="20"/>
      <c r="AT32" s="28"/>
      <c r="AU32" s="3"/>
      <c r="AV32" s="10"/>
      <c r="AW32" s="20"/>
      <c r="AX32" s="28"/>
      <c r="AY32" s="3"/>
      <c r="AZ32" s="10"/>
      <c r="BA32" s="20"/>
      <c r="BB32" s="28"/>
      <c r="BC32" s="3"/>
      <c r="BD32" s="10"/>
      <c r="BE32" s="23"/>
      <c r="BF32" s="28"/>
      <c r="BG32" s="3"/>
      <c r="BH32" s="10"/>
      <c r="BI32" s="20"/>
      <c r="BJ32" s="28"/>
      <c r="BK32" s="3"/>
      <c r="BL32" s="10"/>
    </row>
    <row r="33" spans="2:64" x14ac:dyDescent="0.3">
      <c r="B33" s="62">
        <f t="shared" si="0"/>
        <v>0</v>
      </c>
      <c r="C33" s="47">
        <f t="shared" si="1"/>
        <v>0</v>
      </c>
      <c r="D33" s="47">
        <f t="shared" si="2"/>
        <v>0</v>
      </c>
      <c r="E33" s="47">
        <f t="shared" si="3"/>
        <v>0</v>
      </c>
      <c r="F33" s="47">
        <f t="shared" si="4"/>
        <v>0</v>
      </c>
      <c r="G33" s="47">
        <f t="shared" si="5"/>
        <v>0</v>
      </c>
      <c r="H33" s="47">
        <f t="shared" si="6"/>
        <v>0</v>
      </c>
      <c r="I33" s="47">
        <f t="shared" si="7"/>
        <v>0</v>
      </c>
      <c r="J33" s="47">
        <f t="shared" si="8"/>
        <v>0</v>
      </c>
      <c r="K33" s="63">
        <f t="shared" si="9"/>
        <v>0</v>
      </c>
      <c r="L33" s="55">
        <f t="shared" si="10"/>
        <v>0</v>
      </c>
      <c r="N33" s="33">
        <v>14</v>
      </c>
      <c r="O33" s="28"/>
      <c r="P33" s="88"/>
      <c r="Q33" s="88"/>
      <c r="R33" s="37"/>
      <c r="S33" s="20"/>
      <c r="T33" s="3"/>
      <c r="U33" s="3"/>
      <c r="V33" s="3"/>
      <c r="W33" s="3"/>
      <c r="X33" s="10"/>
      <c r="Y33" s="17"/>
      <c r="Z33" s="2"/>
      <c r="AA33" s="2"/>
      <c r="AB33" s="2"/>
      <c r="AC33" s="3"/>
      <c r="AD33" s="37"/>
      <c r="AE33" s="9"/>
      <c r="AF33" s="2"/>
      <c r="AG33" s="2"/>
      <c r="AH33" s="2"/>
      <c r="AI33" s="3"/>
      <c r="AJ33" s="10"/>
      <c r="AK33" s="28"/>
      <c r="AL33" s="3"/>
      <c r="AM33" s="3"/>
      <c r="AN33" s="10"/>
      <c r="AO33" s="28"/>
      <c r="AP33" s="28"/>
      <c r="AQ33" s="3"/>
      <c r="AR33" s="10"/>
      <c r="AS33" s="20"/>
      <c r="AT33" s="28"/>
      <c r="AU33" s="3"/>
      <c r="AV33" s="10"/>
      <c r="AW33" s="20"/>
      <c r="AX33" s="28"/>
      <c r="AY33" s="3"/>
      <c r="AZ33" s="10"/>
      <c r="BA33" s="20"/>
      <c r="BB33" s="28"/>
      <c r="BC33" s="3"/>
      <c r="BD33" s="10"/>
      <c r="BE33" s="23"/>
      <c r="BF33" s="28"/>
      <c r="BG33" s="3"/>
      <c r="BH33" s="10"/>
      <c r="BI33" s="20"/>
      <c r="BJ33" s="28"/>
      <c r="BK33" s="3"/>
      <c r="BL33" s="10"/>
    </row>
    <row r="34" spans="2:64" x14ac:dyDescent="0.3">
      <c r="B34" s="62">
        <f t="shared" si="0"/>
        <v>0</v>
      </c>
      <c r="C34" s="47">
        <f t="shared" si="1"/>
        <v>0</v>
      </c>
      <c r="D34" s="47">
        <f t="shared" si="2"/>
        <v>0</v>
      </c>
      <c r="E34" s="47">
        <f t="shared" si="3"/>
        <v>0</v>
      </c>
      <c r="F34" s="47">
        <f t="shared" si="4"/>
        <v>0</v>
      </c>
      <c r="G34" s="47">
        <f t="shared" si="5"/>
        <v>0</v>
      </c>
      <c r="H34" s="47">
        <f t="shared" si="6"/>
        <v>0</v>
      </c>
      <c r="I34" s="47">
        <f t="shared" si="7"/>
        <v>0</v>
      </c>
      <c r="J34" s="47">
        <f t="shared" si="8"/>
        <v>0</v>
      </c>
      <c r="K34" s="63">
        <f t="shared" si="9"/>
        <v>0</v>
      </c>
      <c r="L34" s="55">
        <f t="shared" si="10"/>
        <v>0</v>
      </c>
      <c r="N34" s="33">
        <v>15</v>
      </c>
      <c r="O34" s="28"/>
      <c r="P34" s="88"/>
      <c r="Q34" s="88"/>
      <c r="R34" s="37"/>
      <c r="S34" s="20"/>
      <c r="T34" s="3"/>
      <c r="U34" s="3"/>
      <c r="V34" s="3"/>
      <c r="W34" s="3"/>
      <c r="X34" s="10"/>
      <c r="Y34" s="17"/>
      <c r="Z34" s="2"/>
      <c r="AA34" s="2"/>
      <c r="AB34" s="2"/>
      <c r="AC34" s="3"/>
      <c r="AD34" s="37"/>
      <c r="AE34" s="9"/>
      <c r="AF34" s="2"/>
      <c r="AG34" s="2"/>
      <c r="AH34" s="2"/>
      <c r="AI34" s="3"/>
      <c r="AJ34" s="10"/>
      <c r="AK34" s="28"/>
      <c r="AL34" s="3"/>
      <c r="AM34" s="3"/>
      <c r="AN34" s="10"/>
      <c r="AO34" s="28"/>
      <c r="AP34" s="28"/>
      <c r="AQ34" s="3"/>
      <c r="AR34" s="10"/>
      <c r="AS34" s="20"/>
      <c r="AT34" s="28"/>
      <c r="AU34" s="3"/>
      <c r="AV34" s="10"/>
      <c r="AW34" s="20"/>
      <c r="AX34" s="28"/>
      <c r="AY34" s="3"/>
      <c r="AZ34" s="10"/>
      <c r="BA34" s="20"/>
      <c r="BB34" s="28"/>
      <c r="BC34" s="3"/>
      <c r="BD34" s="10"/>
      <c r="BE34" s="23"/>
      <c r="BF34" s="28"/>
      <c r="BG34" s="3"/>
      <c r="BH34" s="10"/>
      <c r="BI34" s="20"/>
      <c r="BJ34" s="28"/>
      <c r="BK34" s="3"/>
      <c r="BL34" s="10"/>
    </row>
    <row r="35" spans="2:64" x14ac:dyDescent="0.3">
      <c r="B35" s="62">
        <f t="shared" si="0"/>
        <v>0</v>
      </c>
      <c r="C35" s="47">
        <f t="shared" si="1"/>
        <v>0</v>
      </c>
      <c r="D35" s="47">
        <f t="shared" si="2"/>
        <v>0</v>
      </c>
      <c r="E35" s="47">
        <f t="shared" si="3"/>
        <v>0</v>
      </c>
      <c r="F35" s="47">
        <f t="shared" si="4"/>
        <v>0</v>
      </c>
      <c r="G35" s="47">
        <f t="shared" si="5"/>
        <v>0</v>
      </c>
      <c r="H35" s="47">
        <f t="shared" si="6"/>
        <v>0</v>
      </c>
      <c r="I35" s="47">
        <f t="shared" si="7"/>
        <v>0</v>
      </c>
      <c r="J35" s="47">
        <f t="shared" si="8"/>
        <v>0</v>
      </c>
      <c r="K35" s="63">
        <f t="shared" si="9"/>
        <v>0</v>
      </c>
      <c r="L35" s="55">
        <f t="shared" si="10"/>
        <v>0</v>
      </c>
      <c r="N35" s="33">
        <v>16</v>
      </c>
      <c r="O35" s="28"/>
      <c r="P35" s="88"/>
      <c r="Q35" s="88"/>
      <c r="R35" s="37"/>
      <c r="S35" s="20"/>
      <c r="T35" s="3"/>
      <c r="U35" s="3"/>
      <c r="V35" s="3"/>
      <c r="W35" s="3"/>
      <c r="X35" s="10"/>
      <c r="Y35" s="17"/>
      <c r="Z35" s="2"/>
      <c r="AA35" s="2"/>
      <c r="AB35" s="2"/>
      <c r="AC35" s="3"/>
      <c r="AD35" s="37"/>
      <c r="AE35" s="9"/>
      <c r="AF35" s="2"/>
      <c r="AG35" s="2"/>
      <c r="AH35" s="2"/>
      <c r="AI35" s="3"/>
      <c r="AJ35" s="10"/>
      <c r="AK35" s="28"/>
      <c r="AL35" s="3"/>
      <c r="AM35" s="3"/>
      <c r="AN35" s="10"/>
      <c r="AO35" s="28"/>
      <c r="AP35" s="28"/>
      <c r="AQ35" s="3"/>
      <c r="AR35" s="10"/>
      <c r="AS35" s="20"/>
      <c r="AT35" s="28"/>
      <c r="AU35" s="3"/>
      <c r="AV35" s="10"/>
      <c r="AW35" s="20"/>
      <c r="AX35" s="28"/>
      <c r="AY35" s="3"/>
      <c r="AZ35" s="10"/>
      <c r="BA35" s="20"/>
      <c r="BB35" s="28"/>
      <c r="BC35" s="3"/>
      <c r="BD35" s="10"/>
      <c r="BE35" s="23"/>
      <c r="BF35" s="28"/>
      <c r="BG35" s="3"/>
      <c r="BH35" s="10"/>
      <c r="BI35" s="20"/>
      <c r="BJ35" s="28"/>
      <c r="BK35" s="3"/>
      <c r="BL35" s="10"/>
    </row>
    <row r="36" spans="2:64" x14ac:dyDescent="0.3">
      <c r="B36" s="62">
        <f t="shared" si="0"/>
        <v>0</v>
      </c>
      <c r="C36" s="47">
        <f t="shared" si="1"/>
        <v>0</v>
      </c>
      <c r="D36" s="47">
        <f t="shared" si="2"/>
        <v>0</v>
      </c>
      <c r="E36" s="47">
        <f t="shared" si="3"/>
        <v>0</v>
      </c>
      <c r="F36" s="47">
        <f t="shared" si="4"/>
        <v>0</v>
      </c>
      <c r="G36" s="47">
        <f t="shared" si="5"/>
        <v>0</v>
      </c>
      <c r="H36" s="47">
        <f t="shared" si="6"/>
        <v>0</v>
      </c>
      <c r="I36" s="47">
        <f t="shared" si="7"/>
        <v>0</v>
      </c>
      <c r="J36" s="47">
        <f t="shared" si="8"/>
        <v>0</v>
      </c>
      <c r="K36" s="63">
        <f t="shared" si="9"/>
        <v>0</v>
      </c>
      <c r="L36" s="55">
        <f t="shared" si="10"/>
        <v>0</v>
      </c>
      <c r="N36" s="33">
        <v>17</v>
      </c>
      <c r="O36" s="28"/>
      <c r="P36" s="88"/>
      <c r="Q36" s="88"/>
      <c r="R36" s="37"/>
      <c r="S36" s="20"/>
      <c r="T36" s="3"/>
      <c r="U36" s="3"/>
      <c r="V36" s="3"/>
      <c r="W36" s="3"/>
      <c r="X36" s="10"/>
      <c r="Y36" s="17"/>
      <c r="Z36" s="2"/>
      <c r="AA36" s="2"/>
      <c r="AB36" s="2"/>
      <c r="AC36" s="3"/>
      <c r="AD36" s="37"/>
      <c r="AE36" s="9"/>
      <c r="AF36" s="2"/>
      <c r="AG36" s="2"/>
      <c r="AH36" s="2"/>
      <c r="AI36" s="3"/>
      <c r="AJ36" s="10"/>
      <c r="AK36" s="28"/>
      <c r="AL36" s="3"/>
      <c r="AM36" s="3"/>
      <c r="AN36" s="10"/>
      <c r="AO36" s="28"/>
      <c r="AP36" s="28"/>
      <c r="AQ36" s="3"/>
      <c r="AR36" s="10"/>
      <c r="AS36" s="20"/>
      <c r="AT36" s="28"/>
      <c r="AU36" s="3"/>
      <c r="AV36" s="10"/>
      <c r="AW36" s="20"/>
      <c r="AX36" s="28"/>
      <c r="AY36" s="3"/>
      <c r="AZ36" s="10"/>
      <c r="BA36" s="20"/>
      <c r="BB36" s="28"/>
      <c r="BC36" s="3"/>
      <c r="BD36" s="10"/>
      <c r="BE36" s="23"/>
      <c r="BF36" s="28"/>
      <c r="BG36" s="3"/>
      <c r="BH36" s="10"/>
      <c r="BI36" s="20"/>
      <c r="BJ36" s="28"/>
      <c r="BK36" s="3"/>
      <c r="BL36" s="10"/>
    </row>
    <row r="37" spans="2:64" x14ac:dyDescent="0.3">
      <c r="B37" s="62">
        <f t="shared" si="0"/>
        <v>0</v>
      </c>
      <c r="C37" s="47">
        <f t="shared" si="1"/>
        <v>0</v>
      </c>
      <c r="D37" s="47">
        <f t="shared" si="2"/>
        <v>0</v>
      </c>
      <c r="E37" s="47">
        <f t="shared" si="3"/>
        <v>0</v>
      </c>
      <c r="F37" s="47">
        <f t="shared" si="4"/>
        <v>0</v>
      </c>
      <c r="G37" s="47">
        <f t="shared" si="5"/>
        <v>0</v>
      </c>
      <c r="H37" s="47">
        <f t="shared" si="6"/>
        <v>0</v>
      </c>
      <c r="I37" s="47">
        <f t="shared" si="7"/>
        <v>0</v>
      </c>
      <c r="J37" s="47">
        <f t="shared" si="8"/>
        <v>0</v>
      </c>
      <c r="K37" s="63">
        <f t="shared" si="9"/>
        <v>0</v>
      </c>
      <c r="L37" s="55">
        <f t="shared" si="10"/>
        <v>0</v>
      </c>
      <c r="N37" s="33">
        <v>18</v>
      </c>
      <c r="O37" s="28"/>
      <c r="P37" s="88"/>
      <c r="Q37" s="88"/>
      <c r="R37" s="37"/>
      <c r="S37" s="20"/>
      <c r="T37" s="3"/>
      <c r="U37" s="3"/>
      <c r="V37" s="3"/>
      <c r="W37" s="3"/>
      <c r="X37" s="10"/>
      <c r="Y37" s="17"/>
      <c r="Z37" s="2"/>
      <c r="AA37" s="2"/>
      <c r="AB37" s="2"/>
      <c r="AC37" s="3"/>
      <c r="AD37" s="37"/>
      <c r="AE37" s="9"/>
      <c r="AF37" s="2"/>
      <c r="AG37" s="2"/>
      <c r="AH37" s="2"/>
      <c r="AI37" s="3"/>
      <c r="AJ37" s="10"/>
      <c r="AK37" s="28"/>
      <c r="AL37" s="3"/>
      <c r="AM37" s="3"/>
      <c r="AN37" s="10"/>
      <c r="AO37" s="28"/>
      <c r="AP37" s="28"/>
      <c r="AQ37" s="3"/>
      <c r="AR37" s="10"/>
      <c r="AS37" s="20"/>
      <c r="AT37" s="28"/>
      <c r="AU37" s="3"/>
      <c r="AV37" s="10"/>
      <c r="AW37" s="20"/>
      <c r="AX37" s="28"/>
      <c r="AY37" s="3"/>
      <c r="AZ37" s="10"/>
      <c r="BA37" s="20"/>
      <c r="BB37" s="28"/>
      <c r="BC37" s="3"/>
      <c r="BD37" s="10"/>
      <c r="BE37" s="23"/>
      <c r="BF37" s="28"/>
      <c r="BG37" s="3"/>
      <c r="BH37" s="10"/>
      <c r="BI37" s="20"/>
      <c r="BJ37" s="28"/>
      <c r="BK37" s="3"/>
      <c r="BL37" s="10"/>
    </row>
    <row r="38" spans="2:64" x14ac:dyDescent="0.3">
      <c r="B38" s="62">
        <f t="shared" si="0"/>
        <v>0</v>
      </c>
      <c r="C38" s="47">
        <f t="shared" si="1"/>
        <v>0</v>
      </c>
      <c r="D38" s="47">
        <f t="shared" si="2"/>
        <v>0</v>
      </c>
      <c r="E38" s="47">
        <f t="shared" si="3"/>
        <v>0</v>
      </c>
      <c r="F38" s="47">
        <f t="shared" si="4"/>
        <v>0</v>
      </c>
      <c r="G38" s="47">
        <f t="shared" si="5"/>
        <v>0</v>
      </c>
      <c r="H38" s="47">
        <f t="shared" si="6"/>
        <v>0</v>
      </c>
      <c r="I38" s="47">
        <f t="shared" si="7"/>
        <v>0</v>
      </c>
      <c r="J38" s="47">
        <f t="shared" si="8"/>
        <v>0</v>
      </c>
      <c r="K38" s="63">
        <f t="shared" si="9"/>
        <v>0</v>
      </c>
      <c r="L38" s="55">
        <f t="shared" si="10"/>
        <v>0</v>
      </c>
      <c r="N38" s="33">
        <v>19</v>
      </c>
      <c r="O38" s="28"/>
      <c r="P38" s="88"/>
      <c r="Q38" s="88"/>
      <c r="R38" s="37"/>
      <c r="S38" s="20"/>
      <c r="T38" s="3"/>
      <c r="U38" s="3"/>
      <c r="V38" s="3"/>
      <c r="W38" s="3"/>
      <c r="X38" s="10"/>
      <c r="Y38" s="17"/>
      <c r="Z38" s="2"/>
      <c r="AA38" s="2"/>
      <c r="AB38" s="2"/>
      <c r="AC38" s="3"/>
      <c r="AD38" s="37"/>
      <c r="AE38" s="9"/>
      <c r="AF38" s="2"/>
      <c r="AG38" s="2"/>
      <c r="AH38" s="2"/>
      <c r="AI38" s="3"/>
      <c r="AJ38" s="10"/>
      <c r="AK38" s="28"/>
      <c r="AL38" s="3"/>
      <c r="AM38" s="3"/>
      <c r="AN38" s="10"/>
      <c r="AO38" s="28"/>
      <c r="AP38" s="28"/>
      <c r="AQ38" s="3"/>
      <c r="AR38" s="10"/>
      <c r="AS38" s="20"/>
      <c r="AT38" s="28"/>
      <c r="AU38" s="3"/>
      <c r="AV38" s="10"/>
      <c r="AW38" s="20"/>
      <c r="AX38" s="28"/>
      <c r="AY38" s="3"/>
      <c r="AZ38" s="10"/>
      <c r="BA38" s="20"/>
      <c r="BB38" s="28"/>
      <c r="BC38" s="3"/>
      <c r="BD38" s="10"/>
      <c r="BE38" s="23"/>
      <c r="BF38" s="28"/>
      <c r="BG38" s="3"/>
      <c r="BH38" s="10"/>
      <c r="BI38" s="20"/>
      <c r="BJ38" s="28"/>
      <c r="BK38" s="3"/>
      <c r="BL38" s="10"/>
    </row>
    <row r="39" spans="2:64" x14ac:dyDescent="0.3">
      <c r="B39" s="62">
        <f t="shared" si="0"/>
        <v>0</v>
      </c>
      <c r="C39" s="47">
        <f t="shared" si="1"/>
        <v>0</v>
      </c>
      <c r="D39" s="47">
        <f t="shared" si="2"/>
        <v>0</v>
      </c>
      <c r="E39" s="47">
        <f t="shared" si="3"/>
        <v>0</v>
      </c>
      <c r="F39" s="47">
        <f t="shared" si="4"/>
        <v>0</v>
      </c>
      <c r="G39" s="47">
        <f t="shared" si="5"/>
        <v>0</v>
      </c>
      <c r="H39" s="47">
        <f t="shared" si="6"/>
        <v>0</v>
      </c>
      <c r="I39" s="47">
        <f t="shared" si="7"/>
        <v>0</v>
      </c>
      <c r="J39" s="47">
        <f t="shared" si="8"/>
        <v>0</v>
      </c>
      <c r="K39" s="63">
        <f t="shared" si="9"/>
        <v>0</v>
      </c>
      <c r="L39" s="55">
        <f t="shared" si="10"/>
        <v>0</v>
      </c>
      <c r="N39" s="33">
        <v>20</v>
      </c>
      <c r="O39" s="28"/>
      <c r="P39" s="88"/>
      <c r="Q39" s="88"/>
      <c r="R39" s="37"/>
      <c r="S39" s="20"/>
      <c r="T39" s="3"/>
      <c r="U39" s="3"/>
      <c r="V39" s="3"/>
      <c r="W39" s="3"/>
      <c r="X39" s="10"/>
      <c r="Y39" s="17"/>
      <c r="Z39" s="2"/>
      <c r="AA39" s="2"/>
      <c r="AB39" s="2"/>
      <c r="AC39" s="3"/>
      <c r="AD39" s="37"/>
      <c r="AE39" s="9"/>
      <c r="AF39" s="2"/>
      <c r="AG39" s="2"/>
      <c r="AH39" s="2"/>
      <c r="AI39" s="3"/>
      <c r="AJ39" s="10"/>
      <c r="AK39" s="28"/>
      <c r="AL39" s="3"/>
      <c r="AM39" s="3"/>
      <c r="AN39" s="10"/>
      <c r="AO39" s="28"/>
      <c r="AP39" s="28"/>
      <c r="AQ39" s="3"/>
      <c r="AR39" s="10"/>
      <c r="AS39" s="20"/>
      <c r="AT39" s="28"/>
      <c r="AU39" s="3"/>
      <c r="AV39" s="10"/>
      <c r="AW39" s="20"/>
      <c r="AX39" s="28"/>
      <c r="AY39" s="3"/>
      <c r="AZ39" s="10"/>
      <c r="BA39" s="20"/>
      <c r="BB39" s="28"/>
      <c r="BC39" s="3"/>
      <c r="BD39" s="10"/>
      <c r="BE39" s="23"/>
      <c r="BF39" s="28"/>
      <c r="BG39" s="3"/>
      <c r="BH39" s="10"/>
      <c r="BI39" s="20"/>
      <c r="BJ39" s="28"/>
      <c r="BK39" s="3"/>
      <c r="BL39" s="10"/>
    </row>
    <row r="40" spans="2:64" x14ac:dyDescent="0.3">
      <c r="B40" s="62">
        <f t="shared" si="0"/>
        <v>0</v>
      </c>
      <c r="C40" s="47">
        <f t="shared" si="1"/>
        <v>0</v>
      </c>
      <c r="D40" s="47">
        <f t="shared" si="2"/>
        <v>0</v>
      </c>
      <c r="E40" s="47">
        <f t="shared" si="3"/>
        <v>0</v>
      </c>
      <c r="F40" s="47">
        <f t="shared" si="4"/>
        <v>0</v>
      </c>
      <c r="G40" s="47">
        <f t="shared" si="5"/>
        <v>0</v>
      </c>
      <c r="H40" s="47">
        <f t="shared" si="6"/>
        <v>0</v>
      </c>
      <c r="I40" s="47">
        <f t="shared" si="7"/>
        <v>0</v>
      </c>
      <c r="J40" s="47">
        <f t="shared" si="8"/>
        <v>0</v>
      </c>
      <c r="K40" s="63">
        <f t="shared" si="9"/>
        <v>0</v>
      </c>
      <c r="L40" s="55">
        <f t="shared" si="10"/>
        <v>0</v>
      </c>
      <c r="N40" s="33">
        <v>21</v>
      </c>
      <c r="O40" s="28"/>
      <c r="P40" s="88"/>
      <c r="Q40" s="88"/>
      <c r="R40" s="37"/>
      <c r="S40" s="20"/>
      <c r="T40" s="3"/>
      <c r="U40" s="3"/>
      <c r="V40" s="3"/>
      <c r="W40" s="3"/>
      <c r="X40" s="10"/>
      <c r="Y40" s="17"/>
      <c r="Z40" s="2"/>
      <c r="AA40" s="2"/>
      <c r="AB40" s="2"/>
      <c r="AC40" s="3"/>
      <c r="AD40" s="37"/>
      <c r="AE40" s="9"/>
      <c r="AF40" s="2"/>
      <c r="AG40" s="2"/>
      <c r="AH40" s="2"/>
      <c r="AI40" s="3"/>
      <c r="AJ40" s="10"/>
      <c r="AK40" s="28"/>
      <c r="AL40" s="3"/>
      <c r="AM40" s="3"/>
      <c r="AN40" s="10"/>
      <c r="AO40" s="28"/>
      <c r="AP40" s="28"/>
      <c r="AQ40" s="3"/>
      <c r="AR40" s="10"/>
      <c r="AS40" s="20"/>
      <c r="AT40" s="28"/>
      <c r="AU40" s="3"/>
      <c r="AV40" s="10"/>
      <c r="AW40" s="20"/>
      <c r="AX40" s="28"/>
      <c r="AY40" s="3"/>
      <c r="AZ40" s="10"/>
      <c r="BA40" s="20"/>
      <c r="BB40" s="28"/>
      <c r="BC40" s="3"/>
      <c r="BD40" s="10"/>
      <c r="BE40" s="23"/>
      <c r="BF40" s="28"/>
      <c r="BG40" s="3"/>
      <c r="BH40" s="10"/>
      <c r="BI40" s="20"/>
      <c r="BJ40" s="28"/>
      <c r="BK40" s="3"/>
      <c r="BL40" s="10"/>
    </row>
    <row r="41" spans="2:64" x14ac:dyDescent="0.3">
      <c r="B41" s="62">
        <f t="shared" si="0"/>
        <v>0</v>
      </c>
      <c r="C41" s="47">
        <f t="shared" si="1"/>
        <v>0</v>
      </c>
      <c r="D41" s="47">
        <f t="shared" si="2"/>
        <v>0</v>
      </c>
      <c r="E41" s="47">
        <f t="shared" si="3"/>
        <v>0</v>
      </c>
      <c r="F41" s="47">
        <f t="shared" si="4"/>
        <v>0</v>
      </c>
      <c r="G41" s="47">
        <f t="shared" si="5"/>
        <v>0</v>
      </c>
      <c r="H41" s="47">
        <f t="shared" si="6"/>
        <v>0</v>
      </c>
      <c r="I41" s="47">
        <f t="shared" si="7"/>
        <v>0</v>
      </c>
      <c r="J41" s="47">
        <f t="shared" si="8"/>
        <v>0</v>
      </c>
      <c r="K41" s="63">
        <f t="shared" si="9"/>
        <v>0</v>
      </c>
      <c r="L41" s="55">
        <f t="shared" si="10"/>
        <v>0</v>
      </c>
      <c r="N41" s="33">
        <v>22</v>
      </c>
      <c r="O41" s="28"/>
      <c r="P41" s="88"/>
      <c r="Q41" s="88"/>
      <c r="R41" s="37"/>
      <c r="S41" s="20"/>
      <c r="T41" s="3"/>
      <c r="U41" s="3"/>
      <c r="V41" s="3"/>
      <c r="W41" s="3"/>
      <c r="X41" s="10"/>
      <c r="Y41" s="17"/>
      <c r="Z41" s="2"/>
      <c r="AA41" s="2"/>
      <c r="AB41" s="2"/>
      <c r="AC41" s="3"/>
      <c r="AD41" s="37"/>
      <c r="AE41" s="9"/>
      <c r="AF41" s="2"/>
      <c r="AG41" s="2"/>
      <c r="AH41" s="2"/>
      <c r="AI41" s="3"/>
      <c r="AJ41" s="10"/>
      <c r="AK41" s="28"/>
      <c r="AL41" s="3"/>
      <c r="AM41" s="3"/>
      <c r="AN41" s="10"/>
      <c r="AO41" s="28"/>
      <c r="AP41" s="28"/>
      <c r="AQ41" s="3"/>
      <c r="AR41" s="10"/>
      <c r="AS41" s="20"/>
      <c r="AT41" s="28"/>
      <c r="AU41" s="3"/>
      <c r="AV41" s="10"/>
      <c r="AW41" s="20"/>
      <c r="AX41" s="28"/>
      <c r="AY41" s="3"/>
      <c r="AZ41" s="10"/>
      <c r="BA41" s="20"/>
      <c r="BB41" s="28"/>
      <c r="BC41" s="3"/>
      <c r="BD41" s="10"/>
      <c r="BE41" s="23"/>
      <c r="BF41" s="28"/>
      <c r="BG41" s="3"/>
      <c r="BH41" s="10"/>
      <c r="BI41" s="20"/>
      <c r="BJ41" s="28"/>
      <c r="BK41" s="3"/>
      <c r="BL41" s="10"/>
    </row>
    <row r="42" spans="2:64" x14ac:dyDescent="0.3">
      <c r="B42" s="62">
        <f t="shared" si="0"/>
        <v>0</v>
      </c>
      <c r="C42" s="47">
        <f t="shared" si="1"/>
        <v>0</v>
      </c>
      <c r="D42" s="47">
        <f t="shared" si="2"/>
        <v>0</v>
      </c>
      <c r="E42" s="47">
        <f t="shared" si="3"/>
        <v>0</v>
      </c>
      <c r="F42" s="47">
        <f t="shared" si="4"/>
        <v>0</v>
      </c>
      <c r="G42" s="47">
        <f t="shared" si="5"/>
        <v>0</v>
      </c>
      <c r="H42" s="47">
        <f t="shared" si="6"/>
        <v>0</v>
      </c>
      <c r="I42" s="47">
        <f t="shared" si="7"/>
        <v>0</v>
      </c>
      <c r="J42" s="47">
        <f t="shared" si="8"/>
        <v>0</v>
      </c>
      <c r="K42" s="63">
        <f t="shared" si="9"/>
        <v>0</v>
      </c>
      <c r="L42" s="55">
        <f t="shared" si="10"/>
        <v>0</v>
      </c>
      <c r="N42" s="33">
        <v>23</v>
      </c>
      <c r="O42" s="28"/>
      <c r="P42" s="88"/>
      <c r="Q42" s="88"/>
      <c r="R42" s="37"/>
      <c r="S42" s="20"/>
      <c r="T42" s="3"/>
      <c r="U42" s="3"/>
      <c r="V42" s="3"/>
      <c r="W42" s="3"/>
      <c r="X42" s="10"/>
      <c r="Y42" s="17"/>
      <c r="Z42" s="2"/>
      <c r="AA42" s="2"/>
      <c r="AB42" s="2"/>
      <c r="AC42" s="3"/>
      <c r="AD42" s="37"/>
      <c r="AE42" s="9"/>
      <c r="AF42" s="2"/>
      <c r="AG42" s="2"/>
      <c r="AH42" s="2"/>
      <c r="AI42" s="3"/>
      <c r="AJ42" s="10"/>
      <c r="AK42" s="28"/>
      <c r="AL42" s="3"/>
      <c r="AM42" s="3"/>
      <c r="AN42" s="10"/>
      <c r="AO42" s="28"/>
      <c r="AP42" s="28"/>
      <c r="AQ42" s="3"/>
      <c r="AR42" s="10"/>
      <c r="AS42" s="20"/>
      <c r="AT42" s="28"/>
      <c r="AU42" s="3"/>
      <c r="AV42" s="10"/>
      <c r="AW42" s="20"/>
      <c r="AX42" s="28"/>
      <c r="AY42" s="3"/>
      <c r="AZ42" s="10"/>
      <c r="BA42" s="20"/>
      <c r="BB42" s="28"/>
      <c r="BC42" s="3"/>
      <c r="BD42" s="10"/>
      <c r="BE42" s="23"/>
      <c r="BF42" s="28"/>
      <c r="BG42" s="3"/>
      <c r="BH42" s="10"/>
      <c r="BI42" s="20"/>
      <c r="BJ42" s="28"/>
      <c r="BK42" s="3"/>
      <c r="BL42" s="10"/>
    </row>
    <row r="43" spans="2:64" x14ac:dyDescent="0.3">
      <c r="B43" s="62">
        <f t="shared" si="0"/>
        <v>0</v>
      </c>
      <c r="C43" s="47">
        <f t="shared" si="1"/>
        <v>0</v>
      </c>
      <c r="D43" s="47">
        <f t="shared" si="2"/>
        <v>0</v>
      </c>
      <c r="E43" s="47">
        <f t="shared" si="3"/>
        <v>0</v>
      </c>
      <c r="F43" s="47">
        <f t="shared" si="4"/>
        <v>0</v>
      </c>
      <c r="G43" s="47">
        <f t="shared" si="5"/>
        <v>0</v>
      </c>
      <c r="H43" s="47">
        <f t="shared" si="6"/>
        <v>0</v>
      </c>
      <c r="I43" s="47">
        <f t="shared" si="7"/>
        <v>0</v>
      </c>
      <c r="J43" s="47">
        <f t="shared" si="8"/>
        <v>0</v>
      </c>
      <c r="K43" s="63">
        <f t="shared" si="9"/>
        <v>0</v>
      </c>
      <c r="L43" s="55">
        <f t="shared" si="10"/>
        <v>0</v>
      </c>
      <c r="N43" s="33">
        <v>24</v>
      </c>
      <c r="O43" s="28"/>
      <c r="P43" s="88"/>
      <c r="Q43" s="88"/>
      <c r="R43" s="37"/>
      <c r="S43" s="20"/>
      <c r="T43" s="3"/>
      <c r="U43" s="3"/>
      <c r="V43" s="3"/>
      <c r="W43" s="3"/>
      <c r="X43" s="10"/>
      <c r="Y43" s="17"/>
      <c r="Z43" s="2"/>
      <c r="AA43" s="2"/>
      <c r="AB43" s="2"/>
      <c r="AC43" s="3"/>
      <c r="AD43" s="37"/>
      <c r="AE43" s="9"/>
      <c r="AF43" s="2"/>
      <c r="AG43" s="2"/>
      <c r="AH43" s="2"/>
      <c r="AI43" s="3"/>
      <c r="AJ43" s="10"/>
      <c r="AK43" s="28"/>
      <c r="AL43" s="3"/>
      <c r="AM43" s="3"/>
      <c r="AN43" s="10"/>
      <c r="AO43" s="28"/>
      <c r="AP43" s="28"/>
      <c r="AQ43" s="3"/>
      <c r="AR43" s="10"/>
      <c r="AS43" s="20"/>
      <c r="AT43" s="28"/>
      <c r="AU43" s="3"/>
      <c r="AV43" s="10"/>
      <c r="AW43" s="20"/>
      <c r="AX43" s="28"/>
      <c r="AY43" s="3"/>
      <c r="AZ43" s="10"/>
      <c r="BA43" s="20"/>
      <c r="BB43" s="28"/>
      <c r="BC43" s="3"/>
      <c r="BD43" s="10"/>
      <c r="BE43" s="23"/>
      <c r="BF43" s="28"/>
      <c r="BG43" s="3"/>
      <c r="BH43" s="10"/>
      <c r="BI43" s="20"/>
      <c r="BJ43" s="28"/>
      <c r="BK43" s="3"/>
      <c r="BL43" s="10"/>
    </row>
    <row r="44" spans="2:64" x14ac:dyDescent="0.3">
      <c r="B44" s="62">
        <f t="shared" si="0"/>
        <v>0</v>
      </c>
      <c r="C44" s="47">
        <f t="shared" si="1"/>
        <v>0</v>
      </c>
      <c r="D44" s="47">
        <f t="shared" si="2"/>
        <v>0</v>
      </c>
      <c r="E44" s="47">
        <f t="shared" si="3"/>
        <v>0</v>
      </c>
      <c r="F44" s="47">
        <f t="shared" si="4"/>
        <v>0</v>
      </c>
      <c r="G44" s="47">
        <f t="shared" si="5"/>
        <v>0</v>
      </c>
      <c r="H44" s="47">
        <f t="shared" si="6"/>
        <v>0</v>
      </c>
      <c r="I44" s="47">
        <f t="shared" si="7"/>
        <v>0</v>
      </c>
      <c r="J44" s="47">
        <f t="shared" si="8"/>
        <v>0</v>
      </c>
      <c r="K44" s="63">
        <f t="shared" si="9"/>
        <v>0</v>
      </c>
      <c r="L44" s="55">
        <f t="shared" si="10"/>
        <v>0</v>
      </c>
      <c r="N44" s="33">
        <v>25</v>
      </c>
      <c r="O44" s="28"/>
      <c r="P44" s="88"/>
      <c r="Q44" s="88"/>
      <c r="R44" s="37"/>
      <c r="S44" s="20"/>
      <c r="T44" s="3"/>
      <c r="U44" s="3"/>
      <c r="V44" s="3"/>
      <c r="W44" s="3"/>
      <c r="X44" s="10"/>
      <c r="Y44" s="17"/>
      <c r="Z44" s="2"/>
      <c r="AA44" s="2"/>
      <c r="AB44" s="2"/>
      <c r="AC44" s="3"/>
      <c r="AD44" s="37"/>
      <c r="AE44" s="9"/>
      <c r="AF44" s="2"/>
      <c r="AG44" s="2"/>
      <c r="AH44" s="2"/>
      <c r="AI44" s="3"/>
      <c r="AJ44" s="10"/>
      <c r="AK44" s="28"/>
      <c r="AL44" s="3"/>
      <c r="AM44" s="3"/>
      <c r="AN44" s="10"/>
      <c r="AO44" s="28"/>
      <c r="AP44" s="28"/>
      <c r="AQ44" s="3"/>
      <c r="AR44" s="10"/>
      <c r="AS44" s="20"/>
      <c r="AT44" s="28"/>
      <c r="AU44" s="3"/>
      <c r="AV44" s="10"/>
      <c r="AW44" s="20"/>
      <c r="AX44" s="28"/>
      <c r="AY44" s="3"/>
      <c r="AZ44" s="10"/>
      <c r="BA44" s="20"/>
      <c r="BB44" s="28"/>
      <c r="BC44" s="3"/>
      <c r="BD44" s="10"/>
      <c r="BE44" s="23"/>
      <c r="BF44" s="28"/>
      <c r="BG44" s="3"/>
      <c r="BH44" s="10"/>
      <c r="BI44" s="20"/>
      <c r="BJ44" s="28"/>
      <c r="BK44" s="3"/>
      <c r="BL44" s="10"/>
    </row>
    <row r="45" spans="2:64" x14ac:dyDescent="0.3">
      <c r="B45" s="62">
        <f t="shared" si="0"/>
        <v>0</v>
      </c>
      <c r="C45" s="47">
        <f t="shared" si="1"/>
        <v>0</v>
      </c>
      <c r="D45" s="47">
        <f t="shared" si="2"/>
        <v>0</v>
      </c>
      <c r="E45" s="47">
        <f t="shared" si="3"/>
        <v>0</v>
      </c>
      <c r="F45" s="47">
        <f t="shared" si="4"/>
        <v>0</v>
      </c>
      <c r="G45" s="47">
        <f t="shared" si="5"/>
        <v>0</v>
      </c>
      <c r="H45" s="47">
        <f t="shared" si="6"/>
        <v>0</v>
      </c>
      <c r="I45" s="47">
        <f t="shared" si="7"/>
        <v>0</v>
      </c>
      <c r="J45" s="47">
        <f t="shared" si="8"/>
        <v>0</v>
      </c>
      <c r="K45" s="63">
        <f t="shared" si="9"/>
        <v>0</v>
      </c>
      <c r="L45" s="55">
        <f t="shared" si="10"/>
        <v>0</v>
      </c>
      <c r="N45" s="33">
        <v>26</v>
      </c>
      <c r="O45" s="28"/>
      <c r="P45" s="88"/>
      <c r="Q45" s="88"/>
      <c r="R45" s="37"/>
      <c r="S45" s="20"/>
      <c r="T45" s="3"/>
      <c r="U45" s="3"/>
      <c r="V45" s="3"/>
      <c r="W45" s="3"/>
      <c r="X45" s="10"/>
      <c r="Y45" s="17"/>
      <c r="Z45" s="2"/>
      <c r="AA45" s="2"/>
      <c r="AB45" s="2"/>
      <c r="AC45" s="3"/>
      <c r="AD45" s="37"/>
      <c r="AE45" s="9"/>
      <c r="AF45" s="2"/>
      <c r="AG45" s="2"/>
      <c r="AH45" s="2"/>
      <c r="AI45" s="3"/>
      <c r="AJ45" s="10"/>
      <c r="AK45" s="28"/>
      <c r="AL45" s="3"/>
      <c r="AM45" s="3"/>
      <c r="AN45" s="10"/>
      <c r="AO45" s="28"/>
      <c r="AP45" s="28"/>
      <c r="AQ45" s="3"/>
      <c r="AR45" s="10"/>
      <c r="AS45" s="20"/>
      <c r="AT45" s="28"/>
      <c r="AU45" s="3"/>
      <c r="AV45" s="10"/>
      <c r="AW45" s="20"/>
      <c r="AX45" s="28"/>
      <c r="AY45" s="3"/>
      <c r="AZ45" s="10"/>
      <c r="BA45" s="20"/>
      <c r="BB45" s="28"/>
      <c r="BC45" s="3"/>
      <c r="BD45" s="10"/>
      <c r="BE45" s="23"/>
      <c r="BF45" s="28"/>
      <c r="BG45" s="3"/>
      <c r="BH45" s="10"/>
      <c r="BI45" s="20"/>
      <c r="BJ45" s="28"/>
      <c r="BK45" s="3"/>
      <c r="BL45" s="10"/>
    </row>
    <row r="46" spans="2:64" x14ac:dyDescent="0.3">
      <c r="B46" s="62">
        <f t="shared" si="0"/>
        <v>0</v>
      </c>
      <c r="C46" s="47">
        <f t="shared" si="1"/>
        <v>0</v>
      </c>
      <c r="D46" s="47">
        <f t="shared" si="2"/>
        <v>0</v>
      </c>
      <c r="E46" s="47">
        <f t="shared" si="3"/>
        <v>0</v>
      </c>
      <c r="F46" s="47">
        <f t="shared" si="4"/>
        <v>0</v>
      </c>
      <c r="G46" s="47">
        <f t="shared" si="5"/>
        <v>0</v>
      </c>
      <c r="H46" s="47">
        <f t="shared" si="6"/>
        <v>0</v>
      </c>
      <c r="I46" s="47">
        <f t="shared" si="7"/>
        <v>0</v>
      </c>
      <c r="J46" s="47">
        <f t="shared" si="8"/>
        <v>0</v>
      </c>
      <c r="K46" s="63">
        <f t="shared" si="9"/>
        <v>0</v>
      </c>
      <c r="L46" s="55">
        <f t="shared" si="10"/>
        <v>0</v>
      </c>
      <c r="N46" s="33">
        <v>27</v>
      </c>
      <c r="O46" s="28"/>
      <c r="P46" s="88"/>
      <c r="Q46" s="88"/>
      <c r="R46" s="37"/>
      <c r="S46" s="20"/>
      <c r="T46" s="3"/>
      <c r="U46" s="3"/>
      <c r="V46" s="3"/>
      <c r="W46" s="3"/>
      <c r="X46" s="10"/>
      <c r="Y46" s="17"/>
      <c r="Z46" s="2"/>
      <c r="AA46" s="2"/>
      <c r="AB46" s="2"/>
      <c r="AC46" s="3"/>
      <c r="AD46" s="37"/>
      <c r="AE46" s="9"/>
      <c r="AF46" s="2"/>
      <c r="AG46" s="2"/>
      <c r="AH46" s="2"/>
      <c r="AI46" s="3"/>
      <c r="AJ46" s="10"/>
      <c r="AK46" s="28"/>
      <c r="AL46" s="3"/>
      <c r="AM46" s="3"/>
      <c r="AN46" s="10"/>
      <c r="AO46" s="28"/>
      <c r="AP46" s="28"/>
      <c r="AQ46" s="3"/>
      <c r="AR46" s="10"/>
      <c r="AS46" s="20"/>
      <c r="AT46" s="28"/>
      <c r="AU46" s="3"/>
      <c r="AV46" s="10"/>
      <c r="AW46" s="20"/>
      <c r="AX46" s="28"/>
      <c r="AY46" s="3"/>
      <c r="AZ46" s="10"/>
      <c r="BA46" s="20"/>
      <c r="BB46" s="28"/>
      <c r="BC46" s="3"/>
      <c r="BD46" s="10"/>
      <c r="BE46" s="23"/>
      <c r="BF46" s="28"/>
      <c r="BG46" s="3"/>
      <c r="BH46" s="10"/>
      <c r="BI46" s="20"/>
      <c r="BJ46" s="28"/>
      <c r="BK46" s="3"/>
      <c r="BL46" s="10"/>
    </row>
    <row r="47" spans="2:64" x14ac:dyDescent="0.3">
      <c r="B47" s="62">
        <f t="shared" si="0"/>
        <v>0</v>
      </c>
      <c r="C47" s="47">
        <f t="shared" si="1"/>
        <v>0</v>
      </c>
      <c r="D47" s="47">
        <f t="shared" si="2"/>
        <v>0</v>
      </c>
      <c r="E47" s="47">
        <f t="shared" si="3"/>
        <v>0</v>
      </c>
      <c r="F47" s="47">
        <f t="shared" si="4"/>
        <v>0</v>
      </c>
      <c r="G47" s="47">
        <f t="shared" si="5"/>
        <v>0</v>
      </c>
      <c r="H47" s="47">
        <f t="shared" si="6"/>
        <v>0</v>
      </c>
      <c r="I47" s="47">
        <f t="shared" si="7"/>
        <v>0</v>
      </c>
      <c r="J47" s="47">
        <f t="shared" si="8"/>
        <v>0</v>
      </c>
      <c r="K47" s="63">
        <f t="shared" si="9"/>
        <v>0</v>
      </c>
      <c r="L47" s="55">
        <f t="shared" si="10"/>
        <v>0</v>
      </c>
      <c r="N47" s="33">
        <v>28</v>
      </c>
      <c r="O47" s="28"/>
      <c r="P47" s="88"/>
      <c r="Q47" s="88"/>
      <c r="R47" s="37"/>
      <c r="S47" s="20"/>
      <c r="T47" s="3"/>
      <c r="U47" s="3"/>
      <c r="V47" s="3"/>
      <c r="W47" s="3"/>
      <c r="X47" s="10"/>
      <c r="Y47" s="17"/>
      <c r="Z47" s="2"/>
      <c r="AA47" s="2"/>
      <c r="AB47" s="2"/>
      <c r="AC47" s="3"/>
      <c r="AD47" s="37"/>
      <c r="AE47" s="9"/>
      <c r="AF47" s="2"/>
      <c r="AG47" s="2"/>
      <c r="AH47" s="2"/>
      <c r="AI47" s="3"/>
      <c r="AJ47" s="10"/>
      <c r="AK47" s="28"/>
      <c r="AL47" s="3"/>
      <c r="AM47" s="3"/>
      <c r="AN47" s="10"/>
      <c r="AO47" s="28"/>
      <c r="AP47" s="28"/>
      <c r="AQ47" s="3"/>
      <c r="AR47" s="10"/>
      <c r="AS47" s="20"/>
      <c r="AT47" s="28"/>
      <c r="AU47" s="3"/>
      <c r="AV47" s="10"/>
      <c r="AW47" s="20"/>
      <c r="AX47" s="28"/>
      <c r="AY47" s="3"/>
      <c r="AZ47" s="10"/>
      <c r="BA47" s="20"/>
      <c r="BB47" s="28"/>
      <c r="BC47" s="3"/>
      <c r="BD47" s="10"/>
      <c r="BE47" s="23"/>
      <c r="BF47" s="28"/>
      <c r="BG47" s="3"/>
      <c r="BH47" s="10"/>
      <c r="BI47" s="20"/>
      <c r="BJ47" s="28"/>
      <c r="BK47" s="3"/>
      <c r="BL47" s="10"/>
    </row>
    <row r="48" spans="2:64" x14ac:dyDescent="0.3">
      <c r="B48" s="62">
        <f t="shared" si="0"/>
        <v>0</v>
      </c>
      <c r="C48" s="47">
        <f t="shared" si="1"/>
        <v>0</v>
      </c>
      <c r="D48" s="47">
        <f t="shared" si="2"/>
        <v>0</v>
      </c>
      <c r="E48" s="47">
        <f t="shared" si="3"/>
        <v>0</v>
      </c>
      <c r="F48" s="47">
        <f t="shared" si="4"/>
        <v>0</v>
      </c>
      <c r="G48" s="47">
        <f t="shared" si="5"/>
        <v>0</v>
      </c>
      <c r="H48" s="47">
        <f t="shared" si="6"/>
        <v>0</v>
      </c>
      <c r="I48" s="47">
        <f t="shared" si="7"/>
        <v>0</v>
      </c>
      <c r="J48" s="47">
        <f t="shared" si="8"/>
        <v>0</v>
      </c>
      <c r="K48" s="63">
        <f t="shared" si="9"/>
        <v>0</v>
      </c>
      <c r="L48" s="55">
        <f t="shared" si="10"/>
        <v>0</v>
      </c>
      <c r="N48" s="33">
        <v>29</v>
      </c>
      <c r="O48" s="28"/>
      <c r="P48" s="88"/>
      <c r="Q48" s="88"/>
      <c r="R48" s="37"/>
      <c r="S48" s="20"/>
      <c r="T48" s="3"/>
      <c r="U48" s="3"/>
      <c r="V48" s="3"/>
      <c r="W48" s="3"/>
      <c r="X48" s="10"/>
      <c r="Y48" s="17"/>
      <c r="Z48" s="2"/>
      <c r="AA48" s="2"/>
      <c r="AB48" s="2"/>
      <c r="AC48" s="3"/>
      <c r="AD48" s="37"/>
      <c r="AE48" s="9"/>
      <c r="AF48" s="2"/>
      <c r="AG48" s="2"/>
      <c r="AH48" s="2"/>
      <c r="AI48" s="3"/>
      <c r="AJ48" s="10"/>
      <c r="AK48" s="28"/>
      <c r="AL48" s="3"/>
      <c r="AM48" s="3"/>
      <c r="AN48" s="10"/>
      <c r="AO48" s="28"/>
      <c r="AP48" s="28"/>
      <c r="AQ48" s="3"/>
      <c r="AR48" s="10"/>
      <c r="AS48" s="20"/>
      <c r="AT48" s="28"/>
      <c r="AU48" s="3"/>
      <c r="AV48" s="10"/>
      <c r="AW48" s="20"/>
      <c r="AX48" s="28"/>
      <c r="AY48" s="3"/>
      <c r="AZ48" s="10"/>
      <c r="BA48" s="20"/>
      <c r="BB48" s="28"/>
      <c r="BC48" s="3"/>
      <c r="BD48" s="10"/>
      <c r="BE48" s="23"/>
      <c r="BF48" s="28"/>
      <c r="BG48" s="3"/>
      <c r="BH48" s="10"/>
      <c r="BI48" s="20"/>
      <c r="BJ48" s="28"/>
      <c r="BK48" s="3"/>
      <c r="BL48" s="10"/>
    </row>
    <row r="49" spans="2:64" x14ac:dyDescent="0.3">
      <c r="B49" s="62">
        <f t="shared" si="0"/>
        <v>0</v>
      </c>
      <c r="C49" s="47">
        <f t="shared" si="1"/>
        <v>0</v>
      </c>
      <c r="D49" s="47">
        <f t="shared" si="2"/>
        <v>0</v>
      </c>
      <c r="E49" s="47">
        <f t="shared" si="3"/>
        <v>0</v>
      </c>
      <c r="F49" s="47">
        <f t="shared" si="4"/>
        <v>0</v>
      </c>
      <c r="G49" s="47">
        <f t="shared" si="5"/>
        <v>0</v>
      </c>
      <c r="H49" s="47">
        <f t="shared" si="6"/>
        <v>0</v>
      </c>
      <c r="I49" s="47">
        <f t="shared" si="7"/>
        <v>0</v>
      </c>
      <c r="J49" s="47">
        <f t="shared" si="8"/>
        <v>0</v>
      </c>
      <c r="K49" s="63">
        <f t="shared" si="9"/>
        <v>0</v>
      </c>
      <c r="L49" s="55">
        <f t="shared" si="10"/>
        <v>0</v>
      </c>
      <c r="N49" s="33">
        <v>30</v>
      </c>
      <c r="O49" s="28"/>
      <c r="P49" s="88"/>
      <c r="Q49" s="88"/>
      <c r="R49" s="37"/>
      <c r="S49" s="20"/>
      <c r="T49" s="3"/>
      <c r="U49" s="3"/>
      <c r="V49" s="3"/>
      <c r="W49" s="3"/>
      <c r="X49" s="10"/>
      <c r="Y49" s="17"/>
      <c r="Z49" s="2"/>
      <c r="AA49" s="2"/>
      <c r="AB49" s="2"/>
      <c r="AC49" s="3"/>
      <c r="AD49" s="37"/>
      <c r="AE49" s="9"/>
      <c r="AF49" s="2"/>
      <c r="AG49" s="2"/>
      <c r="AH49" s="2"/>
      <c r="AI49" s="3"/>
      <c r="AJ49" s="10"/>
      <c r="AK49" s="28"/>
      <c r="AL49" s="3"/>
      <c r="AM49" s="3"/>
      <c r="AN49" s="10"/>
      <c r="AO49" s="28"/>
      <c r="AP49" s="28"/>
      <c r="AQ49" s="3"/>
      <c r="AR49" s="10"/>
      <c r="AS49" s="20"/>
      <c r="AT49" s="28"/>
      <c r="AU49" s="3"/>
      <c r="AV49" s="10"/>
      <c r="AW49" s="20"/>
      <c r="AX49" s="28"/>
      <c r="AY49" s="3"/>
      <c r="AZ49" s="10"/>
      <c r="BA49" s="20"/>
      <c r="BB49" s="28"/>
      <c r="BC49" s="3"/>
      <c r="BD49" s="10"/>
      <c r="BE49" s="23"/>
      <c r="BF49" s="28"/>
      <c r="BG49" s="3"/>
      <c r="BH49" s="10"/>
      <c r="BI49" s="20"/>
      <c r="BJ49" s="28"/>
      <c r="BK49" s="3"/>
      <c r="BL49" s="10"/>
    </row>
    <row r="50" spans="2:64" x14ac:dyDescent="0.3">
      <c r="B50" s="62">
        <f t="shared" si="0"/>
        <v>0</v>
      </c>
      <c r="C50" s="47">
        <f t="shared" si="1"/>
        <v>0</v>
      </c>
      <c r="D50" s="47">
        <f t="shared" si="2"/>
        <v>0</v>
      </c>
      <c r="E50" s="47">
        <f t="shared" si="3"/>
        <v>0</v>
      </c>
      <c r="F50" s="47">
        <f t="shared" si="4"/>
        <v>0</v>
      </c>
      <c r="G50" s="47">
        <f t="shared" si="5"/>
        <v>0</v>
      </c>
      <c r="H50" s="47">
        <f t="shared" si="6"/>
        <v>0</v>
      </c>
      <c r="I50" s="47">
        <f t="shared" si="7"/>
        <v>0</v>
      </c>
      <c r="J50" s="47">
        <f t="shared" si="8"/>
        <v>0</v>
      </c>
      <c r="K50" s="63">
        <f t="shared" si="9"/>
        <v>0</v>
      </c>
      <c r="L50" s="55">
        <f t="shared" si="10"/>
        <v>0</v>
      </c>
      <c r="N50" s="33">
        <v>31</v>
      </c>
      <c r="O50" s="28"/>
      <c r="P50" s="88"/>
      <c r="Q50" s="88"/>
      <c r="R50" s="37"/>
      <c r="S50" s="20"/>
      <c r="T50" s="3"/>
      <c r="U50" s="3"/>
      <c r="V50" s="3"/>
      <c r="W50" s="3"/>
      <c r="X50" s="10"/>
      <c r="Y50" s="17"/>
      <c r="Z50" s="2"/>
      <c r="AA50" s="2"/>
      <c r="AB50" s="2"/>
      <c r="AC50" s="3"/>
      <c r="AD50" s="37"/>
      <c r="AE50" s="9"/>
      <c r="AF50" s="2"/>
      <c r="AG50" s="2"/>
      <c r="AH50" s="2"/>
      <c r="AI50" s="3"/>
      <c r="AJ50" s="10"/>
      <c r="AK50" s="28"/>
      <c r="AL50" s="3"/>
      <c r="AM50" s="3"/>
      <c r="AN50" s="10"/>
      <c r="AO50" s="28"/>
      <c r="AP50" s="28"/>
      <c r="AQ50" s="3"/>
      <c r="AR50" s="10"/>
      <c r="AS50" s="20"/>
      <c r="AT50" s="28"/>
      <c r="AU50" s="3"/>
      <c r="AV50" s="10"/>
      <c r="AW50" s="20"/>
      <c r="AX50" s="28"/>
      <c r="AY50" s="3"/>
      <c r="AZ50" s="10"/>
      <c r="BA50" s="20"/>
      <c r="BB50" s="28"/>
      <c r="BC50" s="3"/>
      <c r="BD50" s="10"/>
      <c r="BE50" s="23"/>
      <c r="BF50" s="28"/>
      <c r="BG50" s="3"/>
      <c r="BH50" s="10"/>
      <c r="BI50" s="20"/>
      <c r="BJ50" s="28"/>
      <c r="BK50" s="3"/>
      <c r="BL50" s="10"/>
    </row>
    <row r="51" spans="2:64" ht="15" thickBot="1" x14ac:dyDescent="0.35">
      <c r="B51" s="64">
        <f t="shared" si="0"/>
        <v>0</v>
      </c>
      <c r="C51" s="65">
        <f t="shared" si="1"/>
        <v>0</v>
      </c>
      <c r="D51" s="65">
        <f t="shared" si="2"/>
        <v>0</v>
      </c>
      <c r="E51" s="65">
        <f t="shared" si="3"/>
        <v>0</v>
      </c>
      <c r="F51" s="65">
        <f t="shared" si="4"/>
        <v>0</v>
      </c>
      <c r="G51" s="65">
        <f t="shared" si="5"/>
        <v>0</v>
      </c>
      <c r="H51" s="65">
        <f t="shared" si="6"/>
        <v>0</v>
      </c>
      <c r="I51" s="65">
        <f t="shared" si="7"/>
        <v>0</v>
      </c>
      <c r="J51" s="65">
        <f t="shared" si="8"/>
        <v>0</v>
      </c>
      <c r="K51" s="66">
        <f t="shared" si="9"/>
        <v>0</v>
      </c>
      <c r="L51" s="55">
        <f t="shared" si="10"/>
        <v>0</v>
      </c>
      <c r="N51" s="33">
        <v>32</v>
      </c>
      <c r="O51" s="28"/>
      <c r="P51" s="88"/>
      <c r="Q51" s="88"/>
      <c r="R51" s="37"/>
      <c r="S51" s="20"/>
      <c r="T51" s="3"/>
      <c r="U51" s="3"/>
      <c r="V51" s="3"/>
      <c r="W51" s="3"/>
      <c r="X51" s="10"/>
      <c r="Y51" s="17"/>
      <c r="Z51" s="2"/>
      <c r="AA51" s="2"/>
      <c r="AB51" s="2"/>
      <c r="AC51" s="3"/>
      <c r="AD51" s="37"/>
      <c r="AE51" s="9"/>
      <c r="AF51" s="2"/>
      <c r="AG51" s="2"/>
      <c r="AH51" s="2"/>
      <c r="AI51" s="3"/>
      <c r="AJ51" s="10"/>
      <c r="AK51" s="28"/>
      <c r="AL51" s="3"/>
      <c r="AM51" s="3"/>
      <c r="AN51" s="10"/>
      <c r="AO51" s="28"/>
      <c r="AP51" s="28"/>
      <c r="AQ51" s="3"/>
      <c r="AR51" s="10"/>
      <c r="AS51" s="20"/>
      <c r="AT51" s="28"/>
      <c r="AU51" s="3"/>
      <c r="AV51" s="10"/>
      <c r="AW51" s="20"/>
      <c r="AX51" s="28"/>
      <c r="AY51" s="3"/>
      <c r="AZ51" s="10"/>
      <c r="BA51" s="20"/>
      <c r="BB51" s="28"/>
      <c r="BC51" s="3"/>
      <c r="BD51" s="10"/>
      <c r="BE51" s="23"/>
      <c r="BF51" s="28"/>
      <c r="BG51" s="3"/>
      <c r="BH51" s="10"/>
      <c r="BI51" s="20"/>
      <c r="BJ51" s="28"/>
      <c r="BK51" s="3"/>
      <c r="BL51" s="10"/>
    </row>
    <row r="52" spans="2:64" x14ac:dyDescent="0.3">
      <c r="N52" s="34" t="s">
        <v>25</v>
      </c>
      <c r="O52" s="29"/>
      <c r="P52" s="89"/>
      <c r="Q52" s="89"/>
      <c r="R52" s="38"/>
      <c r="S52" s="18">
        <f>AVERAGE(S20:S51)</f>
        <v>9.9999999999999995E-7</v>
      </c>
      <c r="T52" s="4">
        <f>AVERAGE(T20:T51)</f>
        <v>9.9999999999999995E-7</v>
      </c>
      <c r="U52" s="4">
        <f>AVERAGE(U20:U51)</f>
        <v>9.9999999999999995E-7</v>
      </c>
      <c r="V52" s="4" t="e">
        <f>AVERAGE(V20:V51)</f>
        <v>#DIV/0!</v>
      </c>
      <c r="W52" s="4">
        <f>(SUM(D20:D51)+SUM(T20:T51)+SUM(S20:S51)*0.35)/SUM(S20:U51)</f>
        <v>0.45</v>
      </c>
      <c r="X52" s="48" t="e">
        <f>AVERAGE(X20:X51)</f>
        <v>#DIV/0!</v>
      </c>
      <c r="Y52" s="58">
        <f>AVERAGE(Y20:Y51)</f>
        <v>9.9999999999999995E-7</v>
      </c>
      <c r="Z52" s="56">
        <f>AVERAGE(Z20:Z51)</f>
        <v>9.9999999999999995E-7</v>
      </c>
      <c r="AA52" s="56">
        <f>AVERAGE(AA20:AA51)</f>
        <v>9.9999999999999995E-7</v>
      </c>
      <c r="AB52" s="56" t="e">
        <f>AVERAGE(AB20:AB51)</f>
        <v>#DIV/0!</v>
      </c>
      <c r="AC52" s="56">
        <f>(SUM(B20:B51)+SUM(Z20:Z51)+SUM(Y20:Y51)*0.35)/SUM(Y20:AA51)</f>
        <v>0.45</v>
      </c>
      <c r="AD52" s="76" t="e">
        <f>AVERAGE(AD20:AD51)</f>
        <v>#DIV/0!</v>
      </c>
      <c r="AE52" s="79">
        <f>AVERAGE(AE20:AE51)</f>
        <v>0.25</v>
      </c>
      <c r="AF52" s="56">
        <f>AVERAGE(AF20:AF51)</f>
        <v>0.875</v>
      </c>
      <c r="AG52" s="56">
        <f>AVERAGE(AG20:AG51)</f>
        <v>1.125</v>
      </c>
      <c r="AH52" s="56">
        <f>AVERAGE(AH20:AH51)</f>
        <v>3.8333333333333335</v>
      </c>
      <c r="AI52" s="56">
        <f>(SUM(C20:C51)+SUM(AF20:AF51)+SUM(AE20:AE51)*0.35)/SUM(AE20:AG51)</f>
        <v>1.6666666666666665</v>
      </c>
      <c r="AJ52" s="57">
        <f>AVERAGE(AJ20:AJ51)</f>
        <v>22.25</v>
      </c>
      <c r="AK52" s="58">
        <f>AVERAGE(AK20:AK51)</f>
        <v>3.125</v>
      </c>
      <c r="AL52" s="56">
        <f>AVERAGE(AL20:AL51)</f>
        <v>13.333333333333334</v>
      </c>
      <c r="AM52" s="56">
        <f>SUM(E20:E51)/SUM(AK20:AK51)</f>
        <v>16.559999999999999</v>
      </c>
      <c r="AN52" s="57">
        <f>AVERAGE(AN20:AN51)</f>
        <v>22.833333333333332</v>
      </c>
      <c r="AO52" s="58">
        <f>AVERAGE(AO20:AO51)</f>
        <v>1.75</v>
      </c>
      <c r="AP52" s="56">
        <f>AVERAGE(AP20:AP51)</f>
        <v>11.8</v>
      </c>
      <c r="AQ52" s="56">
        <f>SUM(F20:F51)/SUM(AO20:AO51)</f>
        <v>12.642857142857142</v>
      </c>
      <c r="AR52" s="57">
        <f>AVERAGE(AR20:AR51)</f>
        <v>22.8</v>
      </c>
      <c r="AS52" s="58">
        <f>AVERAGE(AS20:AS51)</f>
        <v>0.62500012500000002</v>
      </c>
      <c r="AT52" s="56">
        <f>AVERAGE(AT20:AT51)</f>
        <v>9.5</v>
      </c>
      <c r="AU52" s="56">
        <f>SUM(G20:G51)/SUM(AS20:AS51)</f>
        <v>11.199997760000448</v>
      </c>
      <c r="AV52" s="57">
        <f>AVERAGE(AV20:AV51)</f>
        <v>23</v>
      </c>
      <c r="AW52" s="58">
        <f>AVERAGE(AW20:AW51)</f>
        <v>0.12500012499999999</v>
      </c>
      <c r="AX52" s="56">
        <f>AVERAGE(AX20:AX51)</f>
        <v>8</v>
      </c>
      <c r="AY52" s="56">
        <f>SUM(H20:H51)/SUM(AW20:AW51)</f>
        <v>9.9999900000100013</v>
      </c>
      <c r="AZ52" s="57">
        <f>AVERAGE(AZ20:AZ51)</f>
        <v>22</v>
      </c>
      <c r="BA52" s="58">
        <f>AVERAGE(BA20:BA51)</f>
        <v>9.9999999999999995E-7</v>
      </c>
      <c r="BB52" s="56" t="e">
        <f>AVERAGE(BB20:BB51)</f>
        <v>#DIV/0!</v>
      </c>
      <c r="BC52" s="56">
        <f>SUM(I20:I51)/SUM(BA20:BA51)</f>
        <v>0</v>
      </c>
      <c r="BD52" s="57" t="e">
        <f>AVERAGE(BD20:BD51)</f>
        <v>#DIV/0!</v>
      </c>
      <c r="BE52" s="58">
        <f>AVERAGE(BE20:BE51)</f>
        <v>9.9999999999999995E-7</v>
      </c>
      <c r="BF52" s="56" t="e">
        <f>AVERAGE(BF20:BF51)</f>
        <v>#DIV/0!</v>
      </c>
      <c r="BG52" s="56">
        <f>SUM(J20:J51)/SUM(BE20:BE51)</f>
        <v>0</v>
      </c>
      <c r="BH52" s="57" t="e">
        <f>AVERAGE(BH20:BH51)</f>
        <v>#DIV/0!</v>
      </c>
      <c r="BI52" s="58">
        <f>AVERAGE(BI20:BI51)</f>
        <v>9.9999999999999995E-7</v>
      </c>
      <c r="BJ52" s="56" t="e">
        <f>AVERAGE(BJ20:BJ51)</f>
        <v>#DIV/0!</v>
      </c>
      <c r="BK52" s="56">
        <f>SUM(K20:K51)/SUM(BI20:BI51)</f>
        <v>0</v>
      </c>
      <c r="BL52" s="57" t="e">
        <f>AVERAGE(BL20:BL51)</f>
        <v>#DIV/0!</v>
      </c>
    </row>
    <row r="53" spans="2:64" x14ac:dyDescent="0.3">
      <c r="N53" s="34" t="s">
        <v>30</v>
      </c>
      <c r="O53" s="29"/>
      <c r="P53" s="89"/>
      <c r="Q53" s="89"/>
      <c r="R53" s="38"/>
      <c r="S53" s="18"/>
      <c r="T53" s="4"/>
      <c r="U53" s="4"/>
      <c r="V53" s="4"/>
      <c r="W53" s="5">
        <f>SUM(D20:D51)/SUM(U20:U51)</f>
        <v>0</v>
      </c>
      <c r="X53" s="38"/>
      <c r="Y53" s="58"/>
      <c r="Z53" s="56"/>
      <c r="AA53" s="56"/>
      <c r="AB53" s="56"/>
      <c r="AC53" s="77">
        <f>SUM(B20:B51)/SUM(AA20:AA51)</f>
        <v>0</v>
      </c>
      <c r="AD53" s="78"/>
      <c r="AE53" s="79"/>
      <c r="AF53" s="56"/>
      <c r="AG53" s="56"/>
      <c r="AH53" s="56"/>
      <c r="AI53" s="77">
        <f>SUM(C20:C51)/SUM(AG20:AG51)</f>
        <v>2.4777777777777774</v>
      </c>
      <c r="AJ53" s="80"/>
      <c r="AK53" s="29"/>
      <c r="AL53" s="5"/>
      <c r="AM53" s="5"/>
      <c r="AN53" s="12"/>
      <c r="AO53" s="29"/>
      <c r="AP53" s="29"/>
      <c r="AQ53" s="5"/>
      <c r="AR53" s="12"/>
      <c r="AS53" s="21"/>
      <c r="AT53" s="29"/>
      <c r="AU53" s="5"/>
      <c r="AV53" s="12"/>
      <c r="AW53" s="21"/>
      <c r="AX53" s="29"/>
      <c r="AY53" s="5"/>
      <c r="AZ53" s="12"/>
      <c r="BA53" s="21"/>
      <c r="BB53" s="29"/>
      <c r="BC53" s="5"/>
      <c r="BD53" s="12"/>
      <c r="BE53" s="21"/>
      <c r="BF53" s="29"/>
      <c r="BG53" s="5"/>
      <c r="BH53" s="12"/>
      <c r="BI53" s="21"/>
      <c r="BJ53" s="29"/>
      <c r="BK53" s="5"/>
      <c r="BL53" s="12"/>
    </row>
    <row r="54" spans="2:64" x14ac:dyDescent="0.3">
      <c r="N54" s="34" t="s">
        <v>11</v>
      </c>
      <c r="O54" s="29"/>
      <c r="P54" s="89"/>
      <c r="Q54" s="89"/>
      <c r="R54" s="38"/>
      <c r="S54" s="21"/>
      <c r="T54" s="5"/>
      <c r="U54" s="5"/>
      <c r="V54" s="5"/>
      <c r="W54" s="5"/>
      <c r="X54" s="12"/>
      <c r="Y54" s="18"/>
      <c r="Z54" s="4"/>
      <c r="AA54" s="4"/>
      <c r="AB54" s="4"/>
      <c r="AC54" s="5"/>
      <c r="AD54" s="38"/>
      <c r="AE54" s="11"/>
      <c r="AF54" s="4"/>
      <c r="AG54" s="4"/>
      <c r="AH54" s="4"/>
      <c r="AI54" s="5"/>
      <c r="AJ54" s="12"/>
      <c r="AK54" s="29"/>
      <c r="AL54" s="5"/>
      <c r="AM54" s="5"/>
      <c r="AN54" s="12"/>
      <c r="AO54" s="29"/>
      <c r="AP54" s="29"/>
      <c r="AQ54" s="5"/>
      <c r="AR54" s="12"/>
      <c r="AS54" s="21"/>
      <c r="AT54" s="29"/>
      <c r="AU54" s="5"/>
      <c r="AV54" s="12"/>
      <c r="AW54" s="21"/>
      <c r="AX54" s="29"/>
      <c r="AY54" s="5"/>
      <c r="AZ54" s="12"/>
      <c r="BA54" s="21"/>
      <c r="BB54" s="29"/>
      <c r="BC54" s="5"/>
      <c r="BD54" s="12"/>
      <c r="BE54" s="21"/>
      <c r="BF54" s="29"/>
      <c r="BG54" s="5"/>
      <c r="BH54" s="12"/>
      <c r="BI54" s="21"/>
      <c r="BJ54" s="29"/>
      <c r="BK54" s="5"/>
      <c r="BL54" s="12"/>
    </row>
    <row r="55" spans="2:64" ht="15" thickBot="1" x14ac:dyDescent="0.35">
      <c r="N55" s="35" t="s">
        <v>12</v>
      </c>
      <c r="O55" s="30"/>
      <c r="P55" s="90"/>
      <c r="Q55" s="90"/>
      <c r="R55" s="39"/>
      <c r="S55" s="22"/>
      <c r="T55" s="15"/>
      <c r="U55" s="15"/>
      <c r="V55" s="15"/>
      <c r="W55" s="15"/>
      <c r="X55" s="16"/>
      <c r="Y55" s="19"/>
      <c r="Z55" s="14"/>
      <c r="AA55" s="14"/>
      <c r="AB55" s="14"/>
      <c r="AC55" s="15"/>
      <c r="AD55" s="39"/>
      <c r="AE55" s="13"/>
      <c r="AF55" s="14"/>
      <c r="AG55" s="14"/>
      <c r="AH55" s="14"/>
      <c r="AI55" s="15"/>
      <c r="AJ55" s="16"/>
      <c r="AK55" s="30"/>
      <c r="AL55" s="15"/>
      <c r="AM55" s="15"/>
      <c r="AN55" s="16"/>
      <c r="AO55" s="30"/>
      <c r="AP55" s="30"/>
      <c r="AQ55" s="15"/>
      <c r="AR55" s="16"/>
      <c r="AS55" s="22"/>
      <c r="AT55" s="30"/>
      <c r="AU55" s="15"/>
      <c r="AV55" s="16"/>
      <c r="AW55" s="22"/>
      <c r="AX55" s="30"/>
      <c r="AY55" s="15"/>
      <c r="AZ55" s="16"/>
      <c r="BA55" s="22"/>
      <c r="BB55" s="30"/>
      <c r="BC55" s="15"/>
      <c r="BD55" s="16"/>
      <c r="BE55" s="22"/>
      <c r="BF55" s="30"/>
      <c r="BG55" s="15"/>
      <c r="BH55" s="16"/>
      <c r="BI55" s="22"/>
      <c r="BJ55" s="30"/>
      <c r="BK55" s="15"/>
      <c r="BL55" s="16"/>
    </row>
    <row r="60" spans="2:64" ht="15" thickBot="1" x14ac:dyDescent="0.35">
      <c r="U60">
        <f>T13</f>
        <v>0</v>
      </c>
      <c r="V60" t="s">
        <v>33</v>
      </c>
    </row>
    <row r="61" spans="2:64" ht="15" thickBot="1" x14ac:dyDescent="0.35">
      <c r="B61" s="59" t="s">
        <v>44</v>
      </c>
      <c r="C61" s="60"/>
      <c r="D61" s="61"/>
      <c r="E61" s="47"/>
      <c r="F61" s="47"/>
      <c r="I61" s="47"/>
      <c r="J61" s="47"/>
      <c r="K61" s="47"/>
      <c r="O61" t="s">
        <v>161</v>
      </c>
    </row>
    <row r="62" spans="2:64" ht="15" thickBot="1" x14ac:dyDescent="0.35">
      <c r="B62" s="73" t="str">
        <f>V62</f>
        <v>D, см</v>
      </c>
      <c r="C62" s="74" t="str">
        <f>W62</f>
        <v>h, м</v>
      </c>
      <c r="D62" s="75" t="str">
        <f>X62</f>
        <v>A, лет</v>
      </c>
      <c r="E62" s="47"/>
      <c r="F62" s="47"/>
      <c r="I62" s="47"/>
      <c r="J62" s="47"/>
      <c r="K62" s="47"/>
      <c r="O62" s="115"/>
      <c r="P62" s="116"/>
      <c r="Q62" s="116"/>
      <c r="R62" s="116"/>
      <c r="S62" s="116"/>
      <c r="T62" s="116"/>
      <c r="U62" s="116" t="s">
        <v>24</v>
      </c>
      <c r="V62" s="116" t="str">
        <f>AB19</f>
        <v>D, см</v>
      </c>
      <c r="W62" s="116" t="str">
        <f>AC19</f>
        <v>h, м</v>
      </c>
      <c r="X62" s="117" t="str">
        <f>AD19</f>
        <v>A, лет</v>
      </c>
    </row>
    <row r="63" spans="2:64" x14ac:dyDescent="0.3">
      <c r="B63" s="81" t="e">
        <f>V63*U63</f>
        <v>#DIV/0!</v>
      </c>
      <c r="C63" s="82">
        <f>W63*U63</f>
        <v>1.352643064548127E-6</v>
      </c>
      <c r="D63" s="83" t="e">
        <f>X63*U63</f>
        <v>#DIV/0!</v>
      </c>
      <c r="E63" s="47"/>
      <c r="F63" s="85"/>
      <c r="H63" s="47"/>
      <c r="I63" s="47"/>
      <c r="J63" s="47"/>
      <c r="K63" s="47"/>
      <c r="O63" s="138">
        <f t="shared" ref="O63:O72" si="11">U63/$U$75*10</f>
        <v>3.8095193348503056E-6</v>
      </c>
      <c r="P63" s="139"/>
      <c r="Q63" s="139"/>
      <c r="R63" s="47" t="str">
        <f>S18</f>
        <v>Сосна</v>
      </c>
      <c r="S63" s="47"/>
      <c r="T63" s="47"/>
      <c r="U63" s="123">
        <f>SUM(S52:U52)/(AE16*AE16*3.15/10000*1000)</f>
        <v>3.0058734767736153E-6</v>
      </c>
      <c r="V63" s="139" t="e">
        <f>V52</f>
        <v>#DIV/0!</v>
      </c>
      <c r="W63" s="139">
        <f>W52</f>
        <v>0.45</v>
      </c>
      <c r="X63" s="140" t="e">
        <f>X52</f>
        <v>#DIV/0!</v>
      </c>
      <c r="Y63" s="55"/>
    </row>
    <row r="64" spans="2:64" x14ac:dyDescent="0.3">
      <c r="B64" s="81" t="e">
        <f t="shared" ref="B64:B72" si="12">V64*U64</f>
        <v>#DIV/0!</v>
      </c>
      <c r="C64" s="82">
        <f t="shared" ref="C64:C72" si="13">W64*U64</f>
        <v>1.352643064548127E-6</v>
      </c>
      <c r="D64" s="83" t="e">
        <f t="shared" ref="D64:D72" si="14">X64*U64</f>
        <v>#DIV/0!</v>
      </c>
      <c r="E64" s="47"/>
      <c r="F64" s="85"/>
      <c r="H64" s="47"/>
      <c r="I64" s="47"/>
      <c r="J64" s="47"/>
      <c r="K64" s="47"/>
      <c r="O64" s="138">
        <f t="shared" si="11"/>
        <v>3.8095193348503056E-6</v>
      </c>
      <c r="P64" s="139"/>
      <c r="Q64" s="139"/>
      <c r="R64" s="47" t="str">
        <f>Y18</f>
        <v>Ель из подроста</v>
      </c>
      <c r="S64" s="47"/>
      <c r="T64" s="47"/>
      <c r="U64" s="123">
        <f>SUM(Y52:AA52)/(AE16*AE16*3.15/10000*1000)</f>
        <v>3.0058734767736153E-6</v>
      </c>
      <c r="V64" s="139" t="e">
        <f>AB52</f>
        <v>#DIV/0!</v>
      </c>
      <c r="W64" s="139">
        <f>AC52</f>
        <v>0.45</v>
      </c>
      <c r="X64" s="140" t="e">
        <f>AD52</f>
        <v>#DIV/0!</v>
      </c>
      <c r="Y64" s="55"/>
    </row>
    <row r="65" spans="2:25" x14ac:dyDescent="0.3">
      <c r="B65" s="81">
        <f t="shared" si="12"/>
        <v>8.6418862457241445</v>
      </c>
      <c r="C65" s="82">
        <f t="shared" si="13"/>
        <v>3.7573418459670189</v>
      </c>
      <c r="D65" s="83">
        <f t="shared" si="14"/>
        <v>50.160513643659712</v>
      </c>
      <c r="E65" s="47"/>
      <c r="F65" s="47"/>
      <c r="G65" s="47"/>
      <c r="H65" s="47"/>
      <c r="I65" s="47"/>
      <c r="J65" s="47"/>
      <c r="K65" s="47"/>
      <c r="O65" s="138">
        <f t="shared" si="11"/>
        <v>2.8571395011377292</v>
      </c>
      <c r="P65" s="139"/>
      <c r="Q65" s="139"/>
      <c r="R65" s="47" t="str">
        <f>AE18</f>
        <v>ЕЛЬ лесные культуры</v>
      </c>
      <c r="S65" s="47"/>
      <c r="T65" s="47"/>
      <c r="U65" s="123">
        <f>SUM(AE52:AG52)/(AE16*AE16*3.15/10000*1000)</f>
        <v>2.2544051075802116</v>
      </c>
      <c r="V65" s="139">
        <f>AH52</f>
        <v>3.8333333333333335</v>
      </c>
      <c r="W65" s="139">
        <f>AI52</f>
        <v>1.6666666666666665</v>
      </c>
      <c r="X65" s="140">
        <f>AJ52</f>
        <v>22.25</v>
      </c>
      <c r="Y65" s="55"/>
    </row>
    <row r="66" spans="2:25" x14ac:dyDescent="0.3">
      <c r="B66" s="81">
        <f t="shared" si="12"/>
        <v>41.748242732966887</v>
      </c>
      <c r="C66" s="82">
        <f t="shared" si="13"/>
        <v>51.85131747434486</v>
      </c>
      <c r="D66" s="83">
        <f t="shared" si="14"/>
        <v>71.493865680205786</v>
      </c>
      <c r="E66" s="47"/>
      <c r="F66" s="47"/>
      <c r="G66" s="47"/>
      <c r="H66" s="47"/>
      <c r="I66" s="47"/>
      <c r="J66" s="47"/>
      <c r="K66" s="47"/>
      <c r="O66" s="138">
        <f t="shared" si="11"/>
        <v>3.9682493071357348</v>
      </c>
      <c r="P66" s="139"/>
      <c r="Q66" s="139"/>
      <c r="R66" s="47" t="str">
        <f>AK18</f>
        <v>Берёза</v>
      </c>
      <c r="S66" s="47"/>
      <c r="T66" s="47"/>
      <c r="U66" s="123">
        <f>AK52/(AE16*AE16*3.15/10000*1000)</f>
        <v>3.1311182049725161</v>
      </c>
      <c r="V66" s="139">
        <f>AL52</f>
        <v>13.333333333333334</v>
      </c>
      <c r="W66" s="139">
        <f>AM52</f>
        <v>16.559999999999999</v>
      </c>
      <c r="X66" s="140">
        <f>AN52</f>
        <v>22.833333333333332</v>
      </c>
      <c r="Y66" s="55"/>
    </row>
    <row r="67" spans="2:25" x14ac:dyDescent="0.3">
      <c r="B67" s="81">
        <f t="shared" si="12"/>
        <v>20.690429098458388</v>
      </c>
      <c r="C67" s="82">
        <f t="shared" si="13"/>
        <v>22.168316891205414</v>
      </c>
      <c r="D67" s="83">
        <f t="shared" si="14"/>
        <v>39.978117241089087</v>
      </c>
      <c r="E67" s="47"/>
      <c r="F67" s="47"/>
      <c r="G67" s="47"/>
      <c r="H67" s="47"/>
      <c r="I67" s="47"/>
      <c r="J67" s="47"/>
      <c r="K67" s="47"/>
      <c r="O67" s="138">
        <f t="shared" si="11"/>
        <v>2.2222196119960116</v>
      </c>
      <c r="P67" s="139"/>
      <c r="Q67" s="139"/>
      <c r="R67" s="47" t="str">
        <f>AO18</f>
        <v>Осина</v>
      </c>
      <c r="S67" s="47"/>
      <c r="T67" s="47"/>
      <c r="U67" s="123">
        <f>AO52/(AE16*AE16*3.15/10000*1000)</f>
        <v>1.753426194784609</v>
      </c>
      <c r="V67" s="139">
        <f>AP52</f>
        <v>11.8</v>
      </c>
      <c r="W67" s="139">
        <f>AQ52</f>
        <v>12.642857142857142</v>
      </c>
      <c r="X67" s="140">
        <f>AR52</f>
        <v>22.8</v>
      </c>
      <c r="Y67" s="55"/>
    </row>
    <row r="68" spans="2:25" x14ac:dyDescent="0.3">
      <c r="B68" s="81">
        <f t="shared" si="12"/>
        <v>5.9491257792726984</v>
      </c>
      <c r="C68" s="82">
        <f t="shared" si="13"/>
        <v>7.0137047791384353</v>
      </c>
      <c r="D68" s="83">
        <f t="shared" si="14"/>
        <v>14.403146623502321</v>
      </c>
      <c r="E68" s="47"/>
      <c r="F68" s="47"/>
      <c r="G68" s="47"/>
      <c r="H68" s="47"/>
      <c r="I68" s="47"/>
      <c r="J68" s="47"/>
      <c r="K68" s="47"/>
      <c r="O68" s="138">
        <f t="shared" si="11"/>
        <v>0.79365002015711927</v>
      </c>
      <c r="P68" s="139"/>
      <c r="Q68" s="139"/>
      <c r="R68" s="47" t="str">
        <f>AS18</f>
        <v>Ольха серая</v>
      </c>
      <c r="S68" s="47"/>
      <c r="T68" s="47"/>
      <c r="U68" s="123">
        <f>AS52/(AE16*AE16*3.15/10000*1000)</f>
        <v>0.62622376623923137</v>
      </c>
      <c r="V68" s="139">
        <f>AT52</f>
        <v>9.5</v>
      </c>
      <c r="W68" s="139">
        <f>AU52</f>
        <v>11.199997760000448</v>
      </c>
      <c r="X68" s="140">
        <f>AV52</f>
        <v>23</v>
      </c>
      <c r="Y68" s="55"/>
    </row>
    <row r="69" spans="2:25" x14ac:dyDescent="0.3">
      <c r="B69" s="81">
        <f t="shared" si="12"/>
        <v>1.0019588275490305</v>
      </c>
      <c r="C69" s="82">
        <f t="shared" si="13"/>
        <v>1.2524472819890065</v>
      </c>
      <c r="D69" s="83">
        <f t="shared" si="14"/>
        <v>2.7553867757598338</v>
      </c>
      <c r="E69" s="47"/>
      <c r="F69" s="47"/>
      <c r="G69" s="47"/>
      <c r="H69" s="47"/>
      <c r="I69" s="47"/>
      <c r="J69" s="47"/>
      <c r="K69" s="47"/>
      <c r="O69" s="138">
        <f t="shared" si="11"/>
        <v>0.15873013101540162</v>
      </c>
      <c r="P69" s="139"/>
      <c r="Q69" s="139"/>
      <c r="R69" s="47" t="str">
        <f>AW18</f>
        <v>Ива</v>
      </c>
      <c r="S69" s="47"/>
      <c r="T69" s="47"/>
      <c r="U69" s="123">
        <f>AW52/(AE16*AE16*3.15/10000*1000)</f>
        <v>0.12524485344362882</v>
      </c>
      <c r="V69" s="139">
        <f>AX52</f>
        <v>8</v>
      </c>
      <c r="W69" s="139">
        <f>AY52</f>
        <v>9.9999900000100013</v>
      </c>
      <c r="X69" s="140">
        <f>AZ52</f>
        <v>22</v>
      </c>
      <c r="Y69" s="55"/>
    </row>
    <row r="70" spans="2:25" x14ac:dyDescent="0.3">
      <c r="B70" s="81" t="e">
        <f t="shared" si="12"/>
        <v>#DIV/0!</v>
      </c>
      <c r="C70" s="82">
        <f t="shared" si="13"/>
        <v>0</v>
      </c>
      <c r="D70" s="83" t="e">
        <f t="shared" si="14"/>
        <v>#DIV/0!</v>
      </c>
      <c r="E70" s="47"/>
      <c r="F70" s="47"/>
      <c r="G70" s="47"/>
      <c r="H70" s="47"/>
      <c r="I70" s="47"/>
      <c r="J70" s="47"/>
      <c r="K70" s="47"/>
      <c r="O70" s="138">
        <f t="shared" si="11"/>
        <v>1.269839778283435E-6</v>
      </c>
      <c r="P70" s="139"/>
      <c r="Q70" s="139"/>
      <c r="R70" s="47" t="str">
        <f>BA18</f>
        <v>Чёрёмуха</v>
      </c>
      <c r="S70" s="47"/>
      <c r="T70" s="47"/>
      <c r="U70" s="123">
        <f>BA52/(AE16*AE16*3.15/10000*1000)</f>
        <v>1.001957825591205E-6</v>
      </c>
      <c r="V70" s="139" t="e">
        <f>BB52</f>
        <v>#DIV/0!</v>
      </c>
      <c r="W70" s="139">
        <f>BC52</f>
        <v>0</v>
      </c>
      <c r="X70" s="140" t="e">
        <f>BD52</f>
        <v>#DIV/0!</v>
      </c>
      <c r="Y70" s="55"/>
    </row>
    <row r="71" spans="2:25" x14ac:dyDescent="0.3">
      <c r="B71" s="81" t="e">
        <f t="shared" si="12"/>
        <v>#DIV/0!</v>
      </c>
      <c r="C71" s="82">
        <f t="shared" si="13"/>
        <v>0</v>
      </c>
      <c r="D71" s="83" t="e">
        <f t="shared" si="14"/>
        <v>#DIV/0!</v>
      </c>
      <c r="E71" s="47"/>
      <c r="F71" s="47"/>
      <c r="G71" s="47"/>
      <c r="H71" s="47"/>
      <c r="I71" s="47"/>
      <c r="J71" s="47"/>
      <c r="K71" s="47"/>
      <c r="O71" s="138">
        <f t="shared" si="11"/>
        <v>1.269839778283435E-6</v>
      </c>
      <c r="P71" s="139"/>
      <c r="Q71" s="139"/>
      <c r="R71" s="47" t="str">
        <f>BE18</f>
        <v>Дуб</v>
      </c>
      <c r="S71" s="47"/>
      <c r="T71" s="47"/>
      <c r="U71" s="123">
        <f>BE52/(AE16*AE16*3.15/10000*1000)</f>
        <v>1.001957825591205E-6</v>
      </c>
      <c r="V71" s="139" t="e">
        <f>BF52</f>
        <v>#DIV/0!</v>
      </c>
      <c r="W71" s="139">
        <f>BG52</f>
        <v>0</v>
      </c>
      <c r="X71" s="140" t="e">
        <f>BH52</f>
        <v>#DIV/0!</v>
      </c>
      <c r="Y71" s="55"/>
    </row>
    <row r="72" spans="2:25" x14ac:dyDescent="0.3">
      <c r="B72" s="81" t="e">
        <f t="shared" si="12"/>
        <v>#DIV/0!</v>
      </c>
      <c r="C72" s="82">
        <f t="shared" si="13"/>
        <v>0</v>
      </c>
      <c r="D72" s="83" t="e">
        <f t="shared" si="14"/>
        <v>#DIV/0!</v>
      </c>
      <c r="E72" s="47"/>
      <c r="F72" s="47"/>
      <c r="G72" s="47"/>
      <c r="H72" s="47"/>
      <c r="I72" s="47"/>
      <c r="J72" s="47"/>
      <c r="K72" s="47"/>
      <c r="O72" s="138">
        <f t="shared" si="11"/>
        <v>1.269839778283435E-6</v>
      </c>
      <c r="P72" s="139"/>
      <c r="Q72" s="139"/>
      <c r="R72" s="47" t="str">
        <f>BI18</f>
        <v>Рябина</v>
      </c>
      <c r="S72" s="47"/>
      <c r="T72" s="47"/>
      <c r="U72" s="123">
        <f>BI52/(AE16*AE16*3.15/10000*1000)</f>
        <v>1.001957825591205E-6</v>
      </c>
      <c r="V72" s="139" t="e">
        <f>BJ52</f>
        <v>#DIV/0!</v>
      </c>
      <c r="W72" s="139">
        <f>BK52</f>
        <v>0</v>
      </c>
      <c r="X72" s="140" t="e">
        <f>BL52</f>
        <v>#DIV/0!</v>
      </c>
      <c r="Y72" s="55"/>
    </row>
    <row r="73" spans="2:25" x14ac:dyDescent="0.3">
      <c r="B73" s="62">
        <f>AC72*AA72</f>
        <v>0</v>
      </c>
      <c r="C73" s="71">
        <f>AI72*AG72</f>
        <v>0</v>
      </c>
      <c r="D73" s="63"/>
      <c r="E73" s="47"/>
      <c r="F73" s="47"/>
      <c r="G73" s="47"/>
      <c r="H73" s="47"/>
      <c r="I73" s="47"/>
      <c r="J73" s="47"/>
      <c r="K73" s="47"/>
      <c r="O73" s="118"/>
      <c r="P73" s="47"/>
      <c r="Q73" s="47"/>
      <c r="R73" s="47"/>
      <c r="S73" s="47"/>
      <c r="T73" s="47"/>
      <c r="U73" s="141"/>
      <c r="V73" s="141"/>
      <c r="W73" s="141"/>
      <c r="X73" s="140"/>
      <c r="Y73" s="55"/>
    </row>
    <row r="74" spans="2:25" x14ac:dyDescent="0.3">
      <c r="B74" s="62">
        <f>AC73*AA73</f>
        <v>0</v>
      </c>
      <c r="C74" s="71">
        <f>AI73*AG73</f>
        <v>0</v>
      </c>
      <c r="D74" s="63">
        <f>W73*U73</f>
        <v>0</v>
      </c>
      <c r="E74" s="47"/>
      <c r="F74" s="47"/>
      <c r="G74" s="47"/>
      <c r="H74" s="47"/>
      <c r="I74" s="47"/>
      <c r="J74" s="47"/>
      <c r="K74" s="47"/>
      <c r="O74" s="118"/>
      <c r="P74" s="47"/>
      <c r="Q74" s="47"/>
      <c r="R74" s="47"/>
      <c r="S74" s="47"/>
      <c r="T74" s="47"/>
      <c r="U74" s="141"/>
      <c r="V74" s="141"/>
      <c r="W74" s="141"/>
      <c r="X74" s="140"/>
      <c r="Y74" s="55"/>
    </row>
    <row r="75" spans="2:25" x14ac:dyDescent="0.3">
      <c r="B75" s="62">
        <f>AC74*AA74</f>
        <v>0</v>
      </c>
      <c r="C75" s="71">
        <f>AI74*AG74</f>
        <v>0</v>
      </c>
      <c r="D75" s="63">
        <f>W74*U74</f>
        <v>0</v>
      </c>
      <c r="E75" s="47"/>
      <c r="F75" s="47"/>
      <c r="G75" s="47"/>
      <c r="H75" s="47"/>
      <c r="I75" s="47"/>
      <c r="J75" s="47"/>
      <c r="K75" s="47"/>
      <c r="O75" s="142">
        <f>SUM(O63:O72)</f>
        <v>10.000000000000002</v>
      </c>
      <c r="P75" s="143"/>
      <c r="Q75" s="143"/>
      <c r="R75" s="45" t="s">
        <v>27</v>
      </c>
      <c r="S75" s="45"/>
      <c r="T75" s="45"/>
      <c r="U75" s="144">
        <f>SUM(U63:U72)</f>
        <v>7.8904271446406264</v>
      </c>
      <c r="V75" s="144" t="e">
        <f>SUM(B63:B72)/$U$75</f>
        <v>#DIV/0!</v>
      </c>
      <c r="W75" s="144">
        <f>SUM(C63:C72)/$U$75</f>
        <v>10.904749438865737</v>
      </c>
      <c r="X75" s="145" t="e">
        <f>SUM(D63:D72)/$U$75</f>
        <v>#DIV/0!</v>
      </c>
      <c r="Y75" s="55"/>
    </row>
    <row r="76" spans="2:25" x14ac:dyDescent="0.3">
      <c r="B76" s="62">
        <f>AC75*AA75</f>
        <v>0</v>
      </c>
      <c r="C76" s="71">
        <f>AI75*AG75</f>
        <v>0</v>
      </c>
      <c r="D76" s="63"/>
      <c r="E76" s="47"/>
      <c r="F76" s="47"/>
      <c r="G76" s="47"/>
      <c r="H76" s="47"/>
      <c r="I76" s="47"/>
      <c r="J76" s="47"/>
      <c r="K76" s="47"/>
    </row>
    <row r="77" spans="2:25" ht="15" thickBot="1" x14ac:dyDescent="0.35">
      <c r="B77" s="64">
        <f>AC93*AA93</f>
        <v>0</v>
      </c>
      <c r="C77" s="72">
        <f>AI93*AG93</f>
        <v>0</v>
      </c>
      <c r="D77" s="66">
        <f>W93*U93</f>
        <v>0</v>
      </c>
      <c r="E77" s="47"/>
      <c r="F77" s="47"/>
      <c r="G77" s="47"/>
      <c r="H77" s="47"/>
      <c r="I77" s="47"/>
      <c r="J77" s="47"/>
      <c r="K77" s="47"/>
    </row>
  </sheetData>
  <mergeCells count="11">
    <mergeCell ref="AS18:AV18"/>
    <mergeCell ref="AW18:AZ18"/>
    <mergeCell ref="BA18:BD18"/>
    <mergeCell ref="BE18:BH18"/>
    <mergeCell ref="BI18:BL18"/>
    <mergeCell ref="AO18:AR18"/>
    <mergeCell ref="O18:R18"/>
    <mergeCell ref="S18:X18"/>
    <mergeCell ref="Y18:AD18"/>
    <mergeCell ref="AE18:AJ18"/>
    <mergeCell ref="AK18:AN18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BL77"/>
  <sheetViews>
    <sheetView zoomScale="80" zoomScaleNormal="80" workbookViewId="0">
      <pane xSplit="18" ySplit="19" topLeftCell="S20" activePane="bottomRight" state="frozen"/>
      <selection pane="topRight" activeCell="Q1" sqref="Q1"/>
      <selection pane="bottomLeft" activeCell="A11" sqref="A11"/>
      <selection pane="bottomRight" activeCell="AA38" sqref="AA38"/>
    </sheetView>
  </sheetViews>
  <sheetFormatPr defaultRowHeight="14.4" x14ac:dyDescent="0.3"/>
  <cols>
    <col min="2" max="2" width="16.109375" hidden="1" customWidth="1"/>
    <col min="3" max="3" width="17.5546875" hidden="1" customWidth="1"/>
    <col min="4" max="11" width="12.88671875" hidden="1" customWidth="1"/>
    <col min="18" max="18" width="11" customWidth="1"/>
    <col min="21" max="21" width="9" customWidth="1"/>
    <col min="34" max="56" width="9.88671875" bestFit="1" customWidth="1"/>
  </cols>
  <sheetData>
    <row r="1" spans="14:39" ht="15" thickBot="1" x14ac:dyDescent="0.35"/>
    <row r="2" spans="14:39" x14ac:dyDescent="0.3">
      <c r="V2" s="59"/>
      <c r="W2" s="67" t="s">
        <v>38</v>
      </c>
      <c r="X2" s="67"/>
      <c r="Y2" s="60"/>
      <c r="Z2" s="60"/>
      <c r="AA2" s="60"/>
      <c r="AB2" s="60"/>
      <c r="AC2" s="60"/>
      <c r="AD2" s="60"/>
      <c r="AE2" s="60">
        <v>8</v>
      </c>
      <c r="AF2" s="60" t="s">
        <v>142</v>
      </c>
      <c r="AG2" s="60"/>
      <c r="AH2" s="60"/>
      <c r="AI2" s="60"/>
      <c r="AJ2" s="60"/>
      <c r="AK2" s="60"/>
      <c r="AL2" s="60"/>
      <c r="AM2" s="61"/>
    </row>
    <row r="3" spans="14:39" x14ac:dyDescent="0.3">
      <c r="V3" s="62">
        <v>1</v>
      </c>
      <c r="W3" s="47" t="s">
        <v>158</v>
      </c>
      <c r="X3" s="47"/>
      <c r="Y3" s="47"/>
      <c r="Z3" s="47"/>
      <c r="AA3" s="47"/>
      <c r="AB3" s="47"/>
      <c r="AC3" s="47"/>
      <c r="AD3" s="47"/>
      <c r="AE3" s="47">
        <v>9</v>
      </c>
      <c r="AF3" s="47" t="s">
        <v>156</v>
      </c>
      <c r="AG3" s="47"/>
      <c r="AH3" s="47"/>
      <c r="AI3" s="47"/>
      <c r="AJ3" s="47"/>
      <c r="AK3" s="47"/>
      <c r="AL3" s="47"/>
      <c r="AM3" s="63"/>
    </row>
    <row r="4" spans="14:39" x14ac:dyDescent="0.3">
      <c r="V4" s="62">
        <v>2</v>
      </c>
      <c r="W4" s="47" t="s">
        <v>159</v>
      </c>
      <c r="X4" s="47"/>
      <c r="Y4" s="47"/>
      <c r="Z4" s="47"/>
      <c r="AA4" s="47"/>
      <c r="AB4" s="47"/>
      <c r="AC4" s="47"/>
      <c r="AD4" s="47"/>
      <c r="AE4" s="47">
        <v>10</v>
      </c>
      <c r="AF4" s="47" t="s">
        <v>157</v>
      </c>
      <c r="AG4" s="47"/>
      <c r="AH4" s="47"/>
      <c r="AI4" s="47"/>
      <c r="AJ4" s="47"/>
      <c r="AK4" s="47"/>
      <c r="AL4" s="47"/>
      <c r="AM4" s="63"/>
    </row>
    <row r="5" spans="14:39" x14ac:dyDescent="0.3">
      <c r="V5" s="62">
        <v>3</v>
      </c>
      <c r="W5" s="47" t="s">
        <v>34</v>
      </c>
      <c r="X5" s="47"/>
      <c r="Y5" s="47"/>
      <c r="Z5" s="47"/>
      <c r="AA5" s="47"/>
      <c r="AB5" s="47"/>
      <c r="AC5" s="47"/>
      <c r="AD5" s="47"/>
      <c r="AE5" s="47">
        <v>11</v>
      </c>
      <c r="AF5" s="47" t="s">
        <v>39</v>
      </c>
      <c r="AG5" s="47"/>
      <c r="AH5" s="47"/>
      <c r="AI5" s="47"/>
      <c r="AJ5" s="47"/>
      <c r="AK5" s="47"/>
      <c r="AL5" s="47"/>
      <c r="AM5" s="63"/>
    </row>
    <row r="6" spans="14:39" x14ac:dyDescent="0.3">
      <c r="V6" s="62">
        <v>4</v>
      </c>
      <c r="W6" s="47" t="s">
        <v>35</v>
      </c>
      <c r="X6" s="47"/>
      <c r="Y6" s="47"/>
      <c r="Z6" s="47"/>
      <c r="AA6" s="47"/>
      <c r="AB6" s="47"/>
      <c r="AC6" s="47"/>
      <c r="AD6" s="47"/>
      <c r="AE6" s="47">
        <v>12</v>
      </c>
      <c r="AF6" s="47" t="s">
        <v>40</v>
      </c>
      <c r="AG6" s="47"/>
      <c r="AH6" s="47"/>
      <c r="AI6" s="47"/>
      <c r="AJ6" s="47"/>
      <c r="AK6" s="47"/>
      <c r="AL6" s="47"/>
      <c r="AM6" s="63"/>
    </row>
    <row r="7" spans="14:39" x14ac:dyDescent="0.3">
      <c r="V7" s="62">
        <v>5</v>
      </c>
      <c r="W7" s="47" t="s">
        <v>36</v>
      </c>
      <c r="X7" s="47"/>
      <c r="Y7" s="47"/>
      <c r="Z7" s="47"/>
      <c r="AA7" s="47"/>
      <c r="AB7" s="47"/>
      <c r="AC7" s="47"/>
      <c r="AD7" s="47"/>
      <c r="AE7" s="47">
        <v>13</v>
      </c>
      <c r="AF7" s="47" t="s">
        <v>41</v>
      </c>
      <c r="AG7" s="47"/>
      <c r="AH7" s="47"/>
      <c r="AI7" s="47"/>
      <c r="AJ7" s="47"/>
      <c r="AK7" s="47"/>
      <c r="AL7" s="47"/>
      <c r="AM7" s="63"/>
    </row>
    <row r="8" spans="14:39" x14ac:dyDescent="0.3">
      <c r="V8" s="62">
        <v>6</v>
      </c>
      <c r="W8" s="47" t="s">
        <v>141</v>
      </c>
      <c r="X8" s="47"/>
      <c r="Y8" s="47"/>
      <c r="Z8" s="47"/>
      <c r="AA8" s="47"/>
      <c r="AB8" s="47"/>
      <c r="AC8" s="47"/>
      <c r="AD8" s="47"/>
      <c r="AE8" s="47">
        <v>14</v>
      </c>
      <c r="AF8" s="47"/>
      <c r="AG8" s="47"/>
      <c r="AH8" s="47"/>
      <c r="AI8" s="47"/>
      <c r="AJ8" s="47"/>
      <c r="AK8" s="47"/>
      <c r="AL8" s="47"/>
      <c r="AM8" s="63"/>
    </row>
    <row r="9" spans="14:39" ht="15" thickBot="1" x14ac:dyDescent="0.35">
      <c r="V9" s="64">
        <v>7</v>
      </c>
      <c r="W9" s="65" t="s">
        <v>37</v>
      </c>
      <c r="X9" s="65"/>
      <c r="Y9" s="65"/>
      <c r="Z9" s="65"/>
      <c r="AA9" s="65"/>
      <c r="AB9" s="65"/>
      <c r="AC9" s="65"/>
      <c r="AD9" s="65"/>
      <c r="AE9" s="65">
        <v>15</v>
      </c>
      <c r="AF9" s="65"/>
      <c r="AG9" s="65"/>
      <c r="AH9" s="65"/>
      <c r="AI9" s="65"/>
      <c r="AJ9" s="65"/>
      <c r="AK9" s="65"/>
      <c r="AL9" s="65"/>
      <c r="AM9" s="66"/>
    </row>
    <row r="13" spans="14:39" x14ac:dyDescent="0.3">
      <c r="N13" t="s">
        <v>32</v>
      </c>
      <c r="T13" s="45"/>
    </row>
    <row r="16" spans="14:39" x14ac:dyDescent="0.3">
      <c r="N16" s="46" t="s">
        <v>13</v>
      </c>
      <c r="S16">
        <v>1</v>
      </c>
      <c r="U16" s="45" t="s">
        <v>14</v>
      </c>
      <c r="V16" s="45">
        <v>155</v>
      </c>
      <c r="W16" s="45"/>
      <c r="X16" s="45" t="s">
        <v>15</v>
      </c>
      <c r="Y16" s="45">
        <v>23</v>
      </c>
      <c r="Z16" s="45" t="s">
        <v>16</v>
      </c>
      <c r="AA16" s="45">
        <v>1</v>
      </c>
      <c r="AB16" s="47"/>
      <c r="AC16" s="85" t="s">
        <v>45</v>
      </c>
      <c r="AE16" s="45">
        <v>1.78</v>
      </c>
      <c r="AG16" s="44" t="s">
        <v>28</v>
      </c>
      <c r="AI16" s="44"/>
    </row>
    <row r="17" spans="2:64" ht="15" thickBot="1" x14ac:dyDescent="0.35"/>
    <row r="18" spans="2:64" ht="15.6" thickTop="1" thickBot="1" x14ac:dyDescent="0.35">
      <c r="B18" s="59" t="s">
        <v>31</v>
      </c>
      <c r="C18" s="60"/>
      <c r="D18" s="60"/>
      <c r="E18" s="60"/>
      <c r="F18" s="60"/>
      <c r="G18" s="60"/>
      <c r="H18" s="60"/>
      <c r="I18" s="60"/>
      <c r="J18" s="60"/>
      <c r="K18" s="61"/>
      <c r="N18" s="1" t="s">
        <v>0</v>
      </c>
      <c r="O18" s="202" t="s">
        <v>1</v>
      </c>
      <c r="P18" s="194"/>
      <c r="Q18" s="194"/>
      <c r="R18" s="195"/>
      <c r="S18" s="193" t="s">
        <v>43</v>
      </c>
      <c r="T18" s="194"/>
      <c r="U18" s="194"/>
      <c r="V18" s="194"/>
      <c r="W18" s="194"/>
      <c r="X18" s="195"/>
      <c r="Y18" s="203" t="s">
        <v>17</v>
      </c>
      <c r="Z18" s="204"/>
      <c r="AA18" s="204"/>
      <c r="AB18" s="204"/>
      <c r="AC18" s="204"/>
      <c r="AD18" s="205"/>
      <c r="AE18" s="206" t="s">
        <v>18</v>
      </c>
      <c r="AF18" s="207"/>
      <c r="AG18" s="207"/>
      <c r="AH18" s="207"/>
      <c r="AI18" s="207"/>
      <c r="AJ18" s="208"/>
      <c r="AK18" s="193" t="s">
        <v>19</v>
      </c>
      <c r="AL18" s="194"/>
      <c r="AM18" s="194"/>
      <c r="AN18" s="195"/>
      <c r="AO18" s="193" t="s">
        <v>20</v>
      </c>
      <c r="AP18" s="194"/>
      <c r="AQ18" s="194"/>
      <c r="AR18" s="195"/>
      <c r="AS18" s="193" t="s">
        <v>21</v>
      </c>
      <c r="AT18" s="194"/>
      <c r="AU18" s="194"/>
      <c r="AV18" s="195"/>
      <c r="AW18" s="193" t="s">
        <v>26</v>
      </c>
      <c r="AX18" s="194"/>
      <c r="AY18" s="194"/>
      <c r="AZ18" s="195"/>
      <c r="BA18" s="193" t="s">
        <v>22</v>
      </c>
      <c r="BB18" s="194"/>
      <c r="BC18" s="194"/>
      <c r="BD18" s="195"/>
      <c r="BE18" s="193" t="s">
        <v>29</v>
      </c>
      <c r="BF18" s="194"/>
      <c r="BG18" s="194"/>
      <c r="BH18" s="195"/>
      <c r="BI18" s="193" t="s">
        <v>42</v>
      </c>
      <c r="BJ18" s="194"/>
      <c r="BK18" s="194"/>
      <c r="BL18" s="195"/>
    </row>
    <row r="19" spans="2:64" ht="21" thickBot="1" x14ac:dyDescent="0.35">
      <c r="B19" s="64" t="str">
        <f>Y18</f>
        <v>Ель из подроста</v>
      </c>
      <c r="C19" s="65" t="str">
        <f>AE18</f>
        <v>ЕЛЬ лесные культуры</v>
      </c>
      <c r="D19" s="65" t="str">
        <f>S18</f>
        <v>Сосна</v>
      </c>
      <c r="E19" s="65" t="str">
        <f>AK18</f>
        <v>Берёза</v>
      </c>
      <c r="F19" s="65" t="str">
        <f>AO18</f>
        <v>Осина</v>
      </c>
      <c r="G19" s="65" t="str">
        <f>AS18</f>
        <v>Ольха серая</v>
      </c>
      <c r="H19" s="65" t="str">
        <f>AW18</f>
        <v>Ива</v>
      </c>
      <c r="I19" s="65" t="str">
        <f>BA18</f>
        <v>Чёрёмуха</v>
      </c>
      <c r="J19" s="65" t="str">
        <f>BE18</f>
        <v>Дуб</v>
      </c>
      <c r="K19" s="66" t="str">
        <f>BI18</f>
        <v>Рябина</v>
      </c>
      <c r="L19" t="s">
        <v>46</v>
      </c>
      <c r="N19" s="31" t="s">
        <v>2</v>
      </c>
      <c r="O19" s="25" t="s">
        <v>3</v>
      </c>
      <c r="P19" s="86" t="s">
        <v>48</v>
      </c>
      <c r="Q19" s="86" t="s">
        <v>47</v>
      </c>
      <c r="R19" s="68" t="s">
        <v>4</v>
      </c>
      <c r="S19" s="41" t="s">
        <v>5</v>
      </c>
      <c r="T19" s="42" t="s">
        <v>6</v>
      </c>
      <c r="U19" s="42" t="s">
        <v>7</v>
      </c>
      <c r="V19" s="42" t="s">
        <v>23</v>
      </c>
      <c r="W19" s="43" t="s">
        <v>8</v>
      </c>
      <c r="X19" s="26" t="s">
        <v>9</v>
      </c>
      <c r="Y19" s="70" t="s">
        <v>5</v>
      </c>
      <c r="Z19" s="42" t="s">
        <v>6</v>
      </c>
      <c r="AA19" s="42" t="s">
        <v>7</v>
      </c>
      <c r="AB19" s="42" t="s">
        <v>23</v>
      </c>
      <c r="AC19" s="43" t="s">
        <v>8</v>
      </c>
      <c r="AD19" s="26" t="s">
        <v>9</v>
      </c>
      <c r="AE19" s="53" t="s">
        <v>5</v>
      </c>
      <c r="AF19" s="50" t="s">
        <v>6</v>
      </c>
      <c r="AG19" s="50" t="s">
        <v>7</v>
      </c>
      <c r="AH19" s="50" t="s">
        <v>23</v>
      </c>
      <c r="AI19" s="51" t="s">
        <v>8</v>
      </c>
      <c r="AJ19" s="54" t="s">
        <v>9</v>
      </c>
      <c r="AK19" s="49" t="s">
        <v>10</v>
      </c>
      <c r="AL19" s="50" t="s">
        <v>23</v>
      </c>
      <c r="AM19" s="51" t="s">
        <v>8</v>
      </c>
      <c r="AN19" s="52" t="s">
        <v>9</v>
      </c>
      <c r="AO19" s="25" t="s">
        <v>10</v>
      </c>
      <c r="AP19" s="42" t="s">
        <v>23</v>
      </c>
      <c r="AQ19" s="43" t="s">
        <v>8</v>
      </c>
      <c r="AR19" s="26" t="s">
        <v>9</v>
      </c>
      <c r="AS19" s="25" t="s">
        <v>10</v>
      </c>
      <c r="AT19" s="42" t="s">
        <v>23</v>
      </c>
      <c r="AU19" s="43" t="s">
        <v>8</v>
      </c>
      <c r="AV19" s="26" t="s">
        <v>9</v>
      </c>
      <c r="AW19" s="25" t="s">
        <v>10</v>
      </c>
      <c r="AX19" s="42" t="s">
        <v>23</v>
      </c>
      <c r="AY19" s="43" t="s">
        <v>8</v>
      </c>
      <c r="AZ19" s="26" t="s">
        <v>9</v>
      </c>
      <c r="BA19" s="25" t="s">
        <v>10</v>
      </c>
      <c r="BB19" s="42" t="s">
        <v>23</v>
      </c>
      <c r="BC19" s="43" t="s">
        <v>8</v>
      </c>
      <c r="BD19" s="26" t="s">
        <v>9</v>
      </c>
      <c r="BE19" s="25" t="s">
        <v>10</v>
      </c>
      <c r="BF19" s="42" t="s">
        <v>23</v>
      </c>
      <c r="BG19" s="43" t="s">
        <v>8</v>
      </c>
      <c r="BH19" s="26" t="s">
        <v>9</v>
      </c>
      <c r="BI19" s="25" t="s">
        <v>10</v>
      </c>
      <c r="BJ19" s="42" t="s">
        <v>23</v>
      </c>
      <c r="BK19" s="43" t="s">
        <v>8</v>
      </c>
      <c r="BL19" s="26" t="s">
        <v>9</v>
      </c>
    </row>
    <row r="20" spans="2:64" x14ac:dyDescent="0.3">
      <c r="B20" s="62">
        <f>AC20*AA20</f>
        <v>0</v>
      </c>
      <c r="C20" s="47">
        <f>AI20*AG20</f>
        <v>0</v>
      </c>
      <c r="D20" s="47">
        <f>W20*U20</f>
        <v>0</v>
      </c>
      <c r="E20" s="47">
        <f>AK20*AM20</f>
        <v>16</v>
      </c>
      <c r="F20" s="47">
        <f>AO20*AQ20</f>
        <v>0</v>
      </c>
      <c r="G20" s="47">
        <f>AS20*AU20</f>
        <v>5</v>
      </c>
      <c r="H20" s="47">
        <f>AW20*AY20</f>
        <v>136.5</v>
      </c>
      <c r="I20" s="47">
        <f>BA20*BC20</f>
        <v>0</v>
      </c>
      <c r="J20" s="47">
        <f>BE20*BG20</f>
        <v>0</v>
      </c>
      <c r="K20" s="63">
        <f>BI20*BK20</f>
        <v>0</v>
      </c>
      <c r="L20" s="55">
        <f>SUM(S20:U20,Y20:AA20,AE20:AG20,AK20,AO20,AS20,AW20,BA20,BE20,BI20)/($AE$16*$AE$16*3.15/10000*1000)</f>
        <v>17.033296060502224</v>
      </c>
      <c r="N20" s="32">
        <v>1</v>
      </c>
      <c r="O20" s="27">
        <v>835</v>
      </c>
      <c r="P20" s="87" t="s">
        <v>176</v>
      </c>
      <c r="Q20" s="87" t="s">
        <v>123</v>
      </c>
      <c r="R20" s="69"/>
      <c r="S20" s="40">
        <v>9.9999999999999995E-7</v>
      </c>
      <c r="T20" s="40">
        <v>9.9999999999999995E-7</v>
      </c>
      <c r="U20" s="40">
        <v>9.9999999999999995E-7</v>
      </c>
      <c r="V20" s="40"/>
      <c r="W20" s="40"/>
      <c r="X20" s="24"/>
      <c r="Y20" s="40">
        <v>9.9999999999999995E-7</v>
      </c>
      <c r="Z20" s="40">
        <v>9.9999999999999995E-7</v>
      </c>
      <c r="AA20" s="40">
        <v>9.9999999999999995E-7</v>
      </c>
      <c r="AB20" s="6"/>
      <c r="AC20" s="7"/>
      <c r="AD20" s="36"/>
      <c r="AE20" s="40">
        <v>9.9999999999999995E-7</v>
      </c>
      <c r="AF20" s="40">
        <v>9.9999999999999995E-7</v>
      </c>
      <c r="AG20" s="40">
        <v>9.9999999999999995E-7</v>
      </c>
      <c r="AH20" s="6"/>
      <c r="AI20" s="7"/>
      <c r="AJ20" s="8"/>
      <c r="AK20" s="40">
        <v>2</v>
      </c>
      <c r="AL20" s="7">
        <v>7</v>
      </c>
      <c r="AM20" s="7">
        <v>8</v>
      </c>
      <c r="AN20" s="8">
        <v>18</v>
      </c>
      <c r="AO20" s="40">
        <v>9.9999999999999995E-7</v>
      </c>
      <c r="AP20" s="27"/>
      <c r="AQ20" s="40"/>
      <c r="AR20" s="24"/>
      <c r="AS20" s="40">
        <v>2</v>
      </c>
      <c r="AT20" s="27">
        <v>1</v>
      </c>
      <c r="AU20" s="40">
        <v>2.5</v>
      </c>
      <c r="AV20" s="24">
        <v>10</v>
      </c>
      <c r="AW20" s="40">
        <v>13</v>
      </c>
      <c r="AX20" s="27">
        <v>7</v>
      </c>
      <c r="AY20" s="40">
        <v>10.5</v>
      </c>
      <c r="AZ20" s="24">
        <v>17</v>
      </c>
      <c r="BA20" s="40">
        <v>9.9999999999999995E-7</v>
      </c>
      <c r="BB20" s="27"/>
      <c r="BC20" s="40"/>
      <c r="BD20" s="24"/>
      <c r="BE20" s="40">
        <v>9.9999999999999995E-7</v>
      </c>
      <c r="BF20" s="27"/>
      <c r="BG20" s="40"/>
      <c r="BH20" s="24"/>
      <c r="BI20" s="40">
        <v>9.9999999999999995E-7</v>
      </c>
      <c r="BJ20" s="27"/>
      <c r="BK20" s="40"/>
      <c r="BL20" s="24"/>
    </row>
    <row r="21" spans="2:64" x14ac:dyDescent="0.3">
      <c r="B21" s="62">
        <f t="shared" ref="B21:B51" si="0">AC21*AA21</f>
        <v>0</v>
      </c>
      <c r="C21" s="47">
        <f t="shared" ref="C21:C51" si="1">AI21*AG21</f>
        <v>0</v>
      </c>
      <c r="D21" s="47">
        <f t="shared" ref="D21:D51" si="2">W21*U21</f>
        <v>0</v>
      </c>
      <c r="E21" s="47">
        <f t="shared" ref="E21:E51" si="3">AK21*AM21</f>
        <v>70</v>
      </c>
      <c r="F21" s="47">
        <f t="shared" ref="F21:F51" si="4">AO21*AQ21</f>
        <v>8</v>
      </c>
      <c r="G21" s="47">
        <f t="shared" ref="G21:G51" si="5">AS21*AU21</f>
        <v>27</v>
      </c>
      <c r="H21" s="47">
        <f t="shared" ref="H21:H51" si="6">AW21*AY21</f>
        <v>0</v>
      </c>
      <c r="I21" s="47">
        <f t="shared" ref="I21:I51" si="7">BA21*BC21</f>
        <v>0</v>
      </c>
      <c r="J21" s="47">
        <f t="shared" ref="J21:J51" si="8">BE21*BG21</f>
        <v>0</v>
      </c>
      <c r="K21" s="63">
        <f t="shared" ref="K21:K51" si="9">BI21*BK21</f>
        <v>0</v>
      </c>
      <c r="L21" s="55">
        <f t="shared" ref="L21:L51" si="10">SUM(S21:U21,Y21:AA21,AE21:AG21,AK21,AO21,AS21,AW21,BA21,BE21,BI21)/($AE$16*$AE$16*3.15/10000*1000)</f>
        <v>15.029367383868077</v>
      </c>
      <c r="N21" s="33">
        <v>2</v>
      </c>
      <c r="O21" s="28">
        <v>836</v>
      </c>
      <c r="P21" s="88" t="s">
        <v>176</v>
      </c>
      <c r="Q21" s="88" t="s">
        <v>165</v>
      </c>
      <c r="R21" s="37"/>
      <c r="S21" s="20"/>
      <c r="T21" s="3"/>
      <c r="U21" s="3"/>
      <c r="V21" s="3"/>
      <c r="W21" s="3"/>
      <c r="X21" s="10"/>
      <c r="Y21" s="17"/>
      <c r="Z21" s="2"/>
      <c r="AA21" s="2"/>
      <c r="AB21" s="2"/>
      <c r="AC21" s="3"/>
      <c r="AD21" s="37"/>
      <c r="AE21" s="9">
        <v>0</v>
      </c>
      <c r="AF21" s="2">
        <v>0</v>
      </c>
      <c r="AG21" s="2">
        <v>0</v>
      </c>
      <c r="AH21" s="2"/>
      <c r="AI21" s="3"/>
      <c r="AJ21" s="10"/>
      <c r="AK21" s="28">
        <v>7</v>
      </c>
      <c r="AL21" s="3">
        <v>9</v>
      </c>
      <c r="AM21" s="3">
        <v>10</v>
      </c>
      <c r="AN21" s="10">
        <v>19</v>
      </c>
      <c r="AO21" s="28">
        <v>2</v>
      </c>
      <c r="AP21" s="28">
        <v>3</v>
      </c>
      <c r="AQ21" s="3">
        <v>4</v>
      </c>
      <c r="AR21" s="10">
        <v>12</v>
      </c>
      <c r="AS21" s="20">
        <v>6</v>
      </c>
      <c r="AT21" s="28">
        <v>2</v>
      </c>
      <c r="AU21" s="3">
        <v>4.5</v>
      </c>
      <c r="AV21" s="10">
        <v>12</v>
      </c>
      <c r="AW21" s="20">
        <v>0</v>
      </c>
      <c r="AX21" s="28"/>
      <c r="AY21" s="3"/>
      <c r="AZ21" s="10"/>
      <c r="BA21" s="20"/>
      <c r="BB21" s="28"/>
      <c r="BC21" s="3"/>
      <c r="BD21" s="10"/>
      <c r="BE21" s="23"/>
      <c r="BF21" s="28"/>
      <c r="BG21" s="3"/>
      <c r="BH21" s="10"/>
      <c r="BI21" s="23"/>
      <c r="BJ21" s="28"/>
      <c r="BK21" s="3"/>
      <c r="BL21" s="10"/>
    </row>
    <row r="22" spans="2:64" x14ac:dyDescent="0.3">
      <c r="B22" s="62">
        <f t="shared" si="0"/>
        <v>0</v>
      </c>
      <c r="C22" s="47">
        <f t="shared" si="1"/>
        <v>0</v>
      </c>
      <c r="D22" s="47">
        <f t="shared" si="2"/>
        <v>0</v>
      </c>
      <c r="E22" s="47">
        <f t="shared" si="3"/>
        <v>9.5</v>
      </c>
      <c r="F22" s="47">
        <f t="shared" si="4"/>
        <v>18</v>
      </c>
      <c r="G22" s="47">
        <f t="shared" si="5"/>
        <v>0</v>
      </c>
      <c r="H22" s="47">
        <f t="shared" si="6"/>
        <v>0</v>
      </c>
      <c r="I22" s="47">
        <f t="shared" si="7"/>
        <v>0</v>
      </c>
      <c r="J22" s="47">
        <f t="shared" si="8"/>
        <v>0</v>
      </c>
      <c r="K22" s="63">
        <f t="shared" si="9"/>
        <v>0</v>
      </c>
      <c r="L22" s="55">
        <f t="shared" si="10"/>
        <v>3.0058734767736155</v>
      </c>
      <c r="N22" s="33">
        <v>3</v>
      </c>
      <c r="O22" s="28">
        <v>837</v>
      </c>
      <c r="P22" s="88" t="s">
        <v>176</v>
      </c>
      <c r="Q22" s="88" t="s">
        <v>169</v>
      </c>
      <c r="R22" s="37"/>
      <c r="S22" s="20"/>
      <c r="T22" s="3"/>
      <c r="U22" s="3"/>
      <c r="V22" s="3"/>
      <c r="W22" s="3"/>
      <c r="X22" s="10"/>
      <c r="Y22" s="17"/>
      <c r="Z22" s="2"/>
      <c r="AA22" s="2"/>
      <c r="AB22" s="2"/>
      <c r="AC22" s="3"/>
      <c r="AD22" s="37"/>
      <c r="AE22" s="9">
        <v>0</v>
      </c>
      <c r="AF22" s="2">
        <v>0</v>
      </c>
      <c r="AG22" s="2">
        <v>0</v>
      </c>
      <c r="AH22" s="2"/>
      <c r="AI22" s="3"/>
      <c r="AJ22" s="10"/>
      <c r="AK22" s="28">
        <v>1</v>
      </c>
      <c r="AL22" s="3">
        <v>9</v>
      </c>
      <c r="AM22" s="3">
        <v>9.5</v>
      </c>
      <c r="AN22" s="10">
        <v>18</v>
      </c>
      <c r="AO22" s="28">
        <v>2</v>
      </c>
      <c r="AP22" s="28">
        <v>8</v>
      </c>
      <c r="AQ22" s="3">
        <v>9</v>
      </c>
      <c r="AR22" s="10">
        <v>17</v>
      </c>
      <c r="AS22" s="20">
        <v>0</v>
      </c>
      <c r="AT22" s="28"/>
      <c r="AU22" s="3"/>
      <c r="AV22" s="10"/>
      <c r="AW22" s="20">
        <v>0</v>
      </c>
      <c r="AX22" s="28"/>
      <c r="AY22" s="3"/>
      <c r="AZ22" s="10"/>
      <c r="BA22" s="20"/>
      <c r="BB22" s="28"/>
      <c r="BC22" s="3"/>
      <c r="BD22" s="10"/>
      <c r="BE22" s="23"/>
      <c r="BF22" s="28"/>
      <c r="BG22" s="3"/>
      <c r="BH22" s="10"/>
      <c r="BI22" s="23"/>
      <c r="BJ22" s="28"/>
      <c r="BK22" s="3"/>
      <c r="BL22" s="10"/>
    </row>
    <row r="23" spans="2:64" x14ac:dyDescent="0.3">
      <c r="B23" s="62">
        <f t="shared" si="0"/>
        <v>0</v>
      </c>
      <c r="C23" s="47">
        <f t="shared" si="1"/>
        <v>0</v>
      </c>
      <c r="D23" s="47">
        <f t="shared" si="2"/>
        <v>0</v>
      </c>
      <c r="E23" s="47">
        <f t="shared" si="3"/>
        <v>84</v>
      </c>
      <c r="F23" s="47">
        <f t="shared" si="4"/>
        <v>0</v>
      </c>
      <c r="G23" s="47">
        <f t="shared" si="5"/>
        <v>0</v>
      </c>
      <c r="H23" s="47">
        <f t="shared" si="6"/>
        <v>60</v>
      </c>
      <c r="I23" s="47">
        <f t="shared" si="7"/>
        <v>0</v>
      </c>
      <c r="J23" s="47">
        <f t="shared" si="8"/>
        <v>0</v>
      </c>
      <c r="K23" s="63">
        <f t="shared" si="9"/>
        <v>0</v>
      </c>
      <c r="L23" s="55">
        <f t="shared" si="10"/>
        <v>24.046987814188924</v>
      </c>
      <c r="N23" s="33">
        <v>4</v>
      </c>
      <c r="O23" s="27">
        <v>838</v>
      </c>
      <c r="P23" s="87" t="s">
        <v>176</v>
      </c>
      <c r="Q23" s="87" t="s">
        <v>165</v>
      </c>
      <c r="R23" s="37" t="s">
        <v>171</v>
      </c>
      <c r="S23" s="20"/>
      <c r="T23" s="3"/>
      <c r="U23" s="3"/>
      <c r="V23" s="3"/>
      <c r="W23" s="3"/>
      <c r="X23" s="10"/>
      <c r="Y23" s="17"/>
      <c r="Z23" s="2"/>
      <c r="AA23" s="2"/>
      <c r="AB23" s="2"/>
      <c r="AC23" s="3"/>
      <c r="AD23" s="37"/>
      <c r="AE23" s="9">
        <v>0</v>
      </c>
      <c r="AF23" s="2">
        <v>0</v>
      </c>
      <c r="AG23" s="2">
        <v>0</v>
      </c>
      <c r="AH23" s="2"/>
      <c r="AI23" s="3"/>
      <c r="AJ23" s="10"/>
      <c r="AK23" s="28">
        <v>12</v>
      </c>
      <c r="AL23" s="3">
        <v>6</v>
      </c>
      <c r="AM23" s="3">
        <v>7</v>
      </c>
      <c r="AN23" s="10">
        <v>17</v>
      </c>
      <c r="AO23" s="28">
        <v>0</v>
      </c>
      <c r="AP23" s="28"/>
      <c r="AQ23" s="3"/>
      <c r="AR23" s="10"/>
      <c r="AS23" s="20">
        <v>0</v>
      </c>
      <c r="AT23" s="28"/>
      <c r="AU23" s="3"/>
      <c r="AV23" s="10"/>
      <c r="AW23" s="20">
        <v>12</v>
      </c>
      <c r="AX23" s="28">
        <v>3</v>
      </c>
      <c r="AY23" s="3">
        <v>5</v>
      </c>
      <c r="AZ23" s="10">
        <v>15</v>
      </c>
      <c r="BA23" s="20"/>
      <c r="BB23" s="28"/>
      <c r="BC23" s="3"/>
      <c r="BD23" s="10"/>
      <c r="BE23" s="23"/>
      <c r="BF23" s="28"/>
      <c r="BG23" s="3"/>
      <c r="BH23" s="10"/>
      <c r="BI23" s="23"/>
      <c r="BJ23" s="28"/>
      <c r="BK23" s="3"/>
      <c r="BL23" s="10"/>
    </row>
    <row r="24" spans="2:64" x14ac:dyDescent="0.3">
      <c r="B24" s="62">
        <f t="shared" si="0"/>
        <v>10</v>
      </c>
      <c r="C24" s="47">
        <f t="shared" si="1"/>
        <v>1.6</v>
      </c>
      <c r="D24" s="47">
        <f t="shared" si="2"/>
        <v>0</v>
      </c>
      <c r="E24" s="47">
        <f t="shared" si="3"/>
        <v>36</v>
      </c>
      <c r="F24" s="47">
        <f t="shared" si="4"/>
        <v>0</v>
      </c>
      <c r="G24" s="47">
        <f t="shared" si="5"/>
        <v>22.5</v>
      </c>
      <c r="H24" s="47">
        <f t="shared" si="6"/>
        <v>42</v>
      </c>
      <c r="I24" s="47">
        <f t="shared" si="7"/>
        <v>0</v>
      </c>
      <c r="J24" s="47">
        <f t="shared" si="8"/>
        <v>0</v>
      </c>
      <c r="K24" s="63">
        <f t="shared" si="9"/>
        <v>0</v>
      </c>
      <c r="L24" s="55">
        <f t="shared" si="10"/>
        <v>17.033283035050488</v>
      </c>
      <c r="N24" s="33">
        <v>5</v>
      </c>
      <c r="O24" s="28">
        <v>839</v>
      </c>
      <c r="P24" s="88" t="s">
        <v>176</v>
      </c>
      <c r="Q24" s="88" t="s">
        <v>165</v>
      </c>
      <c r="R24" s="37" t="s">
        <v>171</v>
      </c>
      <c r="S24" s="20"/>
      <c r="T24" s="3"/>
      <c r="U24" s="3"/>
      <c r="V24" s="3"/>
      <c r="W24" s="3"/>
      <c r="X24" s="10"/>
      <c r="Y24" s="17"/>
      <c r="Z24" s="2"/>
      <c r="AA24" s="2">
        <v>1</v>
      </c>
      <c r="AB24" s="2">
        <v>8</v>
      </c>
      <c r="AC24" s="3">
        <v>10</v>
      </c>
      <c r="AD24" s="37">
        <v>25</v>
      </c>
      <c r="AE24" s="9">
        <v>0</v>
      </c>
      <c r="AF24" s="2">
        <v>0</v>
      </c>
      <c r="AG24" s="2">
        <v>1</v>
      </c>
      <c r="AH24" s="2">
        <v>2.5</v>
      </c>
      <c r="AI24" s="3">
        <v>1.6</v>
      </c>
      <c r="AJ24" s="10">
        <v>16</v>
      </c>
      <c r="AK24" s="28">
        <v>4</v>
      </c>
      <c r="AL24" s="3">
        <v>8</v>
      </c>
      <c r="AM24" s="3">
        <v>9</v>
      </c>
      <c r="AN24" s="10">
        <v>18</v>
      </c>
      <c r="AO24" s="28">
        <v>0</v>
      </c>
      <c r="AP24" s="28"/>
      <c r="AQ24" s="3"/>
      <c r="AR24" s="10"/>
      <c r="AS24" s="20">
        <v>5</v>
      </c>
      <c r="AT24" s="28">
        <v>2</v>
      </c>
      <c r="AU24" s="3">
        <v>4.5</v>
      </c>
      <c r="AV24" s="10">
        <v>12</v>
      </c>
      <c r="AW24" s="20">
        <v>6</v>
      </c>
      <c r="AX24" s="28">
        <v>7</v>
      </c>
      <c r="AY24" s="3">
        <v>7</v>
      </c>
      <c r="AZ24" s="10">
        <v>17</v>
      </c>
      <c r="BA24" s="20"/>
      <c r="BB24" s="28"/>
      <c r="BC24" s="3"/>
      <c r="BD24" s="10"/>
      <c r="BE24" s="23"/>
      <c r="BF24" s="28"/>
      <c r="BG24" s="3"/>
      <c r="BH24" s="10"/>
      <c r="BI24" s="20"/>
      <c r="BJ24" s="28"/>
      <c r="BK24" s="3"/>
      <c r="BL24" s="10"/>
    </row>
    <row r="25" spans="2:64" x14ac:dyDescent="0.3">
      <c r="B25" s="62">
        <f t="shared" si="0"/>
        <v>0</v>
      </c>
      <c r="C25" s="47">
        <f t="shared" si="1"/>
        <v>0</v>
      </c>
      <c r="D25" s="47">
        <f t="shared" si="2"/>
        <v>0</v>
      </c>
      <c r="E25" s="47">
        <f t="shared" si="3"/>
        <v>0</v>
      </c>
      <c r="F25" s="47">
        <f t="shared" si="4"/>
        <v>90</v>
      </c>
      <c r="G25" s="47">
        <f t="shared" si="5"/>
        <v>33</v>
      </c>
      <c r="H25" s="47">
        <f t="shared" si="6"/>
        <v>36.9</v>
      </c>
      <c r="I25" s="47">
        <f t="shared" si="7"/>
        <v>0</v>
      </c>
      <c r="J25" s="47">
        <f t="shared" si="8"/>
        <v>0</v>
      </c>
      <c r="K25" s="63">
        <f t="shared" si="9"/>
        <v>0</v>
      </c>
      <c r="L25" s="55">
        <f t="shared" si="10"/>
        <v>24.046987814188924</v>
      </c>
      <c r="N25" s="33">
        <v>6</v>
      </c>
      <c r="O25" s="28">
        <v>840</v>
      </c>
      <c r="P25" s="88" t="s">
        <v>176</v>
      </c>
      <c r="Q25" s="88" t="s">
        <v>167</v>
      </c>
      <c r="R25" s="37"/>
      <c r="S25" s="20"/>
      <c r="T25" s="3"/>
      <c r="U25" s="3"/>
      <c r="V25" s="3"/>
      <c r="W25" s="3"/>
      <c r="X25" s="10"/>
      <c r="Y25" s="17"/>
      <c r="Z25" s="2"/>
      <c r="AA25" s="2"/>
      <c r="AB25" s="2"/>
      <c r="AC25" s="3"/>
      <c r="AD25" s="37"/>
      <c r="AE25" s="9">
        <v>0</v>
      </c>
      <c r="AF25" s="2">
        <v>0</v>
      </c>
      <c r="AG25" s="2">
        <v>0</v>
      </c>
      <c r="AH25" s="2">
        <v>0</v>
      </c>
      <c r="AI25" s="3"/>
      <c r="AJ25" s="10"/>
      <c r="AK25" s="28">
        <v>0</v>
      </c>
      <c r="AL25" s="3"/>
      <c r="AM25" s="3"/>
      <c r="AN25" s="10"/>
      <c r="AO25" s="28">
        <v>9</v>
      </c>
      <c r="AP25" s="28">
        <v>7</v>
      </c>
      <c r="AQ25" s="3">
        <v>10</v>
      </c>
      <c r="AR25" s="10">
        <v>19</v>
      </c>
      <c r="AS25" s="20">
        <v>6</v>
      </c>
      <c r="AT25" s="28">
        <v>5</v>
      </c>
      <c r="AU25" s="3">
        <v>5.5</v>
      </c>
      <c r="AV25" s="10">
        <v>15</v>
      </c>
      <c r="AW25" s="20">
        <v>9</v>
      </c>
      <c r="AX25" s="28">
        <v>1</v>
      </c>
      <c r="AY25" s="3">
        <v>4.0999999999999996</v>
      </c>
      <c r="AZ25" s="10">
        <v>13</v>
      </c>
      <c r="BA25" s="20"/>
      <c r="BB25" s="28"/>
      <c r="BC25" s="3"/>
      <c r="BD25" s="10"/>
      <c r="BE25" s="23"/>
      <c r="BF25" s="28"/>
      <c r="BG25" s="3"/>
      <c r="BH25" s="10"/>
      <c r="BI25" s="20"/>
      <c r="BJ25" s="28"/>
      <c r="BK25" s="3"/>
      <c r="BL25" s="10"/>
    </row>
    <row r="26" spans="2:64" x14ac:dyDescent="0.3">
      <c r="B26" s="62">
        <f t="shared" si="0"/>
        <v>0</v>
      </c>
      <c r="C26" s="47">
        <f t="shared" si="1"/>
        <v>0</v>
      </c>
      <c r="D26" s="47">
        <f t="shared" si="2"/>
        <v>0</v>
      </c>
      <c r="E26" s="47">
        <f t="shared" si="3"/>
        <v>39</v>
      </c>
      <c r="F26" s="47">
        <f t="shared" si="4"/>
        <v>0</v>
      </c>
      <c r="G26" s="47">
        <f t="shared" si="5"/>
        <v>0</v>
      </c>
      <c r="H26" s="47">
        <f t="shared" si="6"/>
        <v>0</v>
      </c>
      <c r="I26" s="47">
        <f t="shared" si="7"/>
        <v>0</v>
      </c>
      <c r="J26" s="47">
        <f t="shared" si="8"/>
        <v>0</v>
      </c>
      <c r="K26" s="63">
        <f t="shared" si="9"/>
        <v>0</v>
      </c>
      <c r="L26" s="55">
        <f t="shared" si="10"/>
        <v>16.031325209459283</v>
      </c>
      <c r="N26" s="33">
        <v>7</v>
      </c>
      <c r="O26" s="27">
        <v>841</v>
      </c>
      <c r="P26" s="87" t="s">
        <v>176</v>
      </c>
      <c r="Q26" s="87" t="s">
        <v>177</v>
      </c>
      <c r="R26" s="37"/>
      <c r="S26" s="20"/>
      <c r="T26" s="3"/>
      <c r="U26" s="3"/>
      <c r="V26" s="3"/>
      <c r="W26" s="3"/>
      <c r="X26" s="10"/>
      <c r="Y26" s="17"/>
      <c r="Z26" s="2"/>
      <c r="AA26" s="2"/>
      <c r="AB26" s="2"/>
      <c r="AC26" s="3"/>
      <c r="AD26" s="37"/>
      <c r="AE26" s="9">
        <v>4</v>
      </c>
      <c r="AF26" s="2">
        <v>6</v>
      </c>
      <c r="AG26" s="2">
        <v>0</v>
      </c>
      <c r="AH26" s="2">
        <v>1</v>
      </c>
      <c r="AI26" s="3"/>
      <c r="AJ26" s="10">
        <v>10</v>
      </c>
      <c r="AK26" s="28">
        <v>6</v>
      </c>
      <c r="AL26" s="3">
        <v>5</v>
      </c>
      <c r="AM26" s="3">
        <v>6.5</v>
      </c>
      <c r="AN26" s="10">
        <v>16</v>
      </c>
      <c r="AO26" s="28">
        <v>0</v>
      </c>
      <c r="AP26" s="28"/>
      <c r="AQ26" s="3"/>
      <c r="AR26" s="10"/>
      <c r="AS26" s="20">
        <v>0</v>
      </c>
      <c r="AT26" s="28"/>
      <c r="AU26" s="3"/>
      <c r="AV26" s="10"/>
      <c r="AW26" s="20">
        <v>0</v>
      </c>
      <c r="AX26" s="28"/>
      <c r="AY26" s="3"/>
      <c r="AZ26" s="10"/>
      <c r="BA26" s="20"/>
      <c r="BB26" s="28"/>
      <c r="BC26" s="3"/>
      <c r="BD26" s="10"/>
      <c r="BE26" s="23"/>
      <c r="BF26" s="28"/>
      <c r="BG26" s="3"/>
      <c r="BH26" s="10"/>
      <c r="BI26" s="20"/>
      <c r="BJ26" s="28"/>
      <c r="BK26" s="3"/>
      <c r="BL26" s="10"/>
    </row>
    <row r="27" spans="2:64" x14ac:dyDescent="0.3">
      <c r="B27" s="62">
        <f t="shared" si="0"/>
        <v>0</v>
      </c>
      <c r="C27" s="47">
        <f t="shared" si="1"/>
        <v>0</v>
      </c>
      <c r="D27" s="47">
        <f t="shared" si="2"/>
        <v>0</v>
      </c>
      <c r="E27" s="47">
        <f t="shared" si="3"/>
        <v>96</v>
      </c>
      <c r="F27" s="47">
        <f t="shared" si="4"/>
        <v>0</v>
      </c>
      <c r="G27" s="47">
        <f t="shared" si="5"/>
        <v>0</v>
      </c>
      <c r="H27" s="47">
        <f t="shared" si="6"/>
        <v>7.5</v>
      </c>
      <c r="I27" s="47">
        <f t="shared" si="7"/>
        <v>0</v>
      </c>
      <c r="J27" s="47">
        <f t="shared" si="8"/>
        <v>0</v>
      </c>
      <c r="K27" s="63">
        <f t="shared" si="9"/>
        <v>0</v>
      </c>
      <c r="L27" s="55">
        <f t="shared" si="10"/>
        <v>21.041114337415308</v>
      </c>
      <c r="N27" s="33">
        <v>8</v>
      </c>
      <c r="O27" s="28">
        <v>842</v>
      </c>
      <c r="P27" s="88" t="s">
        <v>176</v>
      </c>
      <c r="Q27" s="88" t="s">
        <v>166</v>
      </c>
      <c r="R27" s="37"/>
      <c r="S27" s="20"/>
      <c r="T27" s="3"/>
      <c r="U27" s="3"/>
      <c r="V27" s="3"/>
      <c r="W27" s="3"/>
      <c r="X27" s="10"/>
      <c r="Y27" s="17"/>
      <c r="Z27" s="2"/>
      <c r="AA27" s="2"/>
      <c r="AB27" s="2"/>
      <c r="AC27" s="3"/>
      <c r="AD27" s="37"/>
      <c r="AE27" s="9">
        <v>5</v>
      </c>
      <c r="AF27" s="2">
        <v>1</v>
      </c>
      <c r="AG27" s="2">
        <v>0</v>
      </c>
      <c r="AH27" s="2">
        <v>1</v>
      </c>
      <c r="AI27" s="3"/>
      <c r="AJ27" s="10">
        <v>7</v>
      </c>
      <c r="AK27" s="28">
        <v>12</v>
      </c>
      <c r="AL27" s="3">
        <v>8</v>
      </c>
      <c r="AM27" s="3">
        <v>8</v>
      </c>
      <c r="AN27" s="10">
        <v>17</v>
      </c>
      <c r="AO27" s="28">
        <v>0</v>
      </c>
      <c r="AP27" s="28"/>
      <c r="AQ27" s="3"/>
      <c r="AR27" s="10"/>
      <c r="AS27" s="20">
        <v>0</v>
      </c>
      <c r="AT27" s="28"/>
      <c r="AU27" s="3"/>
      <c r="AV27" s="10"/>
      <c r="AW27" s="20">
        <v>3</v>
      </c>
      <c r="AX27" s="28">
        <v>2</v>
      </c>
      <c r="AY27" s="3">
        <v>2.5</v>
      </c>
      <c r="AZ27" s="10">
        <v>13</v>
      </c>
      <c r="BA27" s="20"/>
      <c r="BB27" s="28"/>
      <c r="BC27" s="3"/>
      <c r="BD27" s="10"/>
      <c r="BE27" s="23"/>
      <c r="BF27" s="28"/>
      <c r="BG27" s="3"/>
      <c r="BH27" s="10"/>
      <c r="BI27" s="20"/>
      <c r="BJ27" s="28"/>
      <c r="BK27" s="3"/>
      <c r="BL27" s="10"/>
    </row>
    <row r="28" spans="2:64" x14ac:dyDescent="0.3">
      <c r="B28" s="62">
        <f t="shared" si="0"/>
        <v>0</v>
      </c>
      <c r="C28" s="47">
        <f t="shared" si="1"/>
        <v>0</v>
      </c>
      <c r="D28" s="47">
        <f t="shared" si="2"/>
        <v>0</v>
      </c>
      <c r="E28" s="47">
        <f t="shared" si="3"/>
        <v>0</v>
      </c>
      <c r="F28" s="47">
        <f t="shared" si="4"/>
        <v>0</v>
      </c>
      <c r="G28" s="47">
        <f t="shared" si="5"/>
        <v>76.5</v>
      </c>
      <c r="H28" s="47">
        <f t="shared" si="6"/>
        <v>0</v>
      </c>
      <c r="I28" s="47">
        <f t="shared" si="7"/>
        <v>0</v>
      </c>
      <c r="J28" s="47">
        <f t="shared" si="8"/>
        <v>0</v>
      </c>
      <c r="K28" s="63">
        <f t="shared" si="9"/>
        <v>0</v>
      </c>
      <c r="L28" s="55">
        <f t="shared" si="10"/>
        <v>18.035240860641693</v>
      </c>
      <c r="N28" s="33">
        <v>9</v>
      </c>
      <c r="O28" s="28">
        <v>843</v>
      </c>
      <c r="P28" s="88" t="s">
        <v>176</v>
      </c>
      <c r="Q28" s="88" t="s">
        <v>178</v>
      </c>
      <c r="R28" s="37"/>
      <c r="S28" s="20"/>
      <c r="T28" s="3"/>
      <c r="U28" s="3"/>
      <c r="V28" s="3"/>
      <c r="W28" s="3"/>
      <c r="X28" s="10"/>
      <c r="Y28" s="17"/>
      <c r="Z28" s="2"/>
      <c r="AA28" s="2"/>
      <c r="AB28" s="2"/>
      <c r="AC28" s="3"/>
      <c r="AD28" s="37"/>
      <c r="AE28" s="9">
        <v>0</v>
      </c>
      <c r="AF28" s="2">
        <v>1</v>
      </c>
      <c r="AG28" s="2">
        <v>0</v>
      </c>
      <c r="AH28" s="2">
        <v>0.5</v>
      </c>
      <c r="AI28" s="3"/>
      <c r="AJ28" s="10">
        <v>7</v>
      </c>
      <c r="AK28" s="28">
        <v>0</v>
      </c>
      <c r="AL28" s="3"/>
      <c r="AM28" s="3"/>
      <c r="AN28" s="10"/>
      <c r="AO28" s="28">
        <v>0</v>
      </c>
      <c r="AP28" s="28"/>
      <c r="AQ28" s="3"/>
      <c r="AR28" s="10"/>
      <c r="AS28" s="20">
        <v>17</v>
      </c>
      <c r="AT28" s="28">
        <v>3</v>
      </c>
      <c r="AU28" s="3">
        <v>4.5</v>
      </c>
      <c r="AV28" s="10">
        <v>15</v>
      </c>
      <c r="AW28" s="20">
        <v>0</v>
      </c>
      <c r="AX28" s="28"/>
      <c r="AY28" s="3"/>
      <c r="AZ28" s="10"/>
      <c r="BA28" s="20"/>
      <c r="BB28" s="28"/>
      <c r="BC28" s="3"/>
      <c r="BD28" s="10"/>
      <c r="BE28" s="23"/>
      <c r="BF28" s="28"/>
      <c r="BG28" s="3"/>
      <c r="BH28" s="10"/>
      <c r="BI28" s="20"/>
      <c r="BJ28" s="28"/>
      <c r="BK28" s="3"/>
      <c r="BL28" s="10"/>
    </row>
    <row r="29" spans="2:64" x14ac:dyDescent="0.3">
      <c r="B29" s="62">
        <f t="shared" si="0"/>
        <v>0</v>
      </c>
      <c r="C29" s="47">
        <f t="shared" si="1"/>
        <v>0</v>
      </c>
      <c r="D29" s="47">
        <f t="shared" si="2"/>
        <v>0</v>
      </c>
      <c r="E29" s="47">
        <f t="shared" si="3"/>
        <v>0</v>
      </c>
      <c r="F29" s="47">
        <f t="shared" si="4"/>
        <v>0</v>
      </c>
      <c r="G29" s="47">
        <f t="shared" si="5"/>
        <v>0</v>
      </c>
      <c r="H29" s="47">
        <f t="shared" si="6"/>
        <v>0</v>
      </c>
      <c r="I29" s="47">
        <f t="shared" si="7"/>
        <v>0</v>
      </c>
      <c r="J29" s="47">
        <f t="shared" si="8"/>
        <v>0</v>
      </c>
      <c r="K29" s="63">
        <f t="shared" si="9"/>
        <v>0</v>
      </c>
      <c r="L29" s="55">
        <f t="shared" si="10"/>
        <v>0</v>
      </c>
      <c r="N29" s="33">
        <v>10</v>
      </c>
      <c r="O29" s="27"/>
      <c r="P29" s="87"/>
      <c r="Q29" s="87"/>
      <c r="R29" s="37"/>
      <c r="S29" s="20"/>
      <c r="T29" s="3"/>
      <c r="U29" s="3"/>
      <c r="V29" s="3"/>
      <c r="W29" s="3"/>
      <c r="X29" s="10"/>
      <c r="Y29" s="17"/>
      <c r="Z29" s="2"/>
      <c r="AA29" s="2"/>
      <c r="AB29" s="2"/>
      <c r="AC29" s="3"/>
      <c r="AD29" s="37"/>
      <c r="AE29" s="9"/>
      <c r="AF29" s="2"/>
      <c r="AG29" s="2"/>
      <c r="AH29" s="2"/>
      <c r="AI29" s="3"/>
      <c r="AJ29" s="10"/>
      <c r="AK29" s="28"/>
      <c r="AL29" s="3"/>
      <c r="AM29" s="3"/>
      <c r="AN29" s="10"/>
      <c r="AO29" s="28"/>
      <c r="AP29" s="28"/>
      <c r="AQ29" s="3"/>
      <c r="AR29" s="10"/>
      <c r="AS29" s="20"/>
      <c r="AT29" s="28"/>
      <c r="AU29" s="3"/>
      <c r="AV29" s="10"/>
      <c r="AW29" s="20"/>
      <c r="AX29" s="28"/>
      <c r="AY29" s="3"/>
      <c r="AZ29" s="10"/>
      <c r="BA29" s="20"/>
      <c r="BB29" s="28"/>
      <c r="BC29" s="3"/>
      <c r="BD29" s="10"/>
      <c r="BE29" s="23"/>
      <c r="BF29" s="28"/>
      <c r="BG29" s="3"/>
      <c r="BH29" s="10"/>
      <c r="BI29" s="20"/>
      <c r="BJ29" s="28"/>
      <c r="BK29" s="3"/>
      <c r="BL29" s="10"/>
    </row>
    <row r="30" spans="2:64" x14ac:dyDescent="0.3">
      <c r="B30" s="62">
        <f t="shared" si="0"/>
        <v>0</v>
      </c>
      <c r="C30" s="47">
        <f t="shared" si="1"/>
        <v>0</v>
      </c>
      <c r="D30" s="47">
        <f t="shared" si="2"/>
        <v>0</v>
      </c>
      <c r="E30" s="47">
        <f t="shared" si="3"/>
        <v>0</v>
      </c>
      <c r="F30" s="47">
        <f t="shared" si="4"/>
        <v>0</v>
      </c>
      <c r="G30" s="47">
        <f t="shared" si="5"/>
        <v>0</v>
      </c>
      <c r="H30" s="47">
        <f t="shared" si="6"/>
        <v>0</v>
      </c>
      <c r="I30" s="47">
        <f t="shared" si="7"/>
        <v>0</v>
      </c>
      <c r="J30" s="47">
        <f t="shared" si="8"/>
        <v>0</v>
      </c>
      <c r="K30" s="63">
        <f t="shared" si="9"/>
        <v>0</v>
      </c>
      <c r="L30" s="55">
        <f t="shared" si="10"/>
        <v>0</v>
      </c>
      <c r="N30" s="33">
        <v>11</v>
      </c>
      <c r="O30" s="28"/>
      <c r="P30" s="88"/>
      <c r="Q30" s="88"/>
      <c r="R30" s="37"/>
      <c r="S30" s="20"/>
      <c r="T30" s="3"/>
      <c r="U30" s="3"/>
      <c r="V30" s="3"/>
      <c r="W30" s="3"/>
      <c r="X30" s="10"/>
      <c r="Y30" s="17"/>
      <c r="Z30" s="2"/>
      <c r="AA30" s="2"/>
      <c r="AB30" s="2"/>
      <c r="AC30" s="3"/>
      <c r="AD30" s="37"/>
      <c r="AE30" s="9"/>
      <c r="AF30" s="2"/>
      <c r="AG30" s="2"/>
      <c r="AH30" s="2"/>
      <c r="AI30" s="3"/>
      <c r="AJ30" s="10"/>
      <c r="AK30" s="28"/>
      <c r="AL30" s="3"/>
      <c r="AM30" s="3"/>
      <c r="AN30" s="10"/>
      <c r="AO30" s="28"/>
      <c r="AP30" s="28"/>
      <c r="AQ30" s="3"/>
      <c r="AR30" s="10"/>
      <c r="AS30" s="20"/>
      <c r="AT30" s="28"/>
      <c r="AU30" s="3"/>
      <c r="AV30" s="10"/>
      <c r="AW30" s="20"/>
      <c r="AX30" s="28"/>
      <c r="AY30" s="3"/>
      <c r="AZ30" s="10"/>
      <c r="BA30" s="20"/>
      <c r="BB30" s="28"/>
      <c r="BC30" s="3"/>
      <c r="BD30" s="10"/>
      <c r="BE30" s="23"/>
      <c r="BF30" s="28"/>
      <c r="BG30" s="3"/>
      <c r="BH30" s="10"/>
      <c r="BI30" s="20"/>
      <c r="BJ30" s="28"/>
      <c r="BK30" s="3"/>
      <c r="BL30" s="10"/>
    </row>
    <row r="31" spans="2:64" x14ac:dyDescent="0.3">
      <c r="B31" s="62">
        <f t="shared" si="0"/>
        <v>0</v>
      </c>
      <c r="C31" s="47">
        <f t="shared" si="1"/>
        <v>0</v>
      </c>
      <c r="D31" s="47">
        <f t="shared" si="2"/>
        <v>0</v>
      </c>
      <c r="E31" s="47">
        <f t="shared" si="3"/>
        <v>0</v>
      </c>
      <c r="F31" s="47">
        <f t="shared" si="4"/>
        <v>0</v>
      </c>
      <c r="G31" s="47">
        <f t="shared" si="5"/>
        <v>0</v>
      </c>
      <c r="H31" s="47">
        <f t="shared" si="6"/>
        <v>0</v>
      </c>
      <c r="I31" s="47">
        <f t="shared" si="7"/>
        <v>0</v>
      </c>
      <c r="J31" s="47">
        <f t="shared" si="8"/>
        <v>0</v>
      </c>
      <c r="K31" s="63">
        <f t="shared" si="9"/>
        <v>0</v>
      </c>
      <c r="L31" s="55">
        <f t="shared" si="10"/>
        <v>0</v>
      </c>
      <c r="N31" s="33">
        <v>12</v>
      </c>
      <c r="O31" s="28"/>
      <c r="P31" s="88"/>
      <c r="Q31" s="88"/>
      <c r="R31" s="37"/>
      <c r="S31" s="20"/>
      <c r="T31" s="3"/>
      <c r="U31" s="3"/>
      <c r="V31" s="3"/>
      <c r="W31" s="3"/>
      <c r="X31" s="10"/>
      <c r="Y31" s="17"/>
      <c r="Z31" s="2"/>
      <c r="AA31" s="2"/>
      <c r="AB31" s="2"/>
      <c r="AC31" s="3"/>
      <c r="AD31" s="37"/>
      <c r="AE31" s="9"/>
      <c r="AF31" s="2"/>
      <c r="AG31" s="2"/>
      <c r="AH31" s="2"/>
      <c r="AI31" s="3"/>
      <c r="AJ31" s="10"/>
      <c r="AK31" s="28"/>
      <c r="AL31" s="3"/>
      <c r="AM31" s="3"/>
      <c r="AN31" s="10"/>
      <c r="AO31" s="28"/>
      <c r="AP31" s="28"/>
      <c r="AQ31" s="3"/>
      <c r="AR31" s="10"/>
      <c r="AS31" s="20"/>
      <c r="AT31" s="28"/>
      <c r="AU31" s="3"/>
      <c r="AV31" s="10"/>
      <c r="AW31" s="20"/>
      <c r="AX31" s="28"/>
      <c r="AY31" s="3"/>
      <c r="AZ31" s="10"/>
      <c r="BA31" s="20"/>
      <c r="BB31" s="28"/>
      <c r="BC31" s="3"/>
      <c r="BD31" s="10"/>
      <c r="BE31" s="23"/>
      <c r="BF31" s="28"/>
      <c r="BG31" s="3"/>
      <c r="BH31" s="10"/>
      <c r="BI31" s="20"/>
      <c r="BJ31" s="28"/>
      <c r="BK31" s="3"/>
      <c r="BL31" s="10"/>
    </row>
    <row r="32" spans="2:64" x14ac:dyDescent="0.3">
      <c r="B32" s="62">
        <f t="shared" si="0"/>
        <v>0</v>
      </c>
      <c r="C32" s="47">
        <f t="shared" si="1"/>
        <v>0</v>
      </c>
      <c r="D32" s="47">
        <f t="shared" si="2"/>
        <v>0</v>
      </c>
      <c r="E32" s="47">
        <f t="shared" si="3"/>
        <v>0</v>
      </c>
      <c r="F32" s="47">
        <f t="shared" si="4"/>
        <v>0</v>
      </c>
      <c r="G32" s="47">
        <f t="shared" si="5"/>
        <v>0</v>
      </c>
      <c r="H32" s="47">
        <f t="shared" si="6"/>
        <v>0</v>
      </c>
      <c r="I32" s="47">
        <f t="shared" si="7"/>
        <v>0</v>
      </c>
      <c r="J32" s="47">
        <f t="shared" si="8"/>
        <v>0</v>
      </c>
      <c r="K32" s="63">
        <f t="shared" si="9"/>
        <v>0</v>
      </c>
      <c r="L32" s="55">
        <f t="shared" si="10"/>
        <v>0</v>
      </c>
      <c r="N32" s="33">
        <v>13</v>
      </c>
      <c r="O32" s="28"/>
      <c r="P32" s="88"/>
      <c r="Q32" s="88"/>
      <c r="R32" s="37"/>
      <c r="S32" s="20"/>
      <c r="T32" s="3"/>
      <c r="U32" s="3"/>
      <c r="V32" s="3"/>
      <c r="W32" s="3"/>
      <c r="X32" s="10"/>
      <c r="Y32" s="17"/>
      <c r="Z32" s="2"/>
      <c r="AA32" s="2"/>
      <c r="AB32" s="2"/>
      <c r="AC32" s="3"/>
      <c r="AD32" s="37"/>
      <c r="AE32" s="9"/>
      <c r="AF32" s="2"/>
      <c r="AG32" s="2"/>
      <c r="AH32" s="2"/>
      <c r="AI32" s="3"/>
      <c r="AJ32" s="10"/>
      <c r="AK32" s="28"/>
      <c r="AL32" s="3"/>
      <c r="AM32" s="3"/>
      <c r="AN32" s="10"/>
      <c r="AO32" s="28"/>
      <c r="AP32" s="28"/>
      <c r="AQ32" s="3"/>
      <c r="AR32" s="10"/>
      <c r="AS32" s="20"/>
      <c r="AT32" s="28"/>
      <c r="AU32" s="3"/>
      <c r="AV32" s="10"/>
      <c r="AW32" s="20"/>
      <c r="AX32" s="28"/>
      <c r="AY32" s="3"/>
      <c r="AZ32" s="10"/>
      <c r="BA32" s="20"/>
      <c r="BB32" s="28"/>
      <c r="BC32" s="3"/>
      <c r="BD32" s="10"/>
      <c r="BE32" s="23"/>
      <c r="BF32" s="28"/>
      <c r="BG32" s="3"/>
      <c r="BH32" s="10"/>
      <c r="BI32" s="20"/>
      <c r="BJ32" s="28"/>
      <c r="BK32" s="3"/>
      <c r="BL32" s="10"/>
    </row>
    <row r="33" spans="2:64" x14ac:dyDescent="0.3">
      <c r="B33" s="62">
        <f t="shared" si="0"/>
        <v>0</v>
      </c>
      <c r="C33" s="47">
        <f t="shared" si="1"/>
        <v>0</v>
      </c>
      <c r="D33" s="47">
        <f t="shared" si="2"/>
        <v>0</v>
      </c>
      <c r="E33" s="47">
        <f t="shared" si="3"/>
        <v>0</v>
      </c>
      <c r="F33" s="47">
        <f t="shared" si="4"/>
        <v>0</v>
      </c>
      <c r="G33" s="47">
        <f t="shared" si="5"/>
        <v>0</v>
      </c>
      <c r="H33" s="47">
        <f t="shared" si="6"/>
        <v>0</v>
      </c>
      <c r="I33" s="47">
        <f t="shared" si="7"/>
        <v>0</v>
      </c>
      <c r="J33" s="47">
        <f t="shared" si="8"/>
        <v>0</v>
      </c>
      <c r="K33" s="63">
        <f t="shared" si="9"/>
        <v>0</v>
      </c>
      <c r="L33" s="55">
        <f t="shared" si="10"/>
        <v>0</v>
      </c>
      <c r="N33" s="33">
        <v>14</v>
      </c>
      <c r="O33" s="28"/>
      <c r="P33" s="88"/>
      <c r="Q33" s="88"/>
      <c r="R33" s="37"/>
      <c r="S33" s="20"/>
      <c r="T33" s="3"/>
      <c r="U33" s="3"/>
      <c r="V33" s="3"/>
      <c r="W33" s="3"/>
      <c r="X33" s="10"/>
      <c r="Y33" s="17"/>
      <c r="Z33" s="2"/>
      <c r="AA33" s="2"/>
      <c r="AB33" s="2"/>
      <c r="AC33" s="3"/>
      <c r="AD33" s="37"/>
      <c r="AE33" s="9"/>
      <c r="AF33" s="2"/>
      <c r="AG33" s="2"/>
      <c r="AH33" s="2"/>
      <c r="AI33" s="3"/>
      <c r="AJ33" s="10"/>
      <c r="AK33" s="28"/>
      <c r="AL33" s="3"/>
      <c r="AM33" s="3"/>
      <c r="AN33" s="10"/>
      <c r="AO33" s="28"/>
      <c r="AP33" s="28"/>
      <c r="AQ33" s="3"/>
      <c r="AR33" s="10"/>
      <c r="AS33" s="20"/>
      <c r="AT33" s="28"/>
      <c r="AU33" s="3"/>
      <c r="AV33" s="10"/>
      <c r="AW33" s="20"/>
      <c r="AX33" s="28"/>
      <c r="AY33" s="3"/>
      <c r="AZ33" s="10"/>
      <c r="BA33" s="20"/>
      <c r="BB33" s="28"/>
      <c r="BC33" s="3"/>
      <c r="BD33" s="10"/>
      <c r="BE33" s="23"/>
      <c r="BF33" s="28"/>
      <c r="BG33" s="3"/>
      <c r="BH33" s="10"/>
      <c r="BI33" s="20"/>
      <c r="BJ33" s="28"/>
      <c r="BK33" s="3"/>
      <c r="BL33" s="10"/>
    </row>
    <row r="34" spans="2:64" x14ac:dyDescent="0.3">
      <c r="B34" s="62">
        <f t="shared" si="0"/>
        <v>0</v>
      </c>
      <c r="C34" s="47">
        <f t="shared" si="1"/>
        <v>0</v>
      </c>
      <c r="D34" s="47">
        <f t="shared" si="2"/>
        <v>0</v>
      </c>
      <c r="E34" s="47">
        <f t="shared" si="3"/>
        <v>0</v>
      </c>
      <c r="F34" s="47">
        <f t="shared" si="4"/>
        <v>0</v>
      </c>
      <c r="G34" s="47">
        <f t="shared" si="5"/>
        <v>0</v>
      </c>
      <c r="H34" s="47">
        <f t="shared" si="6"/>
        <v>0</v>
      </c>
      <c r="I34" s="47">
        <f t="shared" si="7"/>
        <v>0</v>
      </c>
      <c r="J34" s="47">
        <f t="shared" si="8"/>
        <v>0</v>
      </c>
      <c r="K34" s="63">
        <f t="shared" si="9"/>
        <v>0</v>
      </c>
      <c r="L34" s="55">
        <f t="shared" si="10"/>
        <v>0</v>
      </c>
      <c r="N34" s="33">
        <v>15</v>
      </c>
      <c r="O34" s="28"/>
      <c r="P34" s="88"/>
      <c r="Q34" s="88"/>
      <c r="R34" s="37"/>
      <c r="S34" s="20"/>
      <c r="T34" s="3"/>
      <c r="U34" s="3"/>
      <c r="V34" s="3"/>
      <c r="W34" s="3"/>
      <c r="X34" s="10"/>
      <c r="Y34" s="17"/>
      <c r="Z34" s="2"/>
      <c r="AA34" s="2"/>
      <c r="AB34" s="2"/>
      <c r="AC34" s="3"/>
      <c r="AD34" s="37"/>
      <c r="AE34" s="9"/>
      <c r="AF34" s="2"/>
      <c r="AG34" s="2"/>
      <c r="AH34" s="2"/>
      <c r="AI34" s="3"/>
      <c r="AJ34" s="10"/>
      <c r="AK34" s="28"/>
      <c r="AL34" s="3"/>
      <c r="AM34" s="3"/>
      <c r="AN34" s="10"/>
      <c r="AO34" s="28"/>
      <c r="AP34" s="28"/>
      <c r="AQ34" s="3"/>
      <c r="AR34" s="10"/>
      <c r="AS34" s="20"/>
      <c r="AT34" s="28"/>
      <c r="AU34" s="3"/>
      <c r="AV34" s="10"/>
      <c r="AW34" s="20"/>
      <c r="AX34" s="28"/>
      <c r="AY34" s="3"/>
      <c r="AZ34" s="10"/>
      <c r="BA34" s="20"/>
      <c r="BB34" s="28"/>
      <c r="BC34" s="3"/>
      <c r="BD34" s="10"/>
      <c r="BE34" s="23"/>
      <c r="BF34" s="28"/>
      <c r="BG34" s="3"/>
      <c r="BH34" s="10"/>
      <c r="BI34" s="20"/>
      <c r="BJ34" s="28"/>
      <c r="BK34" s="3"/>
      <c r="BL34" s="10"/>
    </row>
    <row r="35" spans="2:64" x14ac:dyDescent="0.3">
      <c r="B35" s="62">
        <f t="shared" si="0"/>
        <v>0</v>
      </c>
      <c r="C35" s="47">
        <f t="shared" si="1"/>
        <v>0</v>
      </c>
      <c r="D35" s="47">
        <f t="shared" si="2"/>
        <v>0</v>
      </c>
      <c r="E35" s="47">
        <f t="shared" si="3"/>
        <v>0</v>
      </c>
      <c r="F35" s="47">
        <f t="shared" si="4"/>
        <v>0</v>
      </c>
      <c r="G35" s="47">
        <f t="shared" si="5"/>
        <v>0</v>
      </c>
      <c r="H35" s="47">
        <f t="shared" si="6"/>
        <v>0</v>
      </c>
      <c r="I35" s="47">
        <f t="shared" si="7"/>
        <v>0</v>
      </c>
      <c r="J35" s="47">
        <f t="shared" si="8"/>
        <v>0</v>
      </c>
      <c r="K35" s="63">
        <f t="shared" si="9"/>
        <v>0</v>
      </c>
      <c r="L35" s="55">
        <f t="shared" si="10"/>
        <v>0</v>
      </c>
      <c r="N35" s="33">
        <v>16</v>
      </c>
      <c r="O35" s="28"/>
      <c r="P35" s="88"/>
      <c r="Q35" s="88"/>
      <c r="R35" s="37"/>
      <c r="S35" s="20"/>
      <c r="T35" s="3"/>
      <c r="U35" s="3"/>
      <c r="V35" s="3"/>
      <c r="W35" s="3"/>
      <c r="X35" s="10"/>
      <c r="Y35" s="17"/>
      <c r="Z35" s="2"/>
      <c r="AA35" s="2"/>
      <c r="AB35" s="2"/>
      <c r="AC35" s="3"/>
      <c r="AD35" s="37"/>
      <c r="AE35" s="9"/>
      <c r="AF35" s="2"/>
      <c r="AG35" s="2"/>
      <c r="AH35" s="2"/>
      <c r="AI35" s="3"/>
      <c r="AJ35" s="10"/>
      <c r="AK35" s="28"/>
      <c r="AL35" s="3"/>
      <c r="AM35" s="3"/>
      <c r="AN35" s="10"/>
      <c r="AO35" s="28"/>
      <c r="AP35" s="28"/>
      <c r="AQ35" s="3"/>
      <c r="AR35" s="10"/>
      <c r="AS35" s="20"/>
      <c r="AT35" s="28"/>
      <c r="AU35" s="3"/>
      <c r="AV35" s="10"/>
      <c r="AW35" s="20"/>
      <c r="AX35" s="28"/>
      <c r="AY35" s="3"/>
      <c r="AZ35" s="10"/>
      <c r="BA35" s="20"/>
      <c r="BB35" s="28"/>
      <c r="BC35" s="3"/>
      <c r="BD35" s="10"/>
      <c r="BE35" s="23"/>
      <c r="BF35" s="28"/>
      <c r="BG35" s="3"/>
      <c r="BH35" s="10"/>
      <c r="BI35" s="20"/>
      <c r="BJ35" s="28"/>
      <c r="BK35" s="3"/>
      <c r="BL35" s="10"/>
    </row>
    <row r="36" spans="2:64" x14ac:dyDescent="0.3">
      <c r="B36" s="62">
        <f t="shared" si="0"/>
        <v>0</v>
      </c>
      <c r="C36" s="47">
        <f t="shared" si="1"/>
        <v>0</v>
      </c>
      <c r="D36" s="47">
        <f t="shared" si="2"/>
        <v>0</v>
      </c>
      <c r="E36" s="47">
        <f t="shared" si="3"/>
        <v>0</v>
      </c>
      <c r="F36" s="47">
        <f t="shared" si="4"/>
        <v>0</v>
      </c>
      <c r="G36" s="47">
        <f t="shared" si="5"/>
        <v>0</v>
      </c>
      <c r="H36" s="47">
        <f t="shared" si="6"/>
        <v>0</v>
      </c>
      <c r="I36" s="47">
        <f t="shared" si="7"/>
        <v>0</v>
      </c>
      <c r="J36" s="47">
        <f t="shared" si="8"/>
        <v>0</v>
      </c>
      <c r="K36" s="63">
        <f t="shared" si="9"/>
        <v>0</v>
      </c>
      <c r="L36" s="55">
        <f t="shared" si="10"/>
        <v>0</v>
      </c>
      <c r="N36" s="33">
        <v>17</v>
      </c>
      <c r="O36" s="28"/>
      <c r="P36" s="88"/>
      <c r="Q36" s="88"/>
      <c r="R36" s="37"/>
      <c r="S36" s="20"/>
      <c r="T36" s="3"/>
      <c r="U36" s="3"/>
      <c r="V36" s="3"/>
      <c r="W36" s="3"/>
      <c r="X36" s="10"/>
      <c r="Y36" s="17"/>
      <c r="Z36" s="2"/>
      <c r="AA36" s="2"/>
      <c r="AB36" s="2"/>
      <c r="AC36" s="3"/>
      <c r="AD36" s="37"/>
      <c r="AE36" s="9"/>
      <c r="AF36" s="2"/>
      <c r="AG36" s="2"/>
      <c r="AH36" s="2"/>
      <c r="AI36" s="3"/>
      <c r="AJ36" s="10"/>
      <c r="AK36" s="28"/>
      <c r="AL36" s="3"/>
      <c r="AM36" s="3"/>
      <c r="AN36" s="10"/>
      <c r="AO36" s="28"/>
      <c r="AP36" s="28"/>
      <c r="AQ36" s="3"/>
      <c r="AR36" s="10"/>
      <c r="AS36" s="20"/>
      <c r="AT36" s="28"/>
      <c r="AU36" s="3"/>
      <c r="AV36" s="10"/>
      <c r="AW36" s="20"/>
      <c r="AX36" s="28"/>
      <c r="AY36" s="3"/>
      <c r="AZ36" s="10"/>
      <c r="BA36" s="20"/>
      <c r="BB36" s="28"/>
      <c r="BC36" s="3"/>
      <c r="BD36" s="10"/>
      <c r="BE36" s="23"/>
      <c r="BF36" s="28"/>
      <c r="BG36" s="3"/>
      <c r="BH36" s="10"/>
      <c r="BI36" s="20"/>
      <c r="BJ36" s="28"/>
      <c r="BK36" s="3"/>
      <c r="BL36" s="10"/>
    </row>
    <row r="37" spans="2:64" x14ac:dyDescent="0.3">
      <c r="B37" s="62">
        <f t="shared" si="0"/>
        <v>0</v>
      </c>
      <c r="C37" s="47">
        <f t="shared" si="1"/>
        <v>0</v>
      </c>
      <c r="D37" s="47">
        <f t="shared" si="2"/>
        <v>0</v>
      </c>
      <c r="E37" s="47">
        <f t="shared" si="3"/>
        <v>0</v>
      </c>
      <c r="F37" s="47">
        <f t="shared" si="4"/>
        <v>0</v>
      </c>
      <c r="G37" s="47">
        <f t="shared" si="5"/>
        <v>0</v>
      </c>
      <c r="H37" s="47">
        <f t="shared" si="6"/>
        <v>0</v>
      </c>
      <c r="I37" s="47">
        <f t="shared" si="7"/>
        <v>0</v>
      </c>
      <c r="J37" s="47">
        <f t="shared" si="8"/>
        <v>0</v>
      </c>
      <c r="K37" s="63">
        <f t="shared" si="9"/>
        <v>0</v>
      </c>
      <c r="L37" s="55">
        <f t="shared" si="10"/>
        <v>0</v>
      </c>
      <c r="N37" s="33">
        <v>18</v>
      </c>
      <c r="O37" s="28"/>
      <c r="P37" s="88"/>
      <c r="Q37" s="88"/>
      <c r="R37" s="37"/>
      <c r="S37" s="20"/>
      <c r="T37" s="3"/>
      <c r="U37" s="3"/>
      <c r="V37" s="3"/>
      <c r="W37" s="3"/>
      <c r="X37" s="10"/>
      <c r="Y37" s="17"/>
      <c r="Z37" s="2"/>
      <c r="AA37" s="2"/>
      <c r="AB37" s="2"/>
      <c r="AC37" s="3"/>
      <c r="AD37" s="37"/>
      <c r="AE37" s="9"/>
      <c r="AF37" s="2"/>
      <c r="AG37" s="2"/>
      <c r="AH37" s="2"/>
      <c r="AI37" s="3"/>
      <c r="AJ37" s="10"/>
      <c r="AK37" s="28"/>
      <c r="AL37" s="3"/>
      <c r="AM37" s="3"/>
      <c r="AN37" s="10"/>
      <c r="AO37" s="28"/>
      <c r="AP37" s="28"/>
      <c r="AQ37" s="3"/>
      <c r="AR37" s="10"/>
      <c r="AS37" s="20"/>
      <c r="AT37" s="28"/>
      <c r="AU37" s="3"/>
      <c r="AV37" s="10"/>
      <c r="AW37" s="20"/>
      <c r="AX37" s="28"/>
      <c r="AY37" s="3"/>
      <c r="AZ37" s="10"/>
      <c r="BA37" s="20"/>
      <c r="BB37" s="28"/>
      <c r="BC37" s="3"/>
      <c r="BD37" s="10"/>
      <c r="BE37" s="23"/>
      <c r="BF37" s="28"/>
      <c r="BG37" s="3"/>
      <c r="BH37" s="10"/>
      <c r="BI37" s="20"/>
      <c r="BJ37" s="28"/>
      <c r="BK37" s="3"/>
      <c r="BL37" s="10"/>
    </row>
    <row r="38" spans="2:64" x14ac:dyDescent="0.3">
      <c r="B38" s="62">
        <f t="shared" si="0"/>
        <v>0</v>
      </c>
      <c r="C38" s="47">
        <f t="shared" si="1"/>
        <v>0</v>
      </c>
      <c r="D38" s="47">
        <f t="shared" si="2"/>
        <v>0</v>
      </c>
      <c r="E38" s="47">
        <f t="shared" si="3"/>
        <v>0</v>
      </c>
      <c r="F38" s="47">
        <f t="shared" si="4"/>
        <v>0</v>
      </c>
      <c r="G38" s="47">
        <f t="shared" si="5"/>
        <v>0</v>
      </c>
      <c r="H38" s="47">
        <f t="shared" si="6"/>
        <v>0</v>
      </c>
      <c r="I38" s="47">
        <f t="shared" si="7"/>
        <v>0</v>
      </c>
      <c r="J38" s="47">
        <f t="shared" si="8"/>
        <v>0</v>
      </c>
      <c r="K38" s="63">
        <f t="shared" si="9"/>
        <v>0</v>
      </c>
      <c r="L38" s="55">
        <f t="shared" si="10"/>
        <v>0</v>
      </c>
      <c r="N38" s="33">
        <v>19</v>
      </c>
      <c r="O38" s="28"/>
      <c r="P38" s="88"/>
      <c r="Q38" s="88"/>
      <c r="R38" s="37"/>
      <c r="S38" s="20"/>
      <c r="T38" s="3"/>
      <c r="U38" s="3"/>
      <c r="V38" s="3"/>
      <c r="W38" s="3"/>
      <c r="X38" s="10"/>
      <c r="Y38" s="17"/>
      <c r="Z38" s="2"/>
      <c r="AA38" s="2"/>
      <c r="AB38" s="2"/>
      <c r="AC38" s="3"/>
      <c r="AD38" s="37"/>
      <c r="AE38" s="9"/>
      <c r="AF38" s="2"/>
      <c r="AG38" s="2"/>
      <c r="AH38" s="2"/>
      <c r="AI38" s="3"/>
      <c r="AJ38" s="10"/>
      <c r="AK38" s="28"/>
      <c r="AL38" s="3"/>
      <c r="AM38" s="3"/>
      <c r="AN38" s="10"/>
      <c r="AO38" s="28"/>
      <c r="AP38" s="28"/>
      <c r="AQ38" s="3"/>
      <c r="AR38" s="10"/>
      <c r="AS38" s="20"/>
      <c r="AT38" s="28"/>
      <c r="AU38" s="3"/>
      <c r="AV38" s="10"/>
      <c r="AW38" s="20"/>
      <c r="AX38" s="28"/>
      <c r="AY38" s="3"/>
      <c r="AZ38" s="10"/>
      <c r="BA38" s="20"/>
      <c r="BB38" s="28"/>
      <c r="BC38" s="3"/>
      <c r="BD38" s="10"/>
      <c r="BE38" s="23"/>
      <c r="BF38" s="28"/>
      <c r="BG38" s="3"/>
      <c r="BH38" s="10"/>
      <c r="BI38" s="20"/>
      <c r="BJ38" s="28"/>
      <c r="BK38" s="3"/>
      <c r="BL38" s="10"/>
    </row>
    <row r="39" spans="2:64" x14ac:dyDescent="0.3">
      <c r="B39" s="62">
        <f t="shared" si="0"/>
        <v>0</v>
      </c>
      <c r="C39" s="47">
        <f t="shared" si="1"/>
        <v>0</v>
      </c>
      <c r="D39" s="47">
        <f t="shared" si="2"/>
        <v>0</v>
      </c>
      <c r="E39" s="47">
        <f t="shared" si="3"/>
        <v>0</v>
      </c>
      <c r="F39" s="47">
        <f t="shared" si="4"/>
        <v>0</v>
      </c>
      <c r="G39" s="47">
        <f t="shared" si="5"/>
        <v>0</v>
      </c>
      <c r="H39" s="47">
        <f t="shared" si="6"/>
        <v>0</v>
      </c>
      <c r="I39" s="47">
        <f t="shared" si="7"/>
        <v>0</v>
      </c>
      <c r="J39" s="47">
        <f t="shared" si="8"/>
        <v>0</v>
      </c>
      <c r="K39" s="63">
        <f t="shared" si="9"/>
        <v>0</v>
      </c>
      <c r="L39" s="55">
        <f t="shared" si="10"/>
        <v>0</v>
      </c>
      <c r="N39" s="33">
        <v>20</v>
      </c>
      <c r="O39" s="28"/>
      <c r="P39" s="88"/>
      <c r="Q39" s="88"/>
      <c r="R39" s="37"/>
      <c r="S39" s="20"/>
      <c r="T39" s="3"/>
      <c r="U39" s="3"/>
      <c r="V39" s="3"/>
      <c r="W39" s="3"/>
      <c r="X39" s="10"/>
      <c r="Y39" s="17"/>
      <c r="Z39" s="2"/>
      <c r="AA39" s="2"/>
      <c r="AB39" s="2"/>
      <c r="AC39" s="3"/>
      <c r="AD39" s="37"/>
      <c r="AE39" s="9"/>
      <c r="AF39" s="2"/>
      <c r="AG39" s="2"/>
      <c r="AH39" s="2"/>
      <c r="AI39" s="3"/>
      <c r="AJ39" s="10"/>
      <c r="AK39" s="28"/>
      <c r="AL39" s="3"/>
      <c r="AM39" s="3"/>
      <c r="AN39" s="10"/>
      <c r="AO39" s="28"/>
      <c r="AP39" s="28"/>
      <c r="AQ39" s="3"/>
      <c r="AR39" s="10"/>
      <c r="AS39" s="20"/>
      <c r="AT39" s="28"/>
      <c r="AU39" s="3"/>
      <c r="AV39" s="10"/>
      <c r="AW39" s="20"/>
      <c r="AX39" s="28"/>
      <c r="AY39" s="3"/>
      <c r="AZ39" s="10"/>
      <c r="BA39" s="20"/>
      <c r="BB39" s="28"/>
      <c r="BC39" s="3"/>
      <c r="BD39" s="10"/>
      <c r="BE39" s="23"/>
      <c r="BF39" s="28"/>
      <c r="BG39" s="3"/>
      <c r="BH39" s="10"/>
      <c r="BI39" s="20"/>
      <c r="BJ39" s="28"/>
      <c r="BK39" s="3"/>
      <c r="BL39" s="10"/>
    </row>
    <row r="40" spans="2:64" x14ac:dyDescent="0.3">
      <c r="B40" s="62">
        <f t="shared" si="0"/>
        <v>0</v>
      </c>
      <c r="C40" s="47">
        <f t="shared" si="1"/>
        <v>0</v>
      </c>
      <c r="D40" s="47">
        <f t="shared" si="2"/>
        <v>0</v>
      </c>
      <c r="E40" s="47">
        <f t="shared" si="3"/>
        <v>0</v>
      </c>
      <c r="F40" s="47">
        <f t="shared" si="4"/>
        <v>0</v>
      </c>
      <c r="G40" s="47">
        <f t="shared" si="5"/>
        <v>0</v>
      </c>
      <c r="H40" s="47">
        <f t="shared" si="6"/>
        <v>0</v>
      </c>
      <c r="I40" s="47">
        <f t="shared" si="7"/>
        <v>0</v>
      </c>
      <c r="J40" s="47">
        <f t="shared" si="8"/>
        <v>0</v>
      </c>
      <c r="K40" s="63">
        <f t="shared" si="9"/>
        <v>0</v>
      </c>
      <c r="L40" s="55">
        <f t="shared" si="10"/>
        <v>0</v>
      </c>
      <c r="N40" s="33">
        <v>21</v>
      </c>
      <c r="O40" s="28"/>
      <c r="P40" s="88"/>
      <c r="Q40" s="88"/>
      <c r="R40" s="37"/>
      <c r="S40" s="20"/>
      <c r="T40" s="3"/>
      <c r="U40" s="3"/>
      <c r="V40" s="3"/>
      <c r="W40" s="3"/>
      <c r="X40" s="10"/>
      <c r="Y40" s="17"/>
      <c r="Z40" s="2"/>
      <c r="AA40" s="2"/>
      <c r="AB40" s="2"/>
      <c r="AC40" s="3"/>
      <c r="AD40" s="37"/>
      <c r="AE40" s="9"/>
      <c r="AF40" s="2"/>
      <c r="AG40" s="2"/>
      <c r="AH40" s="2"/>
      <c r="AI40" s="3"/>
      <c r="AJ40" s="10"/>
      <c r="AK40" s="28"/>
      <c r="AL40" s="3"/>
      <c r="AM40" s="3"/>
      <c r="AN40" s="10"/>
      <c r="AO40" s="28"/>
      <c r="AP40" s="28"/>
      <c r="AQ40" s="3"/>
      <c r="AR40" s="10"/>
      <c r="AS40" s="20"/>
      <c r="AT40" s="28"/>
      <c r="AU40" s="3"/>
      <c r="AV40" s="10"/>
      <c r="AW40" s="20"/>
      <c r="AX40" s="28"/>
      <c r="AY40" s="3"/>
      <c r="AZ40" s="10"/>
      <c r="BA40" s="20"/>
      <c r="BB40" s="28"/>
      <c r="BC40" s="3"/>
      <c r="BD40" s="10"/>
      <c r="BE40" s="23"/>
      <c r="BF40" s="28"/>
      <c r="BG40" s="3"/>
      <c r="BH40" s="10"/>
      <c r="BI40" s="20"/>
      <c r="BJ40" s="28"/>
      <c r="BK40" s="3"/>
      <c r="BL40" s="10"/>
    </row>
    <row r="41" spans="2:64" x14ac:dyDescent="0.3">
      <c r="B41" s="62">
        <f t="shared" si="0"/>
        <v>0</v>
      </c>
      <c r="C41" s="47">
        <f t="shared" si="1"/>
        <v>0</v>
      </c>
      <c r="D41" s="47">
        <f t="shared" si="2"/>
        <v>0</v>
      </c>
      <c r="E41" s="47">
        <f t="shared" si="3"/>
        <v>0</v>
      </c>
      <c r="F41" s="47">
        <f t="shared" si="4"/>
        <v>0</v>
      </c>
      <c r="G41" s="47">
        <f t="shared" si="5"/>
        <v>0</v>
      </c>
      <c r="H41" s="47">
        <f t="shared" si="6"/>
        <v>0</v>
      </c>
      <c r="I41" s="47">
        <f t="shared" si="7"/>
        <v>0</v>
      </c>
      <c r="J41" s="47">
        <f t="shared" si="8"/>
        <v>0</v>
      </c>
      <c r="K41" s="63">
        <f t="shared" si="9"/>
        <v>0</v>
      </c>
      <c r="L41" s="55">
        <f t="shared" si="10"/>
        <v>0</v>
      </c>
      <c r="N41" s="33">
        <v>22</v>
      </c>
      <c r="O41" s="28"/>
      <c r="P41" s="88"/>
      <c r="Q41" s="88"/>
      <c r="R41" s="37"/>
      <c r="S41" s="20"/>
      <c r="T41" s="3"/>
      <c r="U41" s="3"/>
      <c r="V41" s="3"/>
      <c r="W41" s="3"/>
      <c r="X41" s="10"/>
      <c r="Y41" s="17"/>
      <c r="Z41" s="2"/>
      <c r="AA41" s="2"/>
      <c r="AB41" s="2"/>
      <c r="AC41" s="3"/>
      <c r="AD41" s="37"/>
      <c r="AE41" s="9"/>
      <c r="AF41" s="2"/>
      <c r="AG41" s="2"/>
      <c r="AH41" s="2"/>
      <c r="AI41" s="3"/>
      <c r="AJ41" s="10"/>
      <c r="AK41" s="28"/>
      <c r="AL41" s="3"/>
      <c r="AM41" s="3"/>
      <c r="AN41" s="10"/>
      <c r="AO41" s="28"/>
      <c r="AP41" s="28"/>
      <c r="AQ41" s="3"/>
      <c r="AR41" s="10"/>
      <c r="AS41" s="20"/>
      <c r="AT41" s="28"/>
      <c r="AU41" s="3"/>
      <c r="AV41" s="10"/>
      <c r="AW41" s="20"/>
      <c r="AX41" s="28"/>
      <c r="AY41" s="3"/>
      <c r="AZ41" s="10"/>
      <c r="BA41" s="20"/>
      <c r="BB41" s="28"/>
      <c r="BC41" s="3"/>
      <c r="BD41" s="10"/>
      <c r="BE41" s="23"/>
      <c r="BF41" s="28"/>
      <c r="BG41" s="3"/>
      <c r="BH41" s="10"/>
      <c r="BI41" s="20"/>
      <c r="BJ41" s="28"/>
      <c r="BK41" s="3"/>
      <c r="BL41" s="10"/>
    </row>
    <row r="42" spans="2:64" x14ac:dyDescent="0.3">
      <c r="B42" s="62">
        <f t="shared" si="0"/>
        <v>0</v>
      </c>
      <c r="C42" s="47">
        <f t="shared" si="1"/>
        <v>0</v>
      </c>
      <c r="D42" s="47">
        <f t="shared" si="2"/>
        <v>0</v>
      </c>
      <c r="E42" s="47">
        <f t="shared" si="3"/>
        <v>0</v>
      </c>
      <c r="F42" s="47">
        <f t="shared" si="4"/>
        <v>0</v>
      </c>
      <c r="G42" s="47">
        <f t="shared" si="5"/>
        <v>0</v>
      </c>
      <c r="H42" s="47">
        <f t="shared" si="6"/>
        <v>0</v>
      </c>
      <c r="I42" s="47">
        <f t="shared" si="7"/>
        <v>0</v>
      </c>
      <c r="J42" s="47">
        <f t="shared" si="8"/>
        <v>0</v>
      </c>
      <c r="K42" s="63">
        <f t="shared" si="9"/>
        <v>0</v>
      </c>
      <c r="L42" s="55">
        <f t="shared" si="10"/>
        <v>0</v>
      </c>
      <c r="N42" s="33">
        <v>23</v>
      </c>
      <c r="O42" s="28"/>
      <c r="P42" s="88"/>
      <c r="Q42" s="88"/>
      <c r="R42" s="37"/>
      <c r="S42" s="20"/>
      <c r="T42" s="3"/>
      <c r="U42" s="3"/>
      <c r="V42" s="3"/>
      <c r="W42" s="3"/>
      <c r="X42" s="10"/>
      <c r="Y42" s="17"/>
      <c r="Z42" s="2"/>
      <c r="AA42" s="2"/>
      <c r="AB42" s="2"/>
      <c r="AC42" s="3"/>
      <c r="AD42" s="37"/>
      <c r="AE42" s="9"/>
      <c r="AF42" s="2"/>
      <c r="AG42" s="2"/>
      <c r="AH42" s="2"/>
      <c r="AI42" s="3"/>
      <c r="AJ42" s="10"/>
      <c r="AK42" s="28"/>
      <c r="AL42" s="3"/>
      <c r="AM42" s="3"/>
      <c r="AN42" s="10"/>
      <c r="AO42" s="28"/>
      <c r="AP42" s="28"/>
      <c r="AQ42" s="3"/>
      <c r="AR42" s="10"/>
      <c r="AS42" s="20"/>
      <c r="AT42" s="28"/>
      <c r="AU42" s="3"/>
      <c r="AV42" s="10"/>
      <c r="AW42" s="20"/>
      <c r="AX42" s="28"/>
      <c r="AY42" s="3"/>
      <c r="AZ42" s="10"/>
      <c r="BA42" s="20"/>
      <c r="BB42" s="28"/>
      <c r="BC42" s="3"/>
      <c r="BD42" s="10"/>
      <c r="BE42" s="23"/>
      <c r="BF42" s="28"/>
      <c r="BG42" s="3"/>
      <c r="BH42" s="10"/>
      <c r="BI42" s="20"/>
      <c r="BJ42" s="28"/>
      <c r="BK42" s="3"/>
      <c r="BL42" s="10"/>
    </row>
    <row r="43" spans="2:64" x14ac:dyDescent="0.3">
      <c r="B43" s="62">
        <f t="shared" si="0"/>
        <v>0</v>
      </c>
      <c r="C43" s="47">
        <f t="shared" si="1"/>
        <v>0</v>
      </c>
      <c r="D43" s="47">
        <f t="shared" si="2"/>
        <v>0</v>
      </c>
      <c r="E43" s="47">
        <f t="shared" si="3"/>
        <v>0</v>
      </c>
      <c r="F43" s="47">
        <f t="shared" si="4"/>
        <v>0</v>
      </c>
      <c r="G43" s="47">
        <f t="shared" si="5"/>
        <v>0</v>
      </c>
      <c r="H43" s="47">
        <f t="shared" si="6"/>
        <v>0</v>
      </c>
      <c r="I43" s="47">
        <f t="shared" si="7"/>
        <v>0</v>
      </c>
      <c r="J43" s="47">
        <f t="shared" si="8"/>
        <v>0</v>
      </c>
      <c r="K43" s="63">
        <f t="shared" si="9"/>
        <v>0</v>
      </c>
      <c r="L43" s="55">
        <f t="shared" si="10"/>
        <v>0</v>
      </c>
      <c r="N43" s="33">
        <v>24</v>
      </c>
      <c r="O43" s="28"/>
      <c r="P43" s="88"/>
      <c r="Q43" s="88"/>
      <c r="R43" s="37"/>
      <c r="S43" s="20"/>
      <c r="T43" s="3"/>
      <c r="U43" s="3"/>
      <c r="V43" s="3"/>
      <c r="W43" s="3"/>
      <c r="X43" s="10"/>
      <c r="Y43" s="17"/>
      <c r="Z43" s="2"/>
      <c r="AA43" s="2"/>
      <c r="AB43" s="2"/>
      <c r="AC43" s="3"/>
      <c r="AD43" s="37"/>
      <c r="AE43" s="9"/>
      <c r="AF43" s="2"/>
      <c r="AG43" s="2"/>
      <c r="AH43" s="2"/>
      <c r="AI43" s="3"/>
      <c r="AJ43" s="10"/>
      <c r="AK43" s="28"/>
      <c r="AL43" s="3"/>
      <c r="AM43" s="3"/>
      <c r="AN43" s="10"/>
      <c r="AO43" s="28"/>
      <c r="AP43" s="28"/>
      <c r="AQ43" s="3"/>
      <c r="AR43" s="10"/>
      <c r="AS43" s="20"/>
      <c r="AT43" s="28"/>
      <c r="AU43" s="3"/>
      <c r="AV43" s="10"/>
      <c r="AW43" s="20"/>
      <c r="AX43" s="28"/>
      <c r="AY43" s="3"/>
      <c r="AZ43" s="10"/>
      <c r="BA43" s="20"/>
      <c r="BB43" s="28"/>
      <c r="BC43" s="3"/>
      <c r="BD43" s="10"/>
      <c r="BE43" s="23"/>
      <c r="BF43" s="28"/>
      <c r="BG43" s="3"/>
      <c r="BH43" s="10"/>
      <c r="BI43" s="20"/>
      <c r="BJ43" s="28"/>
      <c r="BK43" s="3"/>
      <c r="BL43" s="10"/>
    </row>
    <row r="44" spans="2:64" x14ac:dyDescent="0.3">
      <c r="B44" s="62">
        <f t="shared" si="0"/>
        <v>0</v>
      </c>
      <c r="C44" s="47">
        <f t="shared" si="1"/>
        <v>0</v>
      </c>
      <c r="D44" s="47">
        <f t="shared" si="2"/>
        <v>0</v>
      </c>
      <c r="E44" s="47">
        <f t="shared" si="3"/>
        <v>0</v>
      </c>
      <c r="F44" s="47">
        <f t="shared" si="4"/>
        <v>0</v>
      </c>
      <c r="G44" s="47">
        <f t="shared" si="5"/>
        <v>0</v>
      </c>
      <c r="H44" s="47">
        <f t="shared" si="6"/>
        <v>0</v>
      </c>
      <c r="I44" s="47">
        <f t="shared" si="7"/>
        <v>0</v>
      </c>
      <c r="J44" s="47">
        <f t="shared" si="8"/>
        <v>0</v>
      </c>
      <c r="K44" s="63">
        <f t="shared" si="9"/>
        <v>0</v>
      </c>
      <c r="L44" s="55">
        <f t="shared" si="10"/>
        <v>0</v>
      </c>
      <c r="N44" s="33">
        <v>25</v>
      </c>
      <c r="O44" s="28"/>
      <c r="P44" s="88"/>
      <c r="Q44" s="88"/>
      <c r="R44" s="37"/>
      <c r="S44" s="20"/>
      <c r="T44" s="3"/>
      <c r="U44" s="3"/>
      <c r="V44" s="3"/>
      <c r="W44" s="3"/>
      <c r="X44" s="10"/>
      <c r="Y44" s="17"/>
      <c r="Z44" s="2"/>
      <c r="AA44" s="2"/>
      <c r="AB44" s="2"/>
      <c r="AC44" s="3"/>
      <c r="AD44" s="37"/>
      <c r="AE44" s="9"/>
      <c r="AF44" s="2"/>
      <c r="AG44" s="2"/>
      <c r="AH44" s="2"/>
      <c r="AI44" s="3"/>
      <c r="AJ44" s="10"/>
      <c r="AK44" s="28"/>
      <c r="AL44" s="3"/>
      <c r="AM44" s="3"/>
      <c r="AN44" s="10"/>
      <c r="AO44" s="28"/>
      <c r="AP44" s="28"/>
      <c r="AQ44" s="3"/>
      <c r="AR44" s="10"/>
      <c r="AS44" s="20"/>
      <c r="AT44" s="28"/>
      <c r="AU44" s="3"/>
      <c r="AV44" s="10"/>
      <c r="AW44" s="20"/>
      <c r="AX44" s="28"/>
      <c r="AY44" s="3"/>
      <c r="AZ44" s="10"/>
      <c r="BA44" s="20"/>
      <c r="BB44" s="28"/>
      <c r="BC44" s="3"/>
      <c r="BD44" s="10"/>
      <c r="BE44" s="23"/>
      <c r="BF44" s="28"/>
      <c r="BG44" s="3"/>
      <c r="BH44" s="10"/>
      <c r="BI44" s="20"/>
      <c r="BJ44" s="28"/>
      <c r="BK44" s="3"/>
      <c r="BL44" s="10"/>
    </row>
    <row r="45" spans="2:64" x14ac:dyDescent="0.3">
      <c r="B45" s="62">
        <f t="shared" si="0"/>
        <v>0</v>
      </c>
      <c r="C45" s="47">
        <f t="shared" si="1"/>
        <v>0</v>
      </c>
      <c r="D45" s="47">
        <f t="shared" si="2"/>
        <v>0</v>
      </c>
      <c r="E45" s="47">
        <f t="shared" si="3"/>
        <v>0</v>
      </c>
      <c r="F45" s="47">
        <f t="shared" si="4"/>
        <v>0</v>
      </c>
      <c r="G45" s="47">
        <f t="shared" si="5"/>
        <v>0</v>
      </c>
      <c r="H45" s="47">
        <f t="shared" si="6"/>
        <v>0</v>
      </c>
      <c r="I45" s="47">
        <f t="shared" si="7"/>
        <v>0</v>
      </c>
      <c r="J45" s="47">
        <f t="shared" si="8"/>
        <v>0</v>
      </c>
      <c r="K45" s="63">
        <f t="shared" si="9"/>
        <v>0</v>
      </c>
      <c r="L45" s="55">
        <f t="shared" si="10"/>
        <v>0</v>
      </c>
      <c r="N45" s="33">
        <v>26</v>
      </c>
      <c r="O45" s="28"/>
      <c r="P45" s="88"/>
      <c r="Q45" s="88"/>
      <c r="R45" s="37"/>
      <c r="S45" s="20"/>
      <c r="T45" s="3"/>
      <c r="U45" s="3"/>
      <c r="V45" s="3"/>
      <c r="W45" s="3"/>
      <c r="X45" s="10"/>
      <c r="Y45" s="17"/>
      <c r="Z45" s="2"/>
      <c r="AA45" s="2"/>
      <c r="AB45" s="2"/>
      <c r="AC45" s="3"/>
      <c r="AD45" s="37"/>
      <c r="AE45" s="9"/>
      <c r="AF45" s="2"/>
      <c r="AG45" s="2"/>
      <c r="AH45" s="2"/>
      <c r="AI45" s="3"/>
      <c r="AJ45" s="10"/>
      <c r="AK45" s="28"/>
      <c r="AL45" s="3"/>
      <c r="AM45" s="3"/>
      <c r="AN45" s="10"/>
      <c r="AO45" s="28"/>
      <c r="AP45" s="28"/>
      <c r="AQ45" s="3"/>
      <c r="AR45" s="10"/>
      <c r="AS45" s="20"/>
      <c r="AT45" s="28"/>
      <c r="AU45" s="3"/>
      <c r="AV45" s="10"/>
      <c r="AW45" s="20"/>
      <c r="AX45" s="28"/>
      <c r="AY45" s="3"/>
      <c r="AZ45" s="10"/>
      <c r="BA45" s="20"/>
      <c r="BB45" s="28"/>
      <c r="BC45" s="3"/>
      <c r="BD45" s="10"/>
      <c r="BE45" s="23"/>
      <c r="BF45" s="28"/>
      <c r="BG45" s="3"/>
      <c r="BH45" s="10"/>
      <c r="BI45" s="20"/>
      <c r="BJ45" s="28"/>
      <c r="BK45" s="3"/>
      <c r="BL45" s="10"/>
    </row>
    <row r="46" spans="2:64" x14ac:dyDescent="0.3">
      <c r="B46" s="62">
        <f t="shared" si="0"/>
        <v>0</v>
      </c>
      <c r="C46" s="47">
        <f t="shared" si="1"/>
        <v>0</v>
      </c>
      <c r="D46" s="47">
        <f t="shared" si="2"/>
        <v>0</v>
      </c>
      <c r="E46" s="47">
        <f t="shared" si="3"/>
        <v>0</v>
      </c>
      <c r="F46" s="47">
        <f t="shared" si="4"/>
        <v>0</v>
      </c>
      <c r="G46" s="47">
        <f t="shared" si="5"/>
        <v>0</v>
      </c>
      <c r="H46" s="47">
        <f t="shared" si="6"/>
        <v>0</v>
      </c>
      <c r="I46" s="47">
        <f t="shared" si="7"/>
        <v>0</v>
      </c>
      <c r="J46" s="47">
        <f t="shared" si="8"/>
        <v>0</v>
      </c>
      <c r="K46" s="63">
        <f t="shared" si="9"/>
        <v>0</v>
      </c>
      <c r="L46" s="55">
        <f t="shared" si="10"/>
        <v>0</v>
      </c>
      <c r="N46" s="33">
        <v>27</v>
      </c>
      <c r="O46" s="28"/>
      <c r="P46" s="88"/>
      <c r="Q46" s="88"/>
      <c r="R46" s="37"/>
      <c r="S46" s="20"/>
      <c r="T46" s="3"/>
      <c r="U46" s="3"/>
      <c r="V46" s="3"/>
      <c r="W46" s="3"/>
      <c r="X46" s="10"/>
      <c r="Y46" s="17"/>
      <c r="Z46" s="2"/>
      <c r="AA46" s="2"/>
      <c r="AB46" s="2"/>
      <c r="AC46" s="3"/>
      <c r="AD46" s="37"/>
      <c r="AE46" s="9"/>
      <c r="AF46" s="2"/>
      <c r="AG46" s="2"/>
      <c r="AH46" s="2"/>
      <c r="AI46" s="3"/>
      <c r="AJ46" s="10"/>
      <c r="AK46" s="28"/>
      <c r="AL46" s="3"/>
      <c r="AM46" s="3"/>
      <c r="AN46" s="10"/>
      <c r="AO46" s="28"/>
      <c r="AP46" s="28"/>
      <c r="AQ46" s="3"/>
      <c r="AR46" s="10"/>
      <c r="AS46" s="20"/>
      <c r="AT46" s="28"/>
      <c r="AU46" s="3"/>
      <c r="AV46" s="10"/>
      <c r="AW46" s="20"/>
      <c r="AX46" s="28"/>
      <c r="AY46" s="3"/>
      <c r="AZ46" s="10"/>
      <c r="BA46" s="20"/>
      <c r="BB46" s="28"/>
      <c r="BC46" s="3"/>
      <c r="BD46" s="10"/>
      <c r="BE46" s="23"/>
      <c r="BF46" s="28"/>
      <c r="BG46" s="3"/>
      <c r="BH46" s="10"/>
      <c r="BI46" s="20"/>
      <c r="BJ46" s="28"/>
      <c r="BK46" s="3"/>
      <c r="BL46" s="10"/>
    </row>
    <row r="47" spans="2:64" x14ac:dyDescent="0.3">
      <c r="B47" s="62">
        <f t="shared" si="0"/>
        <v>0</v>
      </c>
      <c r="C47" s="47">
        <f t="shared" si="1"/>
        <v>0</v>
      </c>
      <c r="D47" s="47">
        <f t="shared" si="2"/>
        <v>0</v>
      </c>
      <c r="E47" s="47">
        <f t="shared" si="3"/>
        <v>0</v>
      </c>
      <c r="F47" s="47">
        <f t="shared" si="4"/>
        <v>0</v>
      </c>
      <c r="G47" s="47">
        <f t="shared" si="5"/>
        <v>0</v>
      </c>
      <c r="H47" s="47">
        <f t="shared" si="6"/>
        <v>0</v>
      </c>
      <c r="I47" s="47">
        <f t="shared" si="7"/>
        <v>0</v>
      </c>
      <c r="J47" s="47">
        <f t="shared" si="8"/>
        <v>0</v>
      </c>
      <c r="K47" s="63">
        <f t="shared" si="9"/>
        <v>0</v>
      </c>
      <c r="L47" s="55">
        <f t="shared" si="10"/>
        <v>0</v>
      </c>
      <c r="N47" s="33">
        <v>28</v>
      </c>
      <c r="O47" s="28"/>
      <c r="P47" s="88"/>
      <c r="Q47" s="88"/>
      <c r="R47" s="37"/>
      <c r="S47" s="20"/>
      <c r="T47" s="3"/>
      <c r="U47" s="3"/>
      <c r="V47" s="3"/>
      <c r="W47" s="3"/>
      <c r="X47" s="10"/>
      <c r="Y47" s="17"/>
      <c r="Z47" s="2"/>
      <c r="AA47" s="2"/>
      <c r="AB47" s="2"/>
      <c r="AC47" s="3"/>
      <c r="AD47" s="37"/>
      <c r="AE47" s="9"/>
      <c r="AF47" s="2"/>
      <c r="AG47" s="2"/>
      <c r="AH47" s="2"/>
      <c r="AI47" s="3"/>
      <c r="AJ47" s="10"/>
      <c r="AK47" s="28"/>
      <c r="AL47" s="3"/>
      <c r="AM47" s="3"/>
      <c r="AN47" s="10"/>
      <c r="AO47" s="28"/>
      <c r="AP47" s="28"/>
      <c r="AQ47" s="3"/>
      <c r="AR47" s="10"/>
      <c r="AS47" s="20"/>
      <c r="AT47" s="28"/>
      <c r="AU47" s="3"/>
      <c r="AV47" s="10"/>
      <c r="AW47" s="20"/>
      <c r="AX47" s="28"/>
      <c r="AY47" s="3"/>
      <c r="AZ47" s="10"/>
      <c r="BA47" s="20"/>
      <c r="BB47" s="28"/>
      <c r="BC47" s="3"/>
      <c r="BD47" s="10"/>
      <c r="BE47" s="23"/>
      <c r="BF47" s="28"/>
      <c r="BG47" s="3"/>
      <c r="BH47" s="10"/>
      <c r="BI47" s="20"/>
      <c r="BJ47" s="28"/>
      <c r="BK47" s="3"/>
      <c r="BL47" s="10"/>
    </row>
    <row r="48" spans="2:64" x14ac:dyDescent="0.3">
      <c r="B48" s="62">
        <f t="shared" si="0"/>
        <v>0</v>
      </c>
      <c r="C48" s="47">
        <f t="shared" si="1"/>
        <v>0</v>
      </c>
      <c r="D48" s="47">
        <f t="shared" si="2"/>
        <v>0</v>
      </c>
      <c r="E48" s="47">
        <f t="shared" si="3"/>
        <v>0</v>
      </c>
      <c r="F48" s="47">
        <f t="shared" si="4"/>
        <v>0</v>
      </c>
      <c r="G48" s="47">
        <f t="shared" si="5"/>
        <v>0</v>
      </c>
      <c r="H48" s="47">
        <f t="shared" si="6"/>
        <v>0</v>
      </c>
      <c r="I48" s="47">
        <f t="shared" si="7"/>
        <v>0</v>
      </c>
      <c r="J48" s="47">
        <f t="shared" si="8"/>
        <v>0</v>
      </c>
      <c r="K48" s="63">
        <f t="shared" si="9"/>
        <v>0</v>
      </c>
      <c r="L48" s="55">
        <f t="shared" si="10"/>
        <v>0</v>
      </c>
      <c r="N48" s="33">
        <v>29</v>
      </c>
      <c r="O48" s="28"/>
      <c r="P48" s="88"/>
      <c r="Q48" s="88"/>
      <c r="R48" s="37"/>
      <c r="S48" s="20"/>
      <c r="T48" s="3"/>
      <c r="U48" s="3"/>
      <c r="V48" s="3"/>
      <c r="W48" s="3"/>
      <c r="X48" s="10"/>
      <c r="Y48" s="17"/>
      <c r="Z48" s="2"/>
      <c r="AA48" s="2"/>
      <c r="AB48" s="2"/>
      <c r="AC48" s="3"/>
      <c r="AD48" s="37"/>
      <c r="AE48" s="9"/>
      <c r="AF48" s="2"/>
      <c r="AG48" s="2"/>
      <c r="AH48" s="2"/>
      <c r="AI48" s="3"/>
      <c r="AJ48" s="10"/>
      <c r="AK48" s="28"/>
      <c r="AL48" s="3"/>
      <c r="AM48" s="3"/>
      <c r="AN48" s="10"/>
      <c r="AO48" s="28"/>
      <c r="AP48" s="28"/>
      <c r="AQ48" s="3"/>
      <c r="AR48" s="10"/>
      <c r="AS48" s="20"/>
      <c r="AT48" s="28"/>
      <c r="AU48" s="3"/>
      <c r="AV48" s="10"/>
      <c r="AW48" s="20"/>
      <c r="AX48" s="28"/>
      <c r="AY48" s="3"/>
      <c r="AZ48" s="10"/>
      <c r="BA48" s="20"/>
      <c r="BB48" s="28"/>
      <c r="BC48" s="3"/>
      <c r="BD48" s="10"/>
      <c r="BE48" s="23"/>
      <c r="BF48" s="28"/>
      <c r="BG48" s="3"/>
      <c r="BH48" s="10"/>
      <c r="BI48" s="20"/>
      <c r="BJ48" s="28"/>
      <c r="BK48" s="3"/>
      <c r="BL48" s="10"/>
    </row>
    <row r="49" spans="2:64" x14ac:dyDescent="0.3">
      <c r="B49" s="62">
        <f t="shared" si="0"/>
        <v>0</v>
      </c>
      <c r="C49" s="47">
        <f t="shared" si="1"/>
        <v>0</v>
      </c>
      <c r="D49" s="47">
        <f t="shared" si="2"/>
        <v>0</v>
      </c>
      <c r="E49" s="47">
        <f t="shared" si="3"/>
        <v>0</v>
      </c>
      <c r="F49" s="47">
        <f t="shared" si="4"/>
        <v>0</v>
      </c>
      <c r="G49" s="47">
        <f t="shared" si="5"/>
        <v>0</v>
      </c>
      <c r="H49" s="47">
        <f t="shared" si="6"/>
        <v>0</v>
      </c>
      <c r="I49" s="47">
        <f t="shared" si="7"/>
        <v>0</v>
      </c>
      <c r="J49" s="47">
        <f t="shared" si="8"/>
        <v>0</v>
      </c>
      <c r="K49" s="63">
        <f t="shared" si="9"/>
        <v>0</v>
      </c>
      <c r="L49" s="55">
        <f t="shared" si="10"/>
        <v>0</v>
      </c>
      <c r="N49" s="33">
        <v>30</v>
      </c>
      <c r="O49" s="28"/>
      <c r="P49" s="88"/>
      <c r="Q49" s="88"/>
      <c r="R49" s="37"/>
      <c r="S49" s="20"/>
      <c r="T49" s="3"/>
      <c r="U49" s="3"/>
      <c r="V49" s="3"/>
      <c r="W49" s="3"/>
      <c r="X49" s="10"/>
      <c r="Y49" s="17"/>
      <c r="Z49" s="2"/>
      <c r="AA49" s="2"/>
      <c r="AB49" s="2"/>
      <c r="AC49" s="3"/>
      <c r="AD49" s="37"/>
      <c r="AE49" s="9"/>
      <c r="AF49" s="2"/>
      <c r="AG49" s="2"/>
      <c r="AH49" s="2"/>
      <c r="AI49" s="3"/>
      <c r="AJ49" s="10"/>
      <c r="AK49" s="28"/>
      <c r="AL49" s="3"/>
      <c r="AM49" s="3"/>
      <c r="AN49" s="10"/>
      <c r="AO49" s="28"/>
      <c r="AP49" s="28"/>
      <c r="AQ49" s="3"/>
      <c r="AR49" s="10"/>
      <c r="AS49" s="20"/>
      <c r="AT49" s="28"/>
      <c r="AU49" s="3"/>
      <c r="AV49" s="10"/>
      <c r="AW49" s="20"/>
      <c r="AX49" s="28"/>
      <c r="AY49" s="3"/>
      <c r="AZ49" s="10"/>
      <c r="BA49" s="20"/>
      <c r="BB49" s="28"/>
      <c r="BC49" s="3"/>
      <c r="BD49" s="10"/>
      <c r="BE49" s="23"/>
      <c r="BF49" s="28"/>
      <c r="BG49" s="3"/>
      <c r="BH49" s="10"/>
      <c r="BI49" s="20"/>
      <c r="BJ49" s="28"/>
      <c r="BK49" s="3"/>
      <c r="BL49" s="10"/>
    </row>
    <row r="50" spans="2:64" x14ac:dyDescent="0.3">
      <c r="B50" s="62">
        <f t="shared" si="0"/>
        <v>0</v>
      </c>
      <c r="C50" s="47">
        <f t="shared" si="1"/>
        <v>0</v>
      </c>
      <c r="D50" s="47">
        <f t="shared" si="2"/>
        <v>0</v>
      </c>
      <c r="E50" s="47">
        <f t="shared" si="3"/>
        <v>0</v>
      </c>
      <c r="F50" s="47">
        <f t="shared" si="4"/>
        <v>0</v>
      </c>
      <c r="G50" s="47">
        <f t="shared" si="5"/>
        <v>0</v>
      </c>
      <c r="H50" s="47">
        <f t="shared" si="6"/>
        <v>0</v>
      </c>
      <c r="I50" s="47">
        <f t="shared" si="7"/>
        <v>0</v>
      </c>
      <c r="J50" s="47">
        <f t="shared" si="8"/>
        <v>0</v>
      </c>
      <c r="K50" s="63">
        <f t="shared" si="9"/>
        <v>0</v>
      </c>
      <c r="L50" s="55">
        <f t="shared" si="10"/>
        <v>0</v>
      </c>
      <c r="N50" s="33">
        <v>31</v>
      </c>
      <c r="O50" s="28"/>
      <c r="P50" s="88"/>
      <c r="Q50" s="88"/>
      <c r="R50" s="37"/>
      <c r="S50" s="20"/>
      <c r="T50" s="3"/>
      <c r="U50" s="3"/>
      <c r="V50" s="3"/>
      <c r="W50" s="3"/>
      <c r="X50" s="10"/>
      <c r="Y50" s="17"/>
      <c r="Z50" s="2"/>
      <c r="AA50" s="2"/>
      <c r="AB50" s="2"/>
      <c r="AC50" s="3"/>
      <c r="AD50" s="37"/>
      <c r="AE50" s="9"/>
      <c r="AF50" s="2"/>
      <c r="AG50" s="2"/>
      <c r="AH50" s="2"/>
      <c r="AI50" s="3"/>
      <c r="AJ50" s="10"/>
      <c r="AK50" s="28"/>
      <c r="AL50" s="3"/>
      <c r="AM50" s="3"/>
      <c r="AN50" s="10"/>
      <c r="AO50" s="28"/>
      <c r="AP50" s="28"/>
      <c r="AQ50" s="3"/>
      <c r="AR50" s="10"/>
      <c r="AS50" s="20"/>
      <c r="AT50" s="28"/>
      <c r="AU50" s="3"/>
      <c r="AV50" s="10"/>
      <c r="AW50" s="20"/>
      <c r="AX50" s="28"/>
      <c r="AY50" s="3"/>
      <c r="AZ50" s="10"/>
      <c r="BA50" s="20"/>
      <c r="BB50" s="28"/>
      <c r="BC50" s="3"/>
      <c r="BD50" s="10"/>
      <c r="BE50" s="23"/>
      <c r="BF50" s="28"/>
      <c r="BG50" s="3"/>
      <c r="BH50" s="10"/>
      <c r="BI50" s="20"/>
      <c r="BJ50" s="28"/>
      <c r="BK50" s="3"/>
      <c r="BL50" s="10"/>
    </row>
    <row r="51" spans="2:64" ht="15" thickBot="1" x14ac:dyDescent="0.35">
      <c r="B51" s="64">
        <f t="shared" si="0"/>
        <v>0</v>
      </c>
      <c r="C51" s="65">
        <f t="shared" si="1"/>
        <v>0</v>
      </c>
      <c r="D51" s="65">
        <f t="shared" si="2"/>
        <v>0</v>
      </c>
      <c r="E51" s="65">
        <f t="shared" si="3"/>
        <v>0</v>
      </c>
      <c r="F51" s="65">
        <f t="shared" si="4"/>
        <v>0</v>
      </c>
      <c r="G51" s="65">
        <f t="shared" si="5"/>
        <v>0</v>
      </c>
      <c r="H51" s="65">
        <f t="shared" si="6"/>
        <v>0</v>
      </c>
      <c r="I51" s="65">
        <f t="shared" si="7"/>
        <v>0</v>
      </c>
      <c r="J51" s="65">
        <f t="shared" si="8"/>
        <v>0</v>
      </c>
      <c r="K51" s="66">
        <f t="shared" si="9"/>
        <v>0</v>
      </c>
      <c r="L51" s="55">
        <f t="shared" si="10"/>
        <v>0</v>
      </c>
      <c r="N51" s="33">
        <v>32</v>
      </c>
      <c r="O51" s="28"/>
      <c r="P51" s="88"/>
      <c r="Q51" s="88"/>
      <c r="R51" s="37"/>
      <c r="S51" s="20"/>
      <c r="T51" s="3"/>
      <c r="U51" s="3"/>
      <c r="V51" s="3"/>
      <c r="W51" s="3"/>
      <c r="X51" s="10"/>
      <c r="Y51" s="17"/>
      <c r="Z51" s="2"/>
      <c r="AA51" s="2"/>
      <c r="AB51" s="2"/>
      <c r="AC51" s="3"/>
      <c r="AD51" s="37"/>
      <c r="AE51" s="9"/>
      <c r="AF51" s="2"/>
      <c r="AG51" s="2"/>
      <c r="AH51" s="2"/>
      <c r="AI51" s="3"/>
      <c r="AJ51" s="10"/>
      <c r="AK51" s="28"/>
      <c r="AL51" s="3"/>
      <c r="AM51" s="3"/>
      <c r="AN51" s="10"/>
      <c r="AO51" s="28"/>
      <c r="AP51" s="28"/>
      <c r="AQ51" s="3"/>
      <c r="AR51" s="10"/>
      <c r="AS51" s="20"/>
      <c r="AT51" s="28"/>
      <c r="AU51" s="3"/>
      <c r="AV51" s="10"/>
      <c r="AW51" s="20"/>
      <c r="AX51" s="28"/>
      <c r="AY51" s="3"/>
      <c r="AZ51" s="10"/>
      <c r="BA51" s="20"/>
      <c r="BB51" s="28"/>
      <c r="BC51" s="3"/>
      <c r="BD51" s="10"/>
      <c r="BE51" s="23"/>
      <c r="BF51" s="28"/>
      <c r="BG51" s="3"/>
      <c r="BH51" s="10"/>
      <c r="BI51" s="20"/>
      <c r="BJ51" s="28"/>
      <c r="BK51" s="3"/>
      <c r="BL51" s="10"/>
    </row>
    <row r="52" spans="2:64" x14ac:dyDescent="0.3">
      <c r="N52" s="34" t="s">
        <v>25</v>
      </c>
      <c r="O52" s="29"/>
      <c r="P52" s="89"/>
      <c r="Q52" s="89"/>
      <c r="R52" s="38"/>
      <c r="S52" s="18">
        <f>AVERAGE(S20:S51)</f>
        <v>9.9999999999999995E-7</v>
      </c>
      <c r="T52" s="4">
        <f>AVERAGE(T20:T51)</f>
        <v>9.9999999999999995E-7</v>
      </c>
      <c r="U52" s="4">
        <f>AVERAGE(U20:U51)</f>
        <v>9.9999999999999995E-7</v>
      </c>
      <c r="V52" s="4" t="e">
        <f>AVERAGE(V20:V51)</f>
        <v>#DIV/0!</v>
      </c>
      <c r="W52" s="4">
        <f>(SUM(D20:D51)+SUM(T20:T51)+SUM(S20:S51)*0.35)/SUM(S20:U51)</f>
        <v>0.45</v>
      </c>
      <c r="X52" s="48" t="e">
        <f>AVERAGE(X20:X51)</f>
        <v>#DIV/0!</v>
      </c>
      <c r="Y52" s="58">
        <f>AVERAGE(Y20:Y51)</f>
        <v>9.9999999999999995E-7</v>
      </c>
      <c r="Z52" s="56">
        <f>AVERAGE(Z20:Z51)</f>
        <v>9.9999999999999995E-7</v>
      </c>
      <c r="AA52" s="56">
        <f>AVERAGE(AA20:AA51)</f>
        <v>0.50000049999999996</v>
      </c>
      <c r="AB52" s="56">
        <f>AVERAGE(AB20:AB51)</f>
        <v>8</v>
      </c>
      <c r="AC52" s="56">
        <f>(SUM(B20:B51)+SUM(Z20:Z51)+SUM(Y20:Y51)*0.35)/SUM(Y20:AA51)</f>
        <v>9.99997135008595</v>
      </c>
      <c r="AD52" s="76">
        <f>AVERAGE(AD20:AD51)</f>
        <v>25</v>
      </c>
      <c r="AE52" s="79">
        <f>AVERAGE(AE20:AE51)</f>
        <v>1.0000001111111112</v>
      </c>
      <c r="AF52" s="56">
        <f>AVERAGE(AF20:AF51)</f>
        <v>0.88888900000000015</v>
      </c>
      <c r="AG52" s="56">
        <f>AVERAGE(AG20:AG51)</f>
        <v>0.11111122222222221</v>
      </c>
      <c r="AH52" s="56">
        <f>AVERAGE(AH20:AH51)</f>
        <v>1</v>
      </c>
      <c r="AI52" s="56">
        <f>(SUM(C20:C51)+SUM(AF20:AF51)+SUM(AE20:AE51)*0.35)/SUM(AE20:AG51)</f>
        <v>0.70833329027778502</v>
      </c>
      <c r="AJ52" s="57">
        <f>AVERAGE(AJ20:AJ51)</f>
        <v>10</v>
      </c>
      <c r="AK52" s="58">
        <f>AVERAGE(AK20:AK51)</f>
        <v>4.8888888888888893</v>
      </c>
      <c r="AL52" s="56">
        <f>AVERAGE(AL20:AL51)</f>
        <v>7.4285714285714288</v>
      </c>
      <c r="AM52" s="56">
        <f>SUM(E20:E51)/SUM(AK20:AK51)</f>
        <v>7.9659090909090908</v>
      </c>
      <c r="AN52" s="57">
        <f>AVERAGE(AN20:AN51)</f>
        <v>17.571428571428573</v>
      </c>
      <c r="AO52" s="58">
        <f>AVERAGE(AO20:AO51)</f>
        <v>1.4444445555555556</v>
      </c>
      <c r="AP52" s="56">
        <f>AVERAGE(AP20:AP51)</f>
        <v>6</v>
      </c>
      <c r="AQ52" s="56">
        <f>SUM(F20:F51)/SUM(AO20:AO51)</f>
        <v>8.9230762366864429</v>
      </c>
      <c r="AR52" s="57">
        <f>AVERAGE(AR20:AR51)</f>
        <v>16</v>
      </c>
      <c r="AS52" s="58">
        <f>AVERAGE(AS20:AS51)</f>
        <v>4</v>
      </c>
      <c r="AT52" s="56">
        <f>AVERAGE(AT20:AT51)</f>
        <v>2.6</v>
      </c>
      <c r="AU52" s="56">
        <f>SUM(G20:G51)/SUM(AS20:AS51)</f>
        <v>4.5555555555555554</v>
      </c>
      <c r="AV52" s="57">
        <f>AVERAGE(AV20:AV51)</f>
        <v>12.8</v>
      </c>
      <c r="AW52" s="58">
        <f>AVERAGE(AW20:AW51)</f>
        <v>4.7777777777777777</v>
      </c>
      <c r="AX52" s="56">
        <f>AVERAGE(AX20:AX51)</f>
        <v>4</v>
      </c>
      <c r="AY52" s="56">
        <f>SUM(H20:H51)/SUM(AW20:AW51)</f>
        <v>6.5790697674418599</v>
      </c>
      <c r="AZ52" s="57">
        <f>AVERAGE(AZ20:AZ51)</f>
        <v>15</v>
      </c>
      <c r="BA52" s="58">
        <f>AVERAGE(BA20:BA51)</f>
        <v>9.9999999999999995E-7</v>
      </c>
      <c r="BB52" s="56" t="e">
        <f>AVERAGE(BB20:BB51)</f>
        <v>#DIV/0!</v>
      </c>
      <c r="BC52" s="56">
        <f>SUM(I20:I51)/SUM(BA20:BA51)</f>
        <v>0</v>
      </c>
      <c r="BD52" s="57" t="e">
        <f>AVERAGE(BD20:BD51)</f>
        <v>#DIV/0!</v>
      </c>
      <c r="BE52" s="58">
        <f>AVERAGE(BE20:BE51)</f>
        <v>9.9999999999999995E-7</v>
      </c>
      <c r="BF52" s="56" t="e">
        <f>AVERAGE(BF20:BF51)</f>
        <v>#DIV/0!</v>
      </c>
      <c r="BG52" s="56">
        <f>SUM(J20:J51)/SUM(BE20:BE51)</f>
        <v>0</v>
      </c>
      <c r="BH52" s="57" t="e">
        <f>AVERAGE(BH20:BH51)</f>
        <v>#DIV/0!</v>
      </c>
      <c r="BI52" s="58">
        <f>AVERAGE(BI20:BI51)</f>
        <v>9.9999999999999995E-7</v>
      </c>
      <c r="BJ52" s="56" t="e">
        <f>AVERAGE(BJ20:BJ51)</f>
        <v>#DIV/0!</v>
      </c>
      <c r="BK52" s="56">
        <f>SUM(K20:K51)/SUM(BI20:BI51)</f>
        <v>0</v>
      </c>
      <c r="BL52" s="57" t="e">
        <f>AVERAGE(BL20:BL51)</f>
        <v>#DIV/0!</v>
      </c>
    </row>
    <row r="53" spans="2:64" x14ac:dyDescent="0.3">
      <c r="N53" s="34" t="s">
        <v>30</v>
      </c>
      <c r="O53" s="29"/>
      <c r="P53" s="89"/>
      <c r="Q53" s="89"/>
      <c r="R53" s="38"/>
      <c r="S53" s="18"/>
      <c r="T53" s="4"/>
      <c r="U53" s="4"/>
      <c r="V53" s="4"/>
      <c r="W53" s="5">
        <f>SUM(D20:D51)/SUM(U20:U51)</f>
        <v>0</v>
      </c>
      <c r="X53" s="38"/>
      <c r="Y53" s="58"/>
      <c r="Z53" s="56"/>
      <c r="AA53" s="56"/>
      <c r="AB53" s="56"/>
      <c r="AC53" s="77">
        <f>SUM(B20:B51)/SUM(AA20:AA51)</f>
        <v>9.9999900000100013</v>
      </c>
      <c r="AD53" s="78"/>
      <c r="AE53" s="79"/>
      <c r="AF53" s="56"/>
      <c r="AG53" s="56"/>
      <c r="AH53" s="56"/>
      <c r="AI53" s="77">
        <f>SUM(C20:C51)/SUM(AG20:AG51)</f>
        <v>1.5999984000016003</v>
      </c>
      <c r="AJ53" s="80"/>
      <c r="AK53" s="29"/>
      <c r="AL53" s="5"/>
      <c r="AM53" s="5"/>
      <c r="AN53" s="12"/>
      <c r="AO53" s="29"/>
      <c r="AP53" s="29"/>
      <c r="AQ53" s="5"/>
      <c r="AR53" s="12"/>
      <c r="AS53" s="21"/>
      <c r="AT53" s="29"/>
      <c r="AU53" s="5"/>
      <c r="AV53" s="12"/>
      <c r="AW53" s="21"/>
      <c r="AX53" s="29"/>
      <c r="AY53" s="5"/>
      <c r="AZ53" s="12"/>
      <c r="BA53" s="21"/>
      <c r="BB53" s="29"/>
      <c r="BC53" s="5"/>
      <c r="BD53" s="12"/>
      <c r="BE53" s="21"/>
      <c r="BF53" s="29"/>
      <c r="BG53" s="5"/>
      <c r="BH53" s="12"/>
      <c r="BI53" s="21"/>
      <c r="BJ53" s="29"/>
      <c r="BK53" s="5"/>
      <c r="BL53" s="12"/>
    </row>
    <row r="54" spans="2:64" x14ac:dyDescent="0.3">
      <c r="N54" s="34" t="s">
        <v>11</v>
      </c>
      <c r="O54" s="29"/>
      <c r="P54" s="89"/>
      <c r="Q54" s="89"/>
      <c r="R54" s="38"/>
      <c r="S54" s="21"/>
      <c r="T54" s="5"/>
      <c r="U54" s="5"/>
      <c r="V54" s="5"/>
      <c r="W54" s="5"/>
      <c r="X54" s="12"/>
      <c r="Y54" s="18"/>
      <c r="Z54" s="4"/>
      <c r="AA54" s="4"/>
      <c r="AB54" s="4"/>
      <c r="AC54" s="5"/>
      <c r="AD54" s="38"/>
      <c r="AE54" s="11"/>
      <c r="AF54" s="4"/>
      <c r="AG54" s="4"/>
      <c r="AH54" s="4"/>
      <c r="AI54" s="5"/>
      <c r="AJ54" s="12"/>
      <c r="AK54" s="29"/>
      <c r="AL54" s="5"/>
      <c r="AM54" s="5"/>
      <c r="AN54" s="12"/>
      <c r="AO54" s="29"/>
      <c r="AP54" s="29"/>
      <c r="AQ54" s="5"/>
      <c r="AR54" s="12"/>
      <c r="AS54" s="21"/>
      <c r="AT54" s="29"/>
      <c r="AU54" s="5"/>
      <c r="AV54" s="12"/>
      <c r="AW54" s="21"/>
      <c r="AX54" s="29"/>
      <c r="AY54" s="5"/>
      <c r="AZ54" s="12"/>
      <c r="BA54" s="21"/>
      <c r="BB54" s="29"/>
      <c r="BC54" s="5"/>
      <c r="BD54" s="12"/>
      <c r="BE54" s="21"/>
      <c r="BF54" s="29"/>
      <c r="BG54" s="5"/>
      <c r="BH54" s="12"/>
      <c r="BI54" s="21"/>
      <c r="BJ54" s="29"/>
      <c r="BK54" s="5"/>
      <c r="BL54" s="12"/>
    </row>
    <row r="55" spans="2:64" ht="15" thickBot="1" x14ac:dyDescent="0.35">
      <c r="N55" s="35" t="s">
        <v>12</v>
      </c>
      <c r="O55" s="30"/>
      <c r="P55" s="90"/>
      <c r="Q55" s="90"/>
      <c r="R55" s="39"/>
      <c r="S55" s="22"/>
      <c r="T55" s="15"/>
      <c r="U55" s="15"/>
      <c r="V55" s="15"/>
      <c r="W55" s="15"/>
      <c r="X55" s="16"/>
      <c r="Y55" s="19"/>
      <c r="Z55" s="14"/>
      <c r="AA55" s="14"/>
      <c r="AB55" s="14"/>
      <c r="AC55" s="15"/>
      <c r="AD55" s="39"/>
      <c r="AE55" s="13"/>
      <c r="AF55" s="14"/>
      <c r="AG55" s="14"/>
      <c r="AH55" s="14"/>
      <c r="AI55" s="15"/>
      <c r="AJ55" s="16"/>
      <c r="AK55" s="30"/>
      <c r="AL55" s="15"/>
      <c r="AM55" s="15"/>
      <c r="AN55" s="16"/>
      <c r="AO55" s="30"/>
      <c r="AP55" s="30"/>
      <c r="AQ55" s="15"/>
      <c r="AR55" s="16"/>
      <c r="AS55" s="22"/>
      <c r="AT55" s="30"/>
      <c r="AU55" s="15"/>
      <c r="AV55" s="16"/>
      <c r="AW55" s="22"/>
      <c r="AX55" s="30"/>
      <c r="AY55" s="15"/>
      <c r="AZ55" s="16"/>
      <c r="BA55" s="22"/>
      <c r="BB55" s="30"/>
      <c r="BC55" s="15"/>
      <c r="BD55" s="16"/>
      <c r="BE55" s="22"/>
      <c r="BF55" s="30"/>
      <c r="BG55" s="15"/>
      <c r="BH55" s="16"/>
      <c r="BI55" s="22"/>
      <c r="BJ55" s="30"/>
      <c r="BK55" s="15"/>
      <c r="BL55" s="16"/>
    </row>
    <row r="60" spans="2:64" ht="15" thickBot="1" x14ac:dyDescent="0.35">
      <c r="U60">
        <f>T13</f>
        <v>0</v>
      </c>
      <c r="V60" t="s">
        <v>33</v>
      </c>
    </row>
    <row r="61" spans="2:64" ht="15" thickBot="1" x14ac:dyDescent="0.35">
      <c r="B61" s="59" t="s">
        <v>44</v>
      </c>
      <c r="C61" s="60"/>
      <c r="D61" s="61"/>
      <c r="E61" s="47"/>
      <c r="F61" s="47"/>
      <c r="I61" s="47"/>
      <c r="J61" s="47"/>
      <c r="K61" s="47"/>
      <c r="O61" t="s">
        <v>161</v>
      </c>
    </row>
    <row r="62" spans="2:64" ht="15" thickBot="1" x14ac:dyDescent="0.35">
      <c r="B62" s="73" t="str">
        <f>V62</f>
        <v>D, см</v>
      </c>
      <c r="C62" s="74" t="str">
        <f>W62</f>
        <v>h, м</v>
      </c>
      <c r="D62" s="75" t="str">
        <f>X62</f>
        <v>A, лет</v>
      </c>
      <c r="E62" s="47"/>
      <c r="F62" s="47"/>
      <c r="I62" s="47"/>
      <c r="J62" s="47"/>
      <c r="K62" s="47"/>
      <c r="O62" s="115"/>
      <c r="P62" s="116"/>
      <c r="Q62" s="116"/>
      <c r="R62" s="116"/>
      <c r="S62" s="116"/>
      <c r="T62" s="116"/>
      <c r="U62" s="116" t="s">
        <v>24</v>
      </c>
      <c r="V62" s="116" t="str">
        <f>AB19</f>
        <v>D, см</v>
      </c>
      <c r="W62" s="116" t="str">
        <f>AC19</f>
        <v>h, м</v>
      </c>
      <c r="X62" s="117" t="str">
        <f>AD19</f>
        <v>A, лет</v>
      </c>
    </row>
    <row r="63" spans="2:64" x14ac:dyDescent="0.3">
      <c r="B63" s="81" t="e">
        <f>V63*U63</f>
        <v>#DIV/0!</v>
      </c>
      <c r="C63" s="82">
        <f>W63*U63</f>
        <v>1.352643064548127E-6</v>
      </c>
      <c r="D63" s="83" t="e">
        <f>X63*U63</f>
        <v>#DIV/0!</v>
      </c>
      <c r="E63" s="47"/>
      <c r="F63" s="85"/>
      <c r="H63" s="47"/>
      <c r="I63" s="47"/>
      <c r="J63" s="47"/>
      <c r="K63" s="47"/>
      <c r="O63" s="138">
        <f t="shared" ref="O63:O72" si="11">U63/$U$75*10</f>
        <v>1.7034691663768583E-6</v>
      </c>
      <c r="P63" s="139"/>
      <c r="Q63" s="139"/>
      <c r="R63" s="47" t="str">
        <f>S18</f>
        <v>Сосна</v>
      </c>
      <c r="S63" s="47"/>
      <c r="T63" s="47"/>
      <c r="U63" s="123">
        <f>SUM(S52:U52)/(AE16*AE16*3.15/10000*1000)</f>
        <v>3.0058734767736153E-6</v>
      </c>
      <c r="V63" s="139" t="e">
        <f>V52</f>
        <v>#DIV/0!</v>
      </c>
      <c r="W63" s="139">
        <f>W52</f>
        <v>0.45</v>
      </c>
      <c r="X63" s="140" t="e">
        <f>X52</f>
        <v>#DIV/0!</v>
      </c>
      <c r="Y63" s="55"/>
    </row>
    <row r="64" spans="2:64" x14ac:dyDescent="0.3">
      <c r="B64" s="81">
        <f t="shared" ref="B64:B72" si="12">V64*U64</f>
        <v>4.0078513415213317</v>
      </c>
      <c r="C64" s="82">
        <f t="shared" ref="C64:C72" si="13">W64*U64</f>
        <v>5.0097998238271071</v>
      </c>
      <c r="D64" s="83">
        <f t="shared" ref="D64:D72" si="14">X64*U64</f>
        <v>12.524535442254162</v>
      </c>
      <c r="E64" s="47"/>
      <c r="F64" s="85"/>
      <c r="H64" s="47"/>
      <c r="I64" s="47"/>
      <c r="J64" s="47"/>
      <c r="K64" s="47"/>
      <c r="O64" s="138">
        <f t="shared" si="11"/>
        <v>0.28391294728711497</v>
      </c>
      <c r="P64" s="139"/>
      <c r="Q64" s="139"/>
      <c r="R64" s="47" t="str">
        <f>Y18</f>
        <v>Ель из подроста</v>
      </c>
      <c r="S64" s="47"/>
      <c r="T64" s="47"/>
      <c r="U64" s="123">
        <f>SUM(Y52:AA52)/(AE16*AE16*3.15/10000*1000)</f>
        <v>0.50098141769016646</v>
      </c>
      <c r="V64" s="139">
        <f>AB52</f>
        <v>8</v>
      </c>
      <c r="W64" s="139">
        <f>AC52</f>
        <v>9.99997135008595</v>
      </c>
      <c r="X64" s="140">
        <f>AD52</f>
        <v>25</v>
      </c>
      <c r="Y64" s="55"/>
    </row>
    <row r="65" spans="2:25" x14ac:dyDescent="0.3">
      <c r="B65" s="81">
        <f t="shared" si="12"/>
        <v>2.0039159851683523</v>
      </c>
      <c r="C65" s="82">
        <f t="shared" si="13"/>
        <v>1.419440403214548</v>
      </c>
      <c r="D65" s="83">
        <f t="shared" si="14"/>
        <v>20.039159851683522</v>
      </c>
      <c r="E65" s="47"/>
      <c r="F65" s="47"/>
      <c r="G65" s="47"/>
      <c r="H65" s="47"/>
      <c r="I65" s="47"/>
      <c r="J65" s="47"/>
      <c r="K65" s="47"/>
      <c r="O65" s="138">
        <f t="shared" si="11"/>
        <v>1.1356463001922577</v>
      </c>
      <c r="P65" s="139"/>
      <c r="Q65" s="139"/>
      <c r="R65" s="47" t="str">
        <f>AE18</f>
        <v>ЕЛЬ лесные культуры</v>
      </c>
      <c r="S65" s="47"/>
      <c r="T65" s="47"/>
      <c r="U65" s="123">
        <f>SUM(AE52:AG52)/(AE16*AE16*3.15/10000*1000)</f>
        <v>2.0039159851683523</v>
      </c>
      <c r="V65" s="139">
        <f>AH52</f>
        <v>1</v>
      </c>
      <c r="W65" s="139">
        <f>AI52</f>
        <v>0.70833329027778502</v>
      </c>
      <c r="X65" s="140">
        <f>AJ52</f>
        <v>10</v>
      </c>
      <c r="Y65" s="55"/>
    </row>
    <row r="66" spans="2:25" x14ac:dyDescent="0.3">
      <c r="B66" s="81">
        <f t="shared" si="12"/>
        <v>36.38856357067742</v>
      </c>
      <c r="C66" s="82">
        <f t="shared" si="13"/>
        <v>39.020690874413049</v>
      </c>
      <c r="D66" s="83">
        <f t="shared" si="14"/>
        <v>86.07294844602545</v>
      </c>
      <c r="E66" s="47"/>
      <c r="F66" s="47"/>
      <c r="G66" s="47"/>
      <c r="H66" s="47"/>
      <c r="I66" s="47"/>
      <c r="J66" s="47"/>
      <c r="K66" s="47"/>
      <c r="O66" s="138">
        <f t="shared" si="11"/>
        <v>2.7760238266882138</v>
      </c>
      <c r="P66" s="139"/>
      <c r="Q66" s="139"/>
      <c r="R66" s="47" t="str">
        <f>AK18</f>
        <v>Берёза</v>
      </c>
      <c r="S66" s="47"/>
      <c r="T66" s="47"/>
      <c r="U66" s="123">
        <f>AK52/(AE16*AE16*3.15/10000*1000)</f>
        <v>4.8984604806681142</v>
      </c>
      <c r="V66" s="139">
        <f>AL52</f>
        <v>7.4285714285714288</v>
      </c>
      <c r="W66" s="139">
        <f>AM52</f>
        <v>7.9659090909090908</v>
      </c>
      <c r="X66" s="140">
        <f>AN52</f>
        <v>17.571428571428573</v>
      </c>
      <c r="Y66" s="55"/>
    </row>
    <row r="67" spans="2:25" x14ac:dyDescent="0.3">
      <c r="B67" s="81">
        <f t="shared" si="12"/>
        <v>8.6836351564289949</v>
      </c>
      <c r="C67" s="82">
        <f t="shared" si="13"/>
        <v>12.914123085397755</v>
      </c>
      <c r="D67" s="83">
        <f t="shared" si="14"/>
        <v>23.156360417143986</v>
      </c>
      <c r="E67" s="47"/>
      <c r="F67" s="47"/>
      <c r="G67" s="47"/>
      <c r="H67" s="47"/>
      <c r="I67" s="47"/>
      <c r="J67" s="47"/>
      <c r="K67" s="47"/>
      <c r="O67" s="138">
        <f t="shared" si="11"/>
        <v>0.82018892097660456</v>
      </c>
      <c r="P67" s="139"/>
      <c r="Q67" s="139"/>
      <c r="R67" s="47" t="str">
        <f>AO18</f>
        <v>Осина</v>
      </c>
      <c r="S67" s="47"/>
      <c r="T67" s="47"/>
      <c r="U67" s="123">
        <f>AO52/(AE16*AE16*3.15/10000*1000)</f>
        <v>1.4472725260714991</v>
      </c>
      <c r="V67" s="139">
        <f>AP52</f>
        <v>6</v>
      </c>
      <c r="W67" s="139">
        <f>AQ52</f>
        <v>8.9230762366864429</v>
      </c>
      <c r="X67" s="140">
        <f>AR52</f>
        <v>16</v>
      </c>
      <c r="Y67" s="55"/>
    </row>
    <row r="68" spans="2:25" x14ac:dyDescent="0.3">
      <c r="B68" s="81">
        <f t="shared" si="12"/>
        <v>10.420361386148533</v>
      </c>
      <c r="C68" s="82">
        <f t="shared" si="13"/>
        <v>18.257898155217514</v>
      </c>
      <c r="D68" s="83">
        <f t="shared" si="14"/>
        <v>51.300240670269709</v>
      </c>
      <c r="E68" s="47"/>
      <c r="F68" s="47"/>
      <c r="G68" s="47"/>
      <c r="H68" s="47"/>
      <c r="I68" s="47"/>
      <c r="J68" s="47"/>
      <c r="K68" s="47"/>
      <c r="O68" s="138">
        <f t="shared" si="11"/>
        <v>2.2712922218358109</v>
      </c>
      <c r="P68" s="139"/>
      <c r="Q68" s="139"/>
      <c r="R68" s="47" t="str">
        <f>AS18</f>
        <v>Ольха серая</v>
      </c>
      <c r="S68" s="47"/>
      <c r="T68" s="47"/>
      <c r="U68" s="123">
        <f>AS52/(AE16*AE16*3.15/10000*1000)</f>
        <v>4.0078313023648207</v>
      </c>
      <c r="V68" s="139">
        <f>AT52</f>
        <v>2.6</v>
      </c>
      <c r="W68" s="139">
        <f>AU52</f>
        <v>4.5555555555555554</v>
      </c>
      <c r="X68" s="140">
        <f>AV52</f>
        <v>12.8</v>
      </c>
      <c r="Y68" s="55"/>
    </row>
    <row r="69" spans="2:25" x14ac:dyDescent="0.3">
      <c r="B69" s="81">
        <f t="shared" si="12"/>
        <v>19.148527333520807</v>
      </c>
      <c r="C69" s="82">
        <f t="shared" si="13"/>
        <v>31.49487431775021</v>
      </c>
      <c r="D69" s="83">
        <f t="shared" si="14"/>
        <v>71.806977500703027</v>
      </c>
      <c r="E69" s="47"/>
      <c r="F69" s="47"/>
      <c r="G69" s="47"/>
      <c r="H69" s="47"/>
      <c r="I69" s="47"/>
      <c r="J69" s="47"/>
      <c r="K69" s="47"/>
      <c r="O69" s="138">
        <f t="shared" si="11"/>
        <v>2.712932376081663</v>
      </c>
      <c r="P69" s="139"/>
      <c r="Q69" s="139"/>
      <c r="R69" s="47" t="str">
        <f>AW18</f>
        <v>Ива</v>
      </c>
      <c r="S69" s="47"/>
      <c r="T69" s="47"/>
      <c r="U69" s="123">
        <f>AW52/(AE16*AE16*3.15/10000*1000)</f>
        <v>4.7871318333802018</v>
      </c>
      <c r="V69" s="139">
        <f>AX52</f>
        <v>4</v>
      </c>
      <c r="W69" s="139">
        <f>AY52</f>
        <v>6.5790697674418599</v>
      </c>
      <c r="X69" s="140">
        <f>AZ52</f>
        <v>15</v>
      </c>
      <c r="Y69" s="55"/>
    </row>
    <row r="70" spans="2:25" x14ac:dyDescent="0.3">
      <c r="B70" s="81" t="e">
        <f t="shared" si="12"/>
        <v>#DIV/0!</v>
      </c>
      <c r="C70" s="82">
        <f t="shared" si="13"/>
        <v>0</v>
      </c>
      <c r="D70" s="83" t="e">
        <f t="shared" si="14"/>
        <v>#DIV/0!</v>
      </c>
      <c r="E70" s="47"/>
      <c r="F70" s="47"/>
      <c r="G70" s="47"/>
      <c r="H70" s="47"/>
      <c r="I70" s="47"/>
      <c r="J70" s="47"/>
      <c r="K70" s="47"/>
      <c r="O70" s="138">
        <f t="shared" si="11"/>
        <v>5.6782305545895271E-7</v>
      </c>
      <c r="P70" s="139"/>
      <c r="Q70" s="139"/>
      <c r="R70" s="47" t="str">
        <f>BA18</f>
        <v>Чёрёмуха</v>
      </c>
      <c r="S70" s="47"/>
      <c r="T70" s="47"/>
      <c r="U70" s="123">
        <f>BA52/(AE16*AE16*3.15/10000*1000)</f>
        <v>1.001957825591205E-6</v>
      </c>
      <c r="V70" s="139" t="e">
        <f>BB52</f>
        <v>#DIV/0!</v>
      </c>
      <c r="W70" s="139">
        <f>BC52</f>
        <v>0</v>
      </c>
      <c r="X70" s="140" t="e">
        <f>BD52</f>
        <v>#DIV/0!</v>
      </c>
      <c r="Y70" s="55"/>
    </row>
    <row r="71" spans="2:25" x14ac:dyDescent="0.3">
      <c r="B71" s="81" t="e">
        <f t="shared" si="12"/>
        <v>#DIV/0!</v>
      </c>
      <c r="C71" s="82">
        <f t="shared" si="13"/>
        <v>0</v>
      </c>
      <c r="D71" s="83" t="e">
        <f t="shared" si="14"/>
        <v>#DIV/0!</v>
      </c>
      <c r="E71" s="47"/>
      <c r="F71" s="47"/>
      <c r="G71" s="47"/>
      <c r="H71" s="47"/>
      <c r="I71" s="47"/>
      <c r="J71" s="47"/>
      <c r="K71" s="47"/>
      <c r="O71" s="138">
        <f t="shared" si="11"/>
        <v>5.6782305545895271E-7</v>
      </c>
      <c r="P71" s="139"/>
      <c r="Q71" s="139"/>
      <c r="R71" s="47" t="str">
        <f>BE18</f>
        <v>Дуб</v>
      </c>
      <c r="S71" s="47"/>
      <c r="T71" s="47"/>
      <c r="U71" s="123">
        <f>BE52/(AE16*AE16*3.15/10000*1000)</f>
        <v>1.001957825591205E-6</v>
      </c>
      <c r="V71" s="139" t="e">
        <f>BF52</f>
        <v>#DIV/0!</v>
      </c>
      <c r="W71" s="139">
        <f>BG52</f>
        <v>0</v>
      </c>
      <c r="X71" s="140" t="e">
        <f>BH52</f>
        <v>#DIV/0!</v>
      </c>
      <c r="Y71" s="55"/>
    </row>
    <row r="72" spans="2:25" x14ac:dyDescent="0.3">
      <c r="B72" s="81" t="e">
        <f t="shared" si="12"/>
        <v>#DIV/0!</v>
      </c>
      <c r="C72" s="82">
        <f t="shared" si="13"/>
        <v>0</v>
      </c>
      <c r="D72" s="83" t="e">
        <f t="shared" si="14"/>
        <v>#DIV/0!</v>
      </c>
      <c r="E72" s="47"/>
      <c r="F72" s="47"/>
      <c r="G72" s="47"/>
      <c r="H72" s="47"/>
      <c r="I72" s="47"/>
      <c r="J72" s="47"/>
      <c r="K72" s="47"/>
      <c r="O72" s="138">
        <f t="shared" si="11"/>
        <v>5.6782305545895271E-7</v>
      </c>
      <c r="P72" s="139"/>
      <c r="Q72" s="139"/>
      <c r="R72" s="47" t="str">
        <f>BI18</f>
        <v>Рябина</v>
      </c>
      <c r="S72" s="47"/>
      <c r="T72" s="47"/>
      <c r="U72" s="123">
        <f>BI52/(AE16*AE16*3.15/10000*1000)</f>
        <v>1.001957825591205E-6</v>
      </c>
      <c r="V72" s="139" t="e">
        <f>BJ52</f>
        <v>#DIV/0!</v>
      </c>
      <c r="W72" s="139">
        <f>BK52</f>
        <v>0</v>
      </c>
      <c r="X72" s="140" t="e">
        <f>BL52</f>
        <v>#DIV/0!</v>
      </c>
      <c r="Y72" s="55"/>
    </row>
    <row r="73" spans="2:25" x14ac:dyDescent="0.3">
      <c r="B73" s="62">
        <f>AC72*AA72</f>
        <v>0</v>
      </c>
      <c r="C73" s="71">
        <f>AI72*AG72</f>
        <v>0</v>
      </c>
      <c r="D73" s="63"/>
      <c r="E73" s="47"/>
      <c r="F73" s="47"/>
      <c r="G73" s="47"/>
      <c r="H73" s="47"/>
      <c r="I73" s="47"/>
      <c r="J73" s="47"/>
      <c r="K73" s="47"/>
      <c r="O73" s="118"/>
      <c r="P73" s="47"/>
      <c r="Q73" s="47"/>
      <c r="R73" s="47"/>
      <c r="S73" s="47"/>
      <c r="T73" s="47"/>
      <c r="U73" s="141"/>
      <c r="V73" s="141"/>
      <c r="W73" s="141"/>
      <c r="X73" s="140"/>
      <c r="Y73" s="55"/>
    </row>
    <row r="74" spans="2:25" x14ac:dyDescent="0.3">
      <c r="B74" s="62">
        <f>AC73*AA73</f>
        <v>0</v>
      </c>
      <c r="C74" s="71">
        <f>AI73*AG73</f>
        <v>0</v>
      </c>
      <c r="D74" s="63">
        <f>W73*U73</f>
        <v>0</v>
      </c>
      <c r="E74" s="47"/>
      <c r="F74" s="47"/>
      <c r="G74" s="47"/>
      <c r="H74" s="47"/>
      <c r="I74" s="47"/>
      <c r="J74" s="47"/>
      <c r="K74" s="47"/>
      <c r="O74" s="118"/>
      <c r="P74" s="47"/>
      <c r="Q74" s="47"/>
      <c r="R74" s="47"/>
      <c r="S74" s="47"/>
      <c r="T74" s="47"/>
      <c r="U74" s="141"/>
      <c r="V74" s="141"/>
      <c r="W74" s="141"/>
      <c r="X74" s="140"/>
      <c r="Y74" s="55"/>
    </row>
    <row r="75" spans="2:25" x14ac:dyDescent="0.3">
      <c r="B75" s="62">
        <f>AC74*AA74</f>
        <v>0</v>
      </c>
      <c r="C75" s="71">
        <f>AI74*AG74</f>
        <v>0</v>
      </c>
      <c r="D75" s="63">
        <f>W74*U74</f>
        <v>0</v>
      </c>
      <c r="E75" s="47"/>
      <c r="F75" s="47"/>
      <c r="G75" s="47"/>
      <c r="H75" s="47"/>
      <c r="I75" s="47"/>
      <c r="J75" s="47"/>
      <c r="K75" s="47"/>
      <c r="O75" s="142">
        <f>SUM(O63:O72)</f>
        <v>9.9999999999999982</v>
      </c>
      <c r="P75" s="143"/>
      <c r="Q75" s="143"/>
      <c r="R75" s="45" t="s">
        <v>27</v>
      </c>
      <c r="S75" s="45"/>
      <c r="T75" s="45"/>
      <c r="U75" s="144">
        <f>SUM(U63:U72)</f>
        <v>17.645599557090112</v>
      </c>
      <c r="V75" s="144" t="e">
        <f>SUM(B63:B72)/$U$75</f>
        <v>#DIV/0!</v>
      </c>
      <c r="W75" s="144">
        <f>SUM(C63:C72)/$U$75</f>
        <v>6.1271269169780771</v>
      </c>
      <c r="X75" s="145" t="e">
        <f>SUM(D63:D72)/$U$75</f>
        <v>#DIV/0!</v>
      </c>
      <c r="Y75" s="55"/>
    </row>
    <row r="76" spans="2:25" x14ac:dyDescent="0.3">
      <c r="B76" s="62">
        <f>AC75*AA75</f>
        <v>0</v>
      </c>
      <c r="C76" s="71">
        <f>AI75*AG75</f>
        <v>0</v>
      </c>
      <c r="D76" s="63"/>
      <c r="E76" s="47"/>
      <c r="F76" s="47"/>
      <c r="G76" s="47"/>
      <c r="H76" s="47"/>
      <c r="I76" s="47"/>
      <c r="J76" s="47"/>
      <c r="K76" s="47"/>
    </row>
    <row r="77" spans="2:25" ht="15" thickBot="1" x14ac:dyDescent="0.35">
      <c r="B77" s="64">
        <f>AC93*AA93</f>
        <v>0</v>
      </c>
      <c r="C77" s="72">
        <f>AI93*AG93</f>
        <v>0</v>
      </c>
      <c r="D77" s="66">
        <f>W93*U93</f>
        <v>0</v>
      </c>
      <c r="E77" s="47"/>
      <c r="F77" s="47"/>
      <c r="G77" s="47"/>
      <c r="H77" s="47"/>
      <c r="I77" s="47"/>
      <c r="J77" s="47"/>
      <c r="K77" s="47"/>
    </row>
  </sheetData>
  <mergeCells count="11">
    <mergeCell ref="AS18:AV18"/>
    <mergeCell ref="AW18:AZ18"/>
    <mergeCell ref="BA18:BD18"/>
    <mergeCell ref="BE18:BH18"/>
    <mergeCell ref="BI18:BL18"/>
    <mergeCell ref="AO18:AR18"/>
    <mergeCell ref="O18:R18"/>
    <mergeCell ref="S18:X18"/>
    <mergeCell ref="Y18:AD18"/>
    <mergeCell ref="AE18:AJ18"/>
    <mergeCell ref="AK18:AN18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BL77"/>
  <sheetViews>
    <sheetView zoomScale="80" zoomScaleNormal="80" workbookViewId="0">
      <pane xSplit="18" ySplit="19" topLeftCell="W20" activePane="bottomRight" state="frozen"/>
      <selection pane="topRight" activeCell="Q1" sqref="Q1"/>
      <selection pane="bottomLeft" activeCell="A11" sqref="A11"/>
      <selection pane="bottomRight" activeCell="AZ25" sqref="AZ25"/>
    </sheetView>
  </sheetViews>
  <sheetFormatPr defaultRowHeight="14.4" x14ac:dyDescent="0.3"/>
  <cols>
    <col min="2" max="2" width="16.109375" hidden="1" customWidth="1"/>
    <col min="3" max="3" width="17.5546875" hidden="1" customWidth="1"/>
    <col min="4" max="11" width="12.88671875" hidden="1" customWidth="1"/>
    <col min="18" max="18" width="11" customWidth="1"/>
    <col min="21" max="21" width="9" customWidth="1"/>
    <col min="34" max="56" width="9.88671875" bestFit="1" customWidth="1"/>
  </cols>
  <sheetData>
    <row r="1" spans="14:39" ht="15" thickBot="1" x14ac:dyDescent="0.35"/>
    <row r="2" spans="14:39" x14ac:dyDescent="0.3">
      <c r="V2" s="59"/>
      <c r="W2" s="67" t="s">
        <v>38</v>
      </c>
      <c r="X2" s="67"/>
      <c r="Y2" s="60"/>
      <c r="Z2" s="60"/>
      <c r="AA2" s="60"/>
      <c r="AB2" s="60"/>
      <c r="AC2" s="60"/>
      <c r="AD2" s="60"/>
      <c r="AE2" s="60">
        <v>8</v>
      </c>
      <c r="AF2" s="60" t="s">
        <v>142</v>
      </c>
      <c r="AG2" s="60"/>
      <c r="AH2" s="60"/>
      <c r="AI2" s="60"/>
      <c r="AJ2" s="60"/>
      <c r="AK2" s="60"/>
      <c r="AL2" s="60"/>
      <c r="AM2" s="61"/>
    </row>
    <row r="3" spans="14:39" x14ac:dyDescent="0.3">
      <c r="V3" s="62">
        <v>1</v>
      </c>
      <c r="W3" s="47" t="s">
        <v>158</v>
      </c>
      <c r="X3" s="47"/>
      <c r="Y3" s="47"/>
      <c r="Z3" s="47"/>
      <c r="AA3" s="47"/>
      <c r="AB3" s="47"/>
      <c r="AC3" s="47"/>
      <c r="AD3" s="47"/>
      <c r="AE3" s="47">
        <v>9</v>
      </c>
      <c r="AF3" s="47" t="s">
        <v>156</v>
      </c>
      <c r="AG3" s="47"/>
      <c r="AH3" s="47"/>
      <c r="AI3" s="47"/>
      <c r="AJ3" s="47"/>
      <c r="AK3" s="47"/>
      <c r="AL3" s="47"/>
      <c r="AM3" s="63"/>
    </row>
    <row r="4" spans="14:39" x14ac:dyDescent="0.3">
      <c r="V4" s="62">
        <v>2</v>
      </c>
      <c r="W4" s="47" t="s">
        <v>159</v>
      </c>
      <c r="X4" s="47"/>
      <c r="Y4" s="47"/>
      <c r="Z4" s="47"/>
      <c r="AA4" s="47"/>
      <c r="AB4" s="47"/>
      <c r="AC4" s="47"/>
      <c r="AD4" s="47"/>
      <c r="AE4" s="47">
        <v>10</v>
      </c>
      <c r="AF4" s="47" t="s">
        <v>157</v>
      </c>
      <c r="AG4" s="47"/>
      <c r="AH4" s="47"/>
      <c r="AI4" s="47"/>
      <c r="AJ4" s="47"/>
      <c r="AK4" s="47"/>
      <c r="AL4" s="47"/>
      <c r="AM4" s="63"/>
    </row>
    <row r="5" spans="14:39" x14ac:dyDescent="0.3">
      <c r="V5" s="62">
        <v>3</v>
      </c>
      <c r="W5" s="47" t="s">
        <v>34</v>
      </c>
      <c r="X5" s="47"/>
      <c r="Y5" s="47"/>
      <c r="Z5" s="47"/>
      <c r="AA5" s="47"/>
      <c r="AB5" s="47"/>
      <c r="AC5" s="47"/>
      <c r="AD5" s="47"/>
      <c r="AE5" s="47">
        <v>11</v>
      </c>
      <c r="AF5" s="47" t="s">
        <v>39</v>
      </c>
      <c r="AG5" s="47"/>
      <c r="AH5" s="47"/>
      <c r="AI5" s="47"/>
      <c r="AJ5" s="47"/>
      <c r="AK5" s="47"/>
      <c r="AL5" s="47"/>
      <c r="AM5" s="63"/>
    </row>
    <row r="6" spans="14:39" x14ac:dyDescent="0.3">
      <c r="V6" s="62">
        <v>4</v>
      </c>
      <c r="W6" s="47" t="s">
        <v>35</v>
      </c>
      <c r="X6" s="47"/>
      <c r="Y6" s="47"/>
      <c r="Z6" s="47"/>
      <c r="AA6" s="47"/>
      <c r="AB6" s="47"/>
      <c r="AC6" s="47"/>
      <c r="AD6" s="47"/>
      <c r="AE6" s="47">
        <v>12</v>
      </c>
      <c r="AF6" s="47" t="s">
        <v>40</v>
      </c>
      <c r="AG6" s="47"/>
      <c r="AH6" s="47"/>
      <c r="AI6" s="47"/>
      <c r="AJ6" s="47"/>
      <c r="AK6" s="47"/>
      <c r="AL6" s="47"/>
      <c r="AM6" s="63"/>
    </row>
    <row r="7" spans="14:39" x14ac:dyDescent="0.3">
      <c r="V7" s="62">
        <v>5</v>
      </c>
      <c r="W7" s="47" t="s">
        <v>36</v>
      </c>
      <c r="X7" s="47"/>
      <c r="Y7" s="47"/>
      <c r="Z7" s="47"/>
      <c r="AA7" s="47"/>
      <c r="AB7" s="47"/>
      <c r="AC7" s="47"/>
      <c r="AD7" s="47"/>
      <c r="AE7" s="47">
        <v>13</v>
      </c>
      <c r="AF7" s="47" t="s">
        <v>41</v>
      </c>
      <c r="AG7" s="47"/>
      <c r="AH7" s="47"/>
      <c r="AI7" s="47"/>
      <c r="AJ7" s="47"/>
      <c r="AK7" s="47"/>
      <c r="AL7" s="47"/>
      <c r="AM7" s="63"/>
    </row>
    <row r="8" spans="14:39" x14ac:dyDescent="0.3">
      <c r="V8" s="62">
        <v>6</v>
      </c>
      <c r="W8" s="47" t="s">
        <v>141</v>
      </c>
      <c r="X8" s="47"/>
      <c r="Y8" s="47"/>
      <c r="Z8" s="47"/>
      <c r="AA8" s="47"/>
      <c r="AB8" s="47"/>
      <c r="AC8" s="47"/>
      <c r="AD8" s="47"/>
      <c r="AE8" s="47">
        <v>14</v>
      </c>
      <c r="AF8" s="47"/>
      <c r="AG8" s="47"/>
      <c r="AH8" s="47"/>
      <c r="AI8" s="47"/>
      <c r="AJ8" s="47"/>
      <c r="AK8" s="47"/>
      <c r="AL8" s="47"/>
      <c r="AM8" s="63"/>
    </row>
    <row r="9" spans="14:39" ht="15" thickBot="1" x14ac:dyDescent="0.35">
      <c r="V9" s="64">
        <v>7</v>
      </c>
      <c r="W9" s="65" t="s">
        <v>37</v>
      </c>
      <c r="X9" s="65"/>
      <c r="Y9" s="65"/>
      <c r="Z9" s="65"/>
      <c r="AA9" s="65"/>
      <c r="AB9" s="65"/>
      <c r="AC9" s="65"/>
      <c r="AD9" s="65"/>
      <c r="AE9" s="65">
        <v>15</v>
      </c>
      <c r="AF9" s="65"/>
      <c r="AG9" s="65"/>
      <c r="AH9" s="65"/>
      <c r="AI9" s="65"/>
      <c r="AJ9" s="65"/>
      <c r="AK9" s="65"/>
      <c r="AL9" s="65"/>
      <c r="AM9" s="66"/>
    </row>
    <row r="13" spans="14:39" x14ac:dyDescent="0.3">
      <c r="N13" t="s">
        <v>32</v>
      </c>
      <c r="T13" s="45"/>
    </row>
    <row r="16" spans="14:39" x14ac:dyDescent="0.3">
      <c r="N16" s="46" t="s">
        <v>13</v>
      </c>
      <c r="S16">
        <v>1</v>
      </c>
      <c r="U16" s="45" t="s">
        <v>14</v>
      </c>
      <c r="V16" s="45"/>
      <c r="W16" s="45"/>
      <c r="X16" s="45" t="s">
        <v>15</v>
      </c>
      <c r="Y16" s="45"/>
      <c r="Z16" s="45" t="s">
        <v>16</v>
      </c>
      <c r="AA16" s="45"/>
      <c r="AB16" s="47"/>
      <c r="AC16" s="85" t="s">
        <v>45</v>
      </c>
      <c r="AE16" s="45">
        <v>1.78</v>
      </c>
      <c r="AG16" s="44" t="s">
        <v>28</v>
      </c>
      <c r="AI16" s="44"/>
    </row>
    <row r="17" spans="2:64" ht="15" thickBot="1" x14ac:dyDescent="0.35"/>
    <row r="18" spans="2:64" ht="15.6" thickTop="1" thickBot="1" x14ac:dyDescent="0.35">
      <c r="B18" s="59" t="s">
        <v>31</v>
      </c>
      <c r="C18" s="60"/>
      <c r="D18" s="60"/>
      <c r="E18" s="60"/>
      <c r="F18" s="60"/>
      <c r="G18" s="60"/>
      <c r="H18" s="60"/>
      <c r="I18" s="60"/>
      <c r="J18" s="60"/>
      <c r="K18" s="61"/>
      <c r="N18" s="1" t="s">
        <v>0</v>
      </c>
      <c r="O18" s="202" t="s">
        <v>1</v>
      </c>
      <c r="P18" s="194"/>
      <c r="Q18" s="194"/>
      <c r="R18" s="195"/>
      <c r="S18" s="193" t="s">
        <v>43</v>
      </c>
      <c r="T18" s="194"/>
      <c r="U18" s="194"/>
      <c r="V18" s="194"/>
      <c r="W18" s="194"/>
      <c r="X18" s="195"/>
      <c r="Y18" s="203" t="s">
        <v>17</v>
      </c>
      <c r="Z18" s="204"/>
      <c r="AA18" s="204"/>
      <c r="AB18" s="204"/>
      <c r="AC18" s="204"/>
      <c r="AD18" s="205"/>
      <c r="AE18" s="206" t="s">
        <v>18</v>
      </c>
      <c r="AF18" s="207"/>
      <c r="AG18" s="207"/>
      <c r="AH18" s="207"/>
      <c r="AI18" s="207"/>
      <c r="AJ18" s="208"/>
      <c r="AK18" s="193" t="s">
        <v>19</v>
      </c>
      <c r="AL18" s="194"/>
      <c r="AM18" s="194"/>
      <c r="AN18" s="195"/>
      <c r="AO18" s="193" t="s">
        <v>20</v>
      </c>
      <c r="AP18" s="194"/>
      <c r="AQ18" s="194"/>
      <c r="AR18" s="195"/>
      <c r="AS18" s="193" t="s">
        <v>21</v>
      </c>
      <c r="AT18" s="194"/>
      <c r="AU18" s="194"/>
      <c r="AV18" s="195"/>
      <c r="AW18" s="193" t="s">
        <v>26</v>
      </c>
      <c r="AX18" s="194"/>
      <c r="AY18" s="194"/>
      <c r="AZ18" s="195"/>
      <c r="BA18" s="193" t="s">
        <v>22</v>
      </c>
      <c r="BB18" s="194"/>
      <c r="BC18" s="194"/>
      <c r="BD18" s="195"/>
      <c r="BE18" s="193" t="s">
        <v>29</v>
      </c>
      <c r="BF18" s="194"/>
      <c r="BG18" s="194"/>
      <c r="BH18" s="195"/>
      <c r="BI18" s="193" t="s">
        <v>42</v>
      </c>
      <c r="BJ18" s="194"/>
      <c r="BK18" s="194"/>
      <c r="BL18" s="195"/>
    </row>
    <row r="19" spans="2:64" ht="21" thickBot="1" x14ac:dyDescent="0.35">
      <c r="B19" s="64" t="str">
        <f>Y18</f>
        <v>Ель из подроста</v>
      </c>
      <c r="C19" s="65" t="str">
        <f>AE18</f>
        <v>ЕЛЬ лесные культуры</v>
      </c>
      <c r="D19" s="65" t="str">
        <f>S18</f>
        <v>Сосна</v>
      </c>
      <c r="E19" s="65" t="str">
        <f>AK18</f>
        <v>Берёза</v>
      </c>
      <c r="F19" s="65" t="str">
        <f>AO18</f>
        <v>Осина</v>
      </c>
      <c r="G19" s="65" t="str">
        <f>AS18</f>
        <v>Ольха серая</v>
      </c>
      <c r="H19" s="65" t="str">
        <f>AW18</f>
        <v>Ива</v>
      </c>
      <c r="I19" s="65" t="str">
        <f>BA18</f>
        <v>Чёрёмуха</v>
      </c>
      <c r="J19" s="65" t="str">
        <f>BE18</f>
        <v>Дуб</v>
      </c>
      <c r="K19" s="66" t="str">
        <f>BI18</f>
        <v>Рябина</v>
      </c>
      <c r="L19" t="s">
        <v>46</v>
      </c>
      <c r="N19" s="31" t="s">
        <v>2</v>
      </c>
      <c r="O19" s="25" t="s">
        <v>3</v>
      </c>
      <c r="P19" s="86" t="s">
        <v>48</v>
      </c>
      <c r="Q19" s="86" t="s">
        <v>47</v>
      </c>
      <c r="R19" s="68" t="s">
        <v>4</v>
      </c>
      <c r="S19" s="41" t="s">
        <v>5</v>
      </c>
      <c r="T19" s="42" t="s">
        <v>6</v>
      </c>
      <c r="U19" s="42" t="s">
        <v>7</v>
      </c>
      <c r="V19" s="42" t="s">
        <v>23</v>
      </c>
      <c r="W19" s="43" t="s">
        <v>8</v>
      </c>
      <c r="X19" s="26" t="s">
        <v>9</v>
      </c>
      <c r="Y19" s="70" t="s">
        <v>5</v>
      </c>
      <c r="Z19" s="42" t="s">
        <v>6</v>
      </c>
      <c r="AA19" s="42" t="s">
        <v>7</v>
      </c>
      <c r="AB19" s="42" t="s">
        <v>23</v>
      </c>
      <c r="AC19" s="43" t="s">
        <v>8</v>
      </c>
      <c r="AD19" s="26" t="s">
        <v>9</v>
      </c>
      <c r="AE19" s="53" t="s">
        <v>5</v>
      </c>
      <c r="AF19" s="50" t="s">
        <v>6</v>
      </c>
      <c r="AG19" s="50" t="s">
        <v>7</v>
      </c>
      <c r="AH19" s="50" t="s">
        <v>23</v>
      </c>
      <c r="AI19" s="51" t="s">
        <v>8</v>
      </c>
      <c r="AJ19" s="54" t="s">
        <v>9</v>
      </c>
      <c r="AK19" s="49" t="s">
        <v>10</v>
      </c>
      <c r="AL19" s="50" t="s">
        <v>23</v>
      </c>
      <c r="AM19" s="51" t="s">
        <v>8</v>
      </c>
      <c r="AN19" s="52" t="s">
        <v>9</v>
      </c>
      <c r="AO19" s="25" t="s">
        <v>10</v>
      </c>
      <c r="AP19" s="42" t="s">
        <v>23</v>
      </c>
      <c r="AQ19" s="43" t="s">
        <v>8</v>
      </c>
      <c r="AR19" s="26" t="s">
        <v>9</v>
      </c>
      <c r="AS19" s="25" t="s">
        <v>10</v>
      </c>
      <c r="AT19" s="42" t="s">
        <v>23</v>
      </c>
      <c r="AU19" s="43" t="s">
        <v>8</v>
      </c>
      <c r="AV19" s="26" t="s">
        <v>9</v>
      </c>
      <c r="AW19" s="25" t="s">
        <v>10</v>
      </c>
      <c r="AX19" s="42" t="s">
        <v>23</v>
      </c>
      <c r="AY19" s="43" t="s">
        <v>8</v>
      </c>
      <c r="AZ19" s="26" t="s">
        <v>9</v>
      </c>
      <c r="BA19" s="25" t="s">
        <v>10</v>
      </c>
      <c r="BB19" s="42" t="s">
        <v>23</v>
      </c>
      <c r="BC19" s="43" t="s">
        <v>8</v>
      </c>
      <c r="BD19" s="26" t="s">
        <v>9</v>
      </c>
      <c r="BE19" s="25" t="s">
        <v>10</v>
      </c>
      <c r="BF19" s="42" t="s">
        <v>23</v>
      </c>
      <c r="BG19" s="43" t="s">
        <v>8</v>
      </c>
      <c r="BH19" s="26" t="s">
        <v>9</v>
      </c>
      <c r="BI19" s="25" t="s">
        <v>10</v>
      </c>
      <c r="BJ19" s="42" t="s">
        <v>23</v>
      </c>
      <c r="BK19" s="43" t="s">
        <v>8</v>
      </c>
      <c r="BL19" s="26" t="s">
        <v>9</v>
      </c>
    </row>
    <row r="20" spans="2:64" x14ac:dyDescent="0.3">
      <c r="B20" s="62">
        <f>AC20*AA20</f>
        <v>0</v>
      </c>
      <c r="C20" s="47">
        <f>AI20*AG20</f>
        <v>0</v>
      </c>
      <c r="D20" s="47">
        <f>W20*U20</f>
        <v>0</v>
      </c>
      <c r="E20" s="47">
        <f>AK20*AM20</f>
        <v>0</v>
      </c>
      <c r="F20" s="47">
        <f>AO20*AQ20</f>
        <v>58.5</v>
      </c>
      <c r="G20" s="47">
        <f>AS20*AU20</f>
        <v>28</v>
      </c>
      <c r="H20" s="47">
        <f>AW20*AY20</f>
        <v>27</v>
      </c>
      <c r="I20" s="47">
        <f>BA20*BC20</f>
        <v>0</v>
      </c>
      <c r="J20" s="47">
        <f>BE20*BG20</f>
        <v>0</v>
      </c>
      <c r="K20" s="63">
        <f>BI20*BK20</f>
        <v>0</v>
      </c>
      <c r="L20" s="55">
        <f>SUM(S20:U20,Y20:AA20,AE20:AG20,AK20,AO20,AS20,AW20,BA20,BE20,BI20)/($AE$16*$AE$16*3.15/10000*1000)</f>
        <v>39.07636822350873</v>
      </c>
      <c r="N20" s="32">
        <v>1</v>
      </c>
      <c r="O20" s="27">
        <v>848</v>
      </c>
      <c r="P20" s="87" t="s">
        <v>176</v>
      </c>
      <c r="Q20" s="87" t="s">
        <v>167</v>
      </c>
      <c r="R20" s="69" t="s">
        <v>171</v>
      </c>
      <c r="S20" s="40">
        <v>9.9999999999999995E-7</v>
      </c>
      <c r="T20" s="40">
        <v>9.9999999999999995E-7</v>
      </c>
      <c r="U20" s="40">
        <v>9.9999999999999995E-7</v>
      </c>
      <c r="V20" s="40"/>
      <c r="W20" s="40"/>
      <c r="X20" s="24"/>
      <c r="Y20" s="40">
        <v>9.9999999999999995E-7</v>
      </c>
      <c r="Z20" s="40">
        <v>9.9999999999999995E-7</v>
      </c>
      <c r="AA20" s="40">
        <v>9.9999999999999995E-7</v>
      </c>
      <c r="AB20" s="6"/>
      <c r="AC20" s="7"/>
      <c r="AD20" s="36"/>
      <c r="AE20" s="40">
        <v>9.9999999999999995E-7</v>
      </c>
      <c r="AF20" s="40">
        <v>9.9999999999999995E-7</v>
      </c>
      <c r="AG20" s="40">
        <v>9.9999999999999995E-7</v>
      </c>
      <c r="AH20" s="6"/>
      <c r="AI20" s="7"/>
      <c r="AJ20" s="8"/>
      <c r="AK20" s="40">
        <v>9.9999999999999995E-7</v>
      </c>
      <c r="AL20" s="7"/>
      <c r="AM20" s="7"/>
      <c r="AN20" s="8"/>
      <c r="AO20" s="40">
        <v>13</v>
      </c>
      <c r="AP20" s="27">
        <v>3</v>
      </c>
      <c r="AQ20" s="40">
        <v>4.5</v>
      </c>
      <c r="AR20" s="24">
        <v>8</v>
      </c>
      <c r="AS20" s="40">
        <v>8</v>
      </c>
      <c r="AT20" s="27">
        <v>2</v>
      </c>
      <c r="AU20" s="40">
        <v>3.5</v>
      </c>
      <c r="AV20" s="24">
        <v>8</v>
      </c>
      <c r="AW20" s="40">
        <v>18</v>
      </c>
      <c r="AX20" s="27">
        <v>0.5</v>
      </c>
      <c r="AY20" s="40">
        <v>1.5</v>
      </c>
      <c r="AZ20" s="24">
        <v>8</v>
      </c>
      <c r="BA20" s="40">
        <v>9.9999999999999995E-7</v>
      </c>
      <c r="BB20" s="27"/>
      <c r="BC20" s="40"/>
      <c r="BD20" s="24"/>
      <c r="BE20" s="40">
        <v>9.9999999999999995E-7</v>
      </c>
      <c r="BF20" s="27"/>
      <c r="BG20" s="40"/>
      <c r="BH20" s="24"/>
      <c r="BI20" s="40">
        <v>9.9999999999999995E-7</v>
      </c>
      <c r="BJ20" s="27"/>
      <c r="BK20" s="40"/>
      <c r="BL20" s="24"/>
    </row>
    <row r="21" spans="2:64" x14ac:dyDescent="0.3">
      <c r="B21" s="62">
        <f t="shared" ref="B21:B51" si="0">AC21*AA21</f>
        <v>0</v>
      </c>
      <c r="C21" s="47">
        <f t="shared" ref="C21:C51" si="1">AI21*AG21</f>
        <v>0</v>
      </c>
      <c r="D21" s="47">
        <f t="shared" ref="D21:D51" si="2">W21*U21</f>
        <v>0</v>
      </c>
      <c r="E21" s="47">
        <f t="shared" ref="E21:E51" si="3">AK21*AM21</f>
        <v>6.4</v>
      </c>
      <c r="F21" s="47">
        <f t="shared" ref="F21:F51" si="4">AO21*AQ21</f>
        <v>0</v>
      </c>
      <c r="G21" s="47">
        <f t="shared" ref="G21:G51" si="5">AS21*AU21</f>
        <v>150.5</v>
      </c>
      <c r="H21" s="47">
        <f t="shared" ref="H21:H51" si="6">AW21*AY21</f>
        <v>0</v>
      </c>
      <c r="I21" s="47">
        <f t="shared" ref="I21:I51" si="7">BA21*BC21</f>
        <v>0</v>
      </c>
      <c r="J21" s="47">
        <f t="shared" ref="J21:J51" si="8">BE21*BG21</f>
        <v>0</v>
      </c>
      <c r="K21" s="63">
        <f t="shared" ref="K21:K51" si="9">BI21*BK21</f>
        <v>0</v>
      </c>
      <c r="L21" s="55">
        <f t="shared" ref="L21:L51" si="10">SUM(S21:U21,Y21:AA21,AE21:AG21,AK21,AO21,AS21,AW21,BA21,BE21,BI21)/($AE$16*$AE$16*3.15/10000*1000)</f>
        <v>45.088102151604232</v>
      </c>
      <c r="N21" s="33">
        <v>2</v>
      </c>
      <c r="O21" s="28">
        <v>849</v>
      </c>
      <c r="P21" s="88" t="s">
        <v>176</v>
      </c>
      <c r="Q21" s="88" t="s">
        <v>123</v>
      </c>
      <c r="R21" s="37" t="s">
        <v>171</v>
      </c>
      <c r="S21" s="20"/>
      <c r="T21" s="3"/>
      <c r="U21" s="3"/>
      <c r="V21" s="3"/>
      <c r="W21" s="3"/>
      <c r="X21" s="10"/>
      <c r="Y21" s="17"/>
      <c r="Z21" s="2"/>
      <c r="AA21" s="2"/>
      <c r="AB21" s="2"/>
      <c r="AC21" s="3"/>
      <c r="AD21" s="37"/>
      <c r="AE21" s="9">
        <v>0</v>
      </c>
      <c r="AF21" s="2">
        <v>0</v>
      </c>
      <c r="AG21" s="2">
        <v>0</v>
      </c>
      <c r="AH21" s="2"/>
      <c r="AI21" s="3"/>
      <c r="AJ21" s="10"/>
      <c r="AK21" s="28">
        <v>2</v>
      </c>
      <c r="AL21" s="3">
        <v>0.5</v>
      </c>
      <c r="AM21" s="3">
        <v>3.2</v>
      </c>
      <c r="AN21" s="10">
        <v>8</v>
      </c>
      <c r="AO21" s="28">
        <v>0</v>
      </c>
      <c r="AP21" s="28"/>
      <c r="AQ21" s="3"/>
      <c r="AR21" s="10"/>
      <c r="AS21" s="20">
        <v>43</v>
      </c>
      <c r="AT21" s="28">
        <v>3</v>
      </c>
      <c r="AU21" s="3">
        <v>3.5</v>
      </c>
      <c r="AV21" s="10">
        <v>8</v>
      </c>
      <c r="AW21" s="20">
        <v>0</v>
      </c>
      <c r="AX21" s="28"/>
      <c r="AY21" s="3"/>
      <c r="AZ21" s="10"/>
      <c r="BA21" s="20"/>
      <c r="BB21" s="28"/>
      <c r="BC21" s="3"/>
      <c r="BD21" s="10"/>
      <c r="BE21" s="23"/>
      <c r="BF21" s="28"/>
      <c r="BG21" s="3"/>
      <c r="BH21" s="10"/>
      <c r="BI21" s="23"/>
      <c r="BJ21" s="28"/>
      <c r="BK21" s="3"/>
      <c r="BL21" s="10"/>
    </row>
    <row r="22" spans="2:64" x14ac:dyDescent="0.3">
      <c r="B22" s="62">
        <f t="shared" si="0"/>
        <v>0</v>
      </c>
      <c r="C22" s="47">
        <f t="shared" si="1"/>
        <v>0</v>
      </c>
      <c r="D22" s="47">
        <f t="shared" si="2"/>
        <v>0</v>
      </c>
      <c r="E22" s="47">
        <f t="shared" si="3"/>
        <v>7.5</v>
      </c>
      <c r="F22" s="47">
        <f t="shared" si="4"/>
        <v>0</v>
      </c>
      <c r="G22" s="47">
        <f t="shared" si="5"/>
        <v>0</v>
      </c>
      <c r="H22" s="47">
        <f t="shared" si="6"/>
        <v>12</v>
      </c>
      <c r="I22" s="47">
        <f t="shared" si="7"/>
        <v>0</v>
      </c>
      <c r="J22" s="47">
        <f t="shared" si="8"/>
        <v>0</v>
      </c>
      <c r="K22" s="63">
        <f t="shared" si="9"/>
        <v>0</v>
      </c>
      <c r="L22" s="55">
        <f t="shared" si="10"/>
        <v>13.025451732685667</v>
      </c>
      <c r="N22" s="33">
        <v>3</v>
      </c>
      <c r="O22" s="28">
        <v>850</v>
      </c>
      <c r="P22" s="88" t="s">
        <v>176</v>
      </c>
      <c r="Q22" s="88" t="s">
        <v>165</v>
      </c>
      <c r="R22" s="37" t="s">
        <v>174</v>
      </c>
      <c r="S22" s="20"/>
      <c r="T22" s="3"/>
      <c r="U22" s="3"/>
      <c r="V22" s="3"/>
      <c r="W22" s="3"/>
      <c r="X22" s="10"/>
      <c r="Y22" s="17"/>
      <c r="Z22" s="2"/>
      <c r="AA22" s="2"/>
      <c r="AB22" s="2"/>
      <c r="AC22" s="3"/>
      <c r="AD22" s="37"/>
      <c r="AE22" s="9">
        <v>0</v>
      </c>
      <c r="AF22" s="2">
        <v>2</v>
      </c>
      <c r="AG22" s="2">
        <v>0</v>
      </c>
      <c r="AH22" s="2"/>
      <c r="AI22" s="3"/>
      <c r="AJ22" s="10">
        <v>7</v>
      </c>
      <c r="AK22" s="28">
        <v>3</v>
      </c>
      <c r="AL22" s="3">
        <v>1.5</v>
      </c>
      <c r="AM22" s="3">
        <v>2.5</v>
      </c>
      <c r="AN22" s="10">
        <v>8</v>
      </c>
      <c r="AO22" s="28">
        <v>0</v>
      </c>
      <c r="AP22" s="28"/>
      <c r="AQ22" s="3"/>
      <c r="AR22" s="10"/>
      <c r="AS22" s="20">
        <v>0</v>
      </c>
      <c r="AT22" s="28"/>
      <c r="AU22" s="3"/>
      <c r="AV22" s="10"/>
      <c r="AW22" s="20">
        <v>8</v>
      </c>
      <c r="AX22" s="28">
        <v>0.5</v>
      </c>
      <c r="AY22" s="3">
        <v>1.5</v>
      </c>
      <c r="AZ22" s="10">
        <v>8</v>
      </c>
      <c r="BA22" s="20"/>
      <c r="BB22" s="28"/>
      <c r="BC22" s="3"/>
      <c r="BD22" s="10"/>
      <c r="BE22" s="23"/>
      <c r="BF22" s="28"/>
      <c r="BG22" s="3"/>
      <c r="BH22" s="10"/>
      <c r="BI22" s="23"/>
      <c r="BJ22" s="28"/>
      <c r="BK22" s="3"/>
      <c r="BL22" s="10"/>
    </row>
    <row r="23" spans="2:64" x14ac:dyDescent="0.3">
      <c r="B23" s="62">
        <f t="shared" si="0"/>
        <v>0</v>
      </c>
      <c r="C23" s="47">
        <f t="shared" si="1"/>
        <v>0</v>
      </c>
      <c r="D23" s="47">
        <f t="shared" si="2"/>
        <v>0</v>
      </c>
      <c r="E23" s="47">
        <f t="shared" si="3"/>
        <v>27</v>
      </c>
      <c r="F23" s="47">
        <f t="shared" si="4"/>
        <v>0</v>
      </c>
      <c r="G23" s="47">
        <f t="shared" si="5"/>
        <v>21</v>
      </c>
      <c r="H23" s="47">
        <f t="shared" si="6"/>
        <v>17.5</v>
      </c>
      <c r="I23" s="47">
        <f t="shared" si="7"/>
        <v>0</v>
      </c>
      <c r="J23" s="47">
        <f t="shared" si="8"/>
        <v>0</v>
      </c>
      <c r="K23" s="63">
        <f t="shared" si="9"/>
        <v>0</v>
      </c>
      <c r="L23" s="55">
        <f t="shared" si="10"/>
        <v>21.041114337415308</v>
      </c>
      <c r="N23" s="33">
        <v>4</v>
      </c>
      <c r="O23" s="27">
        <v>851</v>
      </c>
      <c r="P23" s="87" t="s">
        <v>176</v>
      </c>
      <c r="Q23" s="87" t="s">
        <v>165</v>
      </c>
      <c r="R23" s="37" t="s">
        <v>171</v>
      </c>
      <c r="S23" s="20"/>
      <c r="T23" s="3"/>
      <c r="U23" s="3"/>
      <c r="V23" s="3"/>
      <c r="W23" s="3"/>
      <c r="X23" s="10"/>
      <c r="Y23" s="17"/>
      <c r="Z23" s="2"/>
      <c r="AA23" s="2"/>
      <c r="AB23" s="2"/>
      <c r="AC23" s="3"/>
      <c r="AD23" s="37"/>
      <c r="AE23" s="9">
        <v>0</v>
      </c>
      <c r="AF23" s="2">
        <v>1</v>
      </c>
      <c r="AG23" s="2">
        <v>0</v>
      </c>
      <c r="AH23" s="2"/>
      <c r="AI23" s="3"/>
      <c r="AJ23" s="10">
        <v>7</v>
      </c>
      <c r="AK23" s="28">
        <v>9</v>
      </c>
      <c r="AL23" s="3">
        <v>2.5</v>
      </c>
      <c r="AM23" s="3">
        <v>3</v>
      </c>
      <c r="AN23" s="10">
        <v>8</v>
      </c>
      <c r="AO23" s="28">
        <v>0</v>
      </c>
      <c r="AP23" s="28"/>
      <c r="AQ23" s="3"/>
      <c r="AR23" s="10"/>
      <c r="AS23" s="20">
        <v>6</v>
      </c>
      <c r="AT23" s="28">
        <v>2.5</v>
      </c>
      <c r="AU23" s="3">
        <v>3.5</v>
      </c>
      <c r="AV23" s="10">
        <v>8</v>
      </c>
      <c r="AW23" s="20">
        <v>5</v>
      </c>
      <c r="AX23" s="28">
        <v>2</v>
      </c>
      <c r="AY23" s="3">
        <v>3.5</v>
      </c>
      <c r="AZ23" s="10">
        <v>8</v>
      </c>
      <c r="BA23" s="20"/>
      <c r="BB23" s="28"/>
      <c r="BC23" s="3"/>
      <c r="BD23" s="10"/>
      <c r="BE23" s="23"/>
      <c r="BF23" s="28"/>
      <c r="BG23" s="3"/>
      <c r="BH23" s="10"/>
      <c r="BI23" s="23"/>
      <c r="BJ23" s="28"/>
      <c r="BK23" s="3"/>
      <c r="BL23" s="10"/>
    </row>
    <row r="24" spans="2:64" x14ac:dyDescent="0.3">
      <c r="B24" s="62">
        <f t="shared" si="0"/>
        <v>0</v>
      </c>
      <c r="C24" s="47">
        <f t="shared" si="1"/>
        <v>0</v>
      </c>
      <c r="D24" s="47">
        <f t="shared" si="2"/>
        <v>0</v>
      </c>
      <c r="E24" s="47">
        <f t="shared" si="3"/>
        <v>15</v>
      </c>
      <c r="F24" s="47">
        <f t="shared" si="4"/>
        <v>0</v>
      </c>
      <c r="G24" s="47">
        <f t="shared" si="5"/>
        <v>12.5</v>
      </c>
      <c r="H24" s="47">
        <f t="shared" si="6"/>
        <v>16.5</v>
      </c>
      <c r="I24" s="47">
        <f t="shared" si="7"/>
        <v>0</v>
      </c>
      <c r="J24" s="47">
        <f t="shared" si="8"/>
        <v>0</v>
      </c>
      <c r="K24" s="63">
        <f t="shared" si="9"/>
        <v>0</v>
      </c>
      <c r="L24" s="55">
        <f t="shared" si="10"/>
        <v>19.037198686232898</v>
      </c>
      <c r="N24" s="33">
        <v>5</v>
      </c>
      <c r="O24" s="28">
        <v>852</v>
      </c>
      <c r="P24" s="88" t="s">
        <v>176</v>
      </c>
      <c r="Q24" s="88" t="s">
        <v>165</v>
      </c>
      <c r="R24" s="37" t="s">
        <v>171</v>
      </c>
      <c r="S24" s="20"/>
      <c r="T24" s="3"/>
      <c r="U24" s="3"/>
      <c r="V24" s="3"/>
      <c r="W24" s="3"/>
      <c r="X24" s="10"/>
      <c r="Y24" s="17"/>
      <c r="Z24" s="2"/>
      <c r="AA24" s="2"/>
      <c r="AB24" s="2"/>
      <c r="AC24" s="3"/>
      <c r="AD24" s="37"/>
      <c r="AE24" s="9">
        <v>0</v>
      </c>
      <c r="AF24" s="2">
        <v>0</v>
      </c>
      <c r="AG24" s="2">
        <v>0</v>
      </c>
      <c r="AH24" s="2"/>
      <c r="AI24" s="3"/>
      <c r="AJ24" s="10"/>
      <c r="AK24" s="28">
        <v>3</v>
      </c>
      <c r="AL24" s="3">
        <v>4.5</v>
      </c>
      <c r="AM24" s="3">
        <v>5</v>
      </c>
      <c r="AN24" s="10">
        <v>9</v>
      </c>
      <c r="AO24" s="28">
        <v>0</v>
      </c>
      <c r="AP24" s="28"/>
      <c r="AQ24" s="3"/>
      <c r="AR24" s="10"/>
      <c r="AS24" s="20">
        <v>5</v>
      </c>
      <c r="AT24" s="28">
        <v>1.5</v>
      </c>
      <c r="AU24" s="3">
        <v>2.5</v>
      </c>
      <c r="AV24" s="10">
        <v>8</v>
      </c>
      <c r="AW24" s="20">
        <v>11</v>
      </c>
      <c r="AX24" s="28">
        <v>0.5</v>
      </c>
      <c r="AY24" s="3">
        <v>1.5</v>
      </c>
      <c r="AZ24" s="10">
        <v>8</v>
      </c>
      <c r="BA24" s="20"/>
      <c r="BB24" s="28"/>
      <c r="BC24" s="3"/>
      <c r="BD24" s="10"/>
      <c r="BE24" s="23"/>
      <c r="BF24" s="28"/>
      <c r="BG24" s="3"/>
      <c r="BH24" s="10"/>
      <c r="BI24" s="20"/>
      <c r="BJ24" s="28"/>
      <c r="BK24" s="3"/>
      <c r="BL24" s="10"/>
    </row>
    <row r="25" spans="2:64" x14ac:dyDescent="0.3">
      <c r="B25" s="62">
        <f t="shared" si="0"/>
        <v>0</v>
      </c>
      <c r="C25" s="47">
        <f t="shared" si="1"/>
        <v>0</v>
      </c>
      <c r="D25" s="47">
        <f t="shared" si="2"/>
        <v>0</v>
      </c>
      <c r="E25" s="47">
        <f t="shared" si="3"/>
        <v>3.5</v>
      </c>
      <c r="F25" s="47">
        <f t="shared" si="4"/>
        <v>0</v>
      </c>
      <c r="G25" s="47">
        <f t="shared" si="5"/>
        <v>15</v>
      </c>
      <c r="H25" s="47">
        <f t="shared" si="6"/>
        <v>0</v>
      </c>
      <c r="I25" s="47">
        <f t="shared" si="7"/>
        <v>0</v>
      </c>
      <c r="J25" s="47">
        <f t="shared" si="8"/>
        <v>0</v>
      </c>
      <c r="K25" s="63">
        <f t="shared" si="9"/>
        <v>0</v>
      </c>
      <c r="L25" s="55">
        <f t="shared" si="10"/>
        <v>11.021536081503257</v>
      </c>
      <c r="N25" s="33">
        <v>6</v>
      </c>
      <c r="O25" s="28">
        <v>853</v>
      </c>
      <c r="P25" s="88" t="s">
        <v>176</v>
      </c>
      <c r="Q25" s="88" t="s">
        <v>128</v>
      </c>
      <c r="R25" s="37" t="s">
        <v>174</v>
      </c>
      <c r="S25" s="20"/>
      <c r="T25" s="3"/>
      <c r="U25" s="3"/>
      <c r="V25" s="3"/>
      <c r="W25" s="3"/>
      <c r="X25" s="10"/>
      <c r="Y25" s="17"/>
      <c r="Z25" s="2"/>
      <c r="AA25" s="2"/>
      <c r="AB25" s="2"/>
      <c r="AC25" s="3"/>
      <c r="AD25" s="37"/>
      <c r="AE25" s="9">
        <v>0</v>
      </c>
      <c r="AF25" s="2">
        <v>0</v>
      </c>
      <c r="AG25" s="2">
        <v>0</v>
      </c>
      <c r="AH25" s="2"/>
      <c r="AI25" s="3"/>
      <c r="AJ25" s="10"/>
      <c r="AK25" s="28">
        <v>1</v>
      </c>
      <c r="AL25" s="3">
        <v>2.5</v>
      </c>
      <c r="AM25" s="3">
        <v>3.5</v>
      </c>
      <c r="AN25" s="10">
        <v>8</v>
      </c>
      <c r="AO25" s="28">
        <v>0</v>
      </c>
      <c r="AP25" s="28"/>
      <c r="AQ25" s="3"/>
      <c r="AR25" s="10"/>
      <c r="AS25" s="20">
        <v>10</v>
      </c>
      <c r="AT25" s="28">
        <v>0.1</v>
      </c>
      <c r="AU25" s="3">
        <v>1.5</v>
      </c>
      <c r="AV25" s="10">
        <v>8</v>
      </c>
      <c r="AW25" s="20">
        <v>0</v>
      </c>
      <c r="AX25" s="28"/>
      <c r="AY25" s="3"/>
      <c r="AZ25" s="10"/>
      <c r="BA25" s="20"/>
      <c r="BB25" s="28"/>
      <c r="BC25" s="3"/>
      <c r="BD25" s="10"/>
      <c r="BE25" s="23"/>
      <c r="BF25" s="28"/>
      <c r="BG25" s="3"/>
      <c r="BH25" s="10"/>
      <c r="BI25" s="20"/>
      <c r="BJ25" s="28"/>
      <c r="BK25" s="3"/>
      <c r="BL25" s="10"/>
    </row>
    <row r="26" spans="2:64" x14ac:dyDescent="0.3">
      <c r="B26" s="62">
        <f t="shared" si="0"/>
        <v>0</v>
      </c>
      <c r="C26" s="47">
        <f t="shared" si="1"/>
        <v>0</v>
      </c>
      <c r="D26" s="47">
        <f t="shared" si="2"/>
        <v>0</v>
      </c>
      <c r="E26" s="47">
        <f t="shared" si="3"/>
        <v>14</v>
      </c>
      <c r="F26" s="47">
        <f t="shared" si="4"/>
        <v>119.7</v>
      </c>
      <c r="G26" s="47">
        <f t="shared" si="5"/>
        <v>23.1</v>
      </c>
      <c r="H26" s="47">
        <f t="shared" si="6"/>
        <v>0</v>
      </c>
      <c r="I26" s="47">
        <f t="shared" si="7"/>
        <v>0</v>
      </c>
      <c r="J26" s="47">
        <f t="shared" si="8"/>
        <v>0</v>
      </c>
      <c r="K26" s="63">
        <f t="shared" si="9"/>
        <v>0</v>
      </c>
      <c r="L26" s="55">
        <f t="shared" si="10"/>
        <v>39.076355198057001</v>
      </c>
      <c r="N26" s="33">
        <v>7</v>
      </c>
      <c r="O26" s="27">
        <v>854</v>
      </c>
      <c r="P26" s="87" t="s">
        <v>176</v>
      </c>
      <c r="Q26" s="87" t="s">
        <v>165</v>
      </c>
      <c r="R26" s="37" t="s">
        <v>174</v>
      </c>
      <c r="S26" s="20"/>
      <c r="T26" s="3"/>
      <c r="U26" s="3"/>
      <c r="V26" s="3"/>
      <c r="W26" s="3"/>
      <c r="X26" s="10"/>
      <c r="Y26" s="17"/>
      <c r="Z26" s="2"/>
      <c r="AA26" s="2"/>
      <c r="AB26" s="2"/>
      <c r="AC26" s="3"/>
      <c r="AD26" s="37"/>
      <c r="AE26" s="9">
        <v>1</v>
      </c>
      <c r="AF26" s="2">
        <v>2</v>
      </c>
      <c r="AG26" s="2">
        <v>0</v>
      </c>
      <c r="AH26" s="2"/>
      <c r="AI26" s="3"/>
      <c r="AJ26" s="10">
        <v>7</v>
      </c>
      <c r="AK26" s="28">
        <v>4</v>
      </c>
      <c r="AL26" s="3">
        <v>2.5</v>
      </c>
      <c r="AM26" s="3">
        <v>3.5</v>
      </c>
      <c r="AN26" s="10">
        <v>8</v>
      </c>
      <c r="AO26" s="28">
        <v>21</v>
      </c>
      <c r="AP26" s="28">
        <v>3.5</v>
      </c>
      <c r="AQ26" s="3">
        <v>5.7</v>
      </c>
      <c r="AR26" s="10">
        <v>8</v>
      </c>
      <c r="AS26" s="20">
        <v>11</v>
      </c>
      <c r="AT26" s="28">
        <v>0.2</v>
      </c>
      <c r="AU26" s="3">
        <v>2.1</v>
      </c>
      <c r="AV26" s="10">
        <v>8</v>
      </c>
      <c r="AW26" s="20">
        <v>0</v>
      </c>
      <c r="AX26" s="28"/>
      <c r="AY26" s="3"/>
      <c r="AZ26" s="10"/>
      <c r="BA26" s="20"/>
      <c r="BB26" s="28"/>
      <c r="BC26" s="3"/>
      <c r="BD26" s="10"/>
      <c r="BE26" s="23"/>
      <c r="BF26" s="28"/>
      <c r="BG26" s="3"/>
      <c r="BH26" s="10"/>
      <c r="BI26" s="20"/>
      <c r="BJ26" s="28"/>
      <c r="BK26" s="3"/>
      <c r="BL26" s="10"/>
    </row>
    <row r="27" spans="2:64" x14ac:dyDescent="0.3">
      <c r="B27" s="62">
        <f t="shared" si="0"/>
        <v>0</v>
      </c>
      <c r="C27" s="47">
        <f t="shared" si="1"/>
        <v>0</v>
      </c>
      <c r="D27" s="47">
        <f t="shared" si="2"/>
        <v>0</v>
      </c>
      <c r="E27" s="47">
        <f t="shared" si="3"/>
        <v>35</v>
      </c>
      <c r="F27" s="47">
        <f t="shared" si="4"/>
        <v>11.100000000000001</v>
      </c>
      <c r="G27" s="47">
        <f t="shared" si="5"/>
        <v>23</v>
      </c>
      <c r="H27" s="47">
        <f t="shared" si="6"/>
        <v>0</v>
      </c>
      <c r="I27" s="47">
        <f t="shared" si="7"/>
        <v>0</v>
      </c>
      <c r="J27" s="47">
        <f t="shared" si="8"/>
        <v>0</v>
      </c>
      <c r="K27" s="63">
        <f t="shared" si="9"/>
        <v>0</v>
      </c>
      <c r="L27" s="55">
        <f t="shared" si="10"/>
        <v>20.039156511824103</v>
      </c>
      <c r="N27" s="33">
        <v>8</v>
      </c>
      <c r="O27" s="28">
        <v>855</v>
      </c>
      <c r="P27" s="88" t="s">
        <v>176</v>
      </c>
      <c r="Q27" s="88" t="s">
        <v>165</v>
      </c>
      <c r="R27" s="37" t="s">
        <v>174</v>
      </c>
      <c r="S27" s="20"/>
      <c r="T27" s="3"/>
      <c r="U27" s="3"/>
      <c r="V27" s="3"/>
      <c r="W27" s="3"/>
      <c r="X27" s="10"/>
      <c r="Y27" s="17"/>
      <c r="Z27" s="2"/>
      <c r="AA27" s="2"/>
      <c r="AB27" s="2"/>
      <c r="AC27" s="3"/>
      <c r="AD27" s="37"/>
      <c r="AE27" s="9">
        <v>0</v>
      </c>
      <c r="AF27" s="2">
        <v>0</v>
      </c>
      <c r="AG27" s="2">
        <v>0</v>
      </c>
      <c r="AH27" s="2"/>
      <c r="AI27" s="3"/>
      <c r="AJ27" s="10"/>
      <c r="AK27" s="28">
        <v>7</v>
      </c>
      <c r="AL27" s="3">
        <v>4</v>
      </c>
      <c r="AM27" s="3">
        <v>5</v>
      </c>
      <c r="AN27" s="10">
        <v>8</v>
      </c>
      <c r="AO27" s="28">
        <v>3</v>
      </c>
      <c r="AP27" s="28">
        <v>2.5</v>
      </c>
      <c r="AQ27" s="3">
        <v>3.7</v>
      </c>
      <c r="AR27" s="10">
        <v>8</v>
      </c>
      <c r="AS27" s="20">
        <v>10</v>
      </c>
      <c r="AT27" s="28">
        <v>0.2</v>
      </c>
      <c r="AU27" s="3">
        <v>2.2999999999999998</v>
      </c>
      <c r="AV27" s="10">
        <v>8</v>
      </c>
      <c r="AW27" s="20">
        <v>0</v>
      </c>
      <c r="AX27" s="28"/>
      <c r="AY27" s="3"/>
      <c r="AZ27" s="10"/>
      <c r="BA27" s="20"/>
      <c r="BB27" s="28"/>
      <c r="BC27" s="3"/>
      <c r="BD27" s="10"/>
      <c r="BE27" s="23"/>
      <c r="BF27" s="28"/>
      <c r="BG27" s="3"/>
      <c r="BH27" s="10"/>
      <c r="BI27" s="20"/>
      <c r="BJ27" s="28"/>
      <c r="BK27" s="3"/>
      <c r="BL27" s="10"/>
    </row>
    <row r="28" spans="2:64" x14ac:dyDescent="0.3">
      <c r="B28" s="62">
        <f t="shared" si="0"/>
        <v>0</v>
      </c>
      <c r="C28" s="47">
        <f t="shared" si="1"/>
        <v>0</v>
      </c>
      <c r="D28" s="47">
        <f t="shared" si="2"/>
        <v>0</v>
      </c>
      <c r="E28" s="47">
        <f t="shared" si="3"/>
        <v>0</v>
      </c>
      <c r="F28" s="47">
        <f t="shared" si="4"/>
        <v>0</v>
      </c>
      <c r="G28" s="47">
        <f t="shared" si="5"/>
        <v>0</v>
      </c>
      <c r="H28" s="47">
        <f t="shared" si="6"/>
        <v>0</v>
      </c>
      <c r="I28" s="47">
        <f t="shared" si="7"/>
        <v>0</v>
      </c>
      <c r="J28" s="47">
        <f t="shared" si="8"/>
        <v>0</v>
      </c>
      <c r="K28" s="63">
        <f t="shared" si="9"/>
        <v>0</v>
      </c>
      <c r="L28" s="55">
        <f t="shared" si="10"/>
        <v>0</v>
      </c>
      <c r="N28" s="33">
        <v>9</v>
      </c>
      <c r="O28" s="28"/>
      <c r="P28" s="88"/>
      <c r="Q28" s="88"/>
      <c r="R28" s="37"/>
      <c r="S28" s="20"/>
      <c r="T28" s="3"/>
      <c r="U28" s="3"/>
      <c r="V28" s="3"/>
      <c r="W28" s="3"/>
      <c r="X28" s="10"/>
      <c r="Y28" s="17"/>
      <c r="Z28" s="2"/>
      <c r="AA28" s="2"/>
      <c r="AB28" s="2"/>
      <c r="AC28" s="3"/>
      <c r="AD28" s="37"/>
      <c r="AE28" s="9"/>
      <c r="AF28" s="2"/>
      <c r="AG28" s="2"/>
      <c r="AH28" s="2"/>
      <c r="AI28" s="3"/>
      <c r="AJ28" s="10"/>
      <c r="AK28" s="28"/>
      <c r="AL28" s="3"/>
      <c r="AM28" s="3"/>
      <c r="AN28" s="10"/>
      <c r="AO28" s="28"/>
      <c r="AP28" s="28"/>
      <c r="AQ28" s="3"/>
      <c r="AR28" s="10"/>
      <c r="AS28" s="20"/>
      <c r="AT28" s="28"/>
      <c r="AU28" s="3"/>
      <c r="AV28" s="10"/>
      <c r="AW28" s="20"/>
      <c r="AX28" s="28"/>
      <c r="AY28" s="3"/>
      <c r="AZ28" s="10"/>
      <c r="BA28" s="20"/>
      <c r="BB28" s="28"/>
      <c r="BC28" s="3"/>
      <c r="BD28" s="10"/>
      <c r="BE28" s="23"/>
      <c r="BF28" s="28"/>
      <c r="BG28" s="3"/>
      <c r="BH28" s="10"/>
      <c r="BI28" s="20"/>
      <c r="BJ28" s="28"/>
      <c r="BK28" s="3"/>
      <c r="BL28" s="10"/>
    </row>
    <row r="29" spans="2:64" x14ac:dyDescent="0.3">
      <c r="B29" s="62">
        <f t="shared" si="0"/>
        <v>0</v>
      </c>
      <c r="C29" s="47">
        <f t="shared" si="1"/>
        <v>0</v>
      </c>
      <c r="D29" s="47">
        <f t="shared" si="2"/>
        <v>0</v>
      </c>
      <c r="E29" s="47">
        <f t="shared" si="3"/>
        <v>0</v>
      </c>
      <c r="F29" s="47">
        <f t="shared" si="4"/>
        <v>0</v>
      </c>
      <c r="G29" s="47">
        <f t="shared" si="5"/>
        <v>0</v>
      </c>
      <c r="H29" s="47">
        <f t="shared" si="6"/>
        <v>0</v>
      </c>
      <c r="I29" s="47">
        <f t="shared" si="7"/>
        <v>0</v>
      </c>
      <c r="J29" s="47">
        <f t="shared" si="8"/>
        <v>0</v>
      </c>
      <c r="K29" s="63">
        <f t="shared" si="9"/>
        <v>0</v>
      </c>
      <c r="L29" s="55">
        <f t="shared" si="10"/>
        <v>0</v>
      </c>
      <c r="N29" s="33">
        <v>10</v>
      </c>
      <c r="O29" s="27"/>
      <c r="P29" s="87"/>
      <c r="Q29" s="87"/>
      <c r="R29" s="37"/>
      <c r="S29" s="20"/>
      <c r="T29" s="3"/>
      <c r="U29" s="3"/>
      <c r="V29" s="3"/>
      <c r="W29" s="3"/>
      <c r="X29" s="10"/>
      <c r="Y29" s="17"/>
      <c r="Z29" s="2"/>
      <c r="AA29" s="2"/>
      <c r="AB29" s="2"/>
      <c r="AC29" s="3"/>
      <c r="AD29" s="37"/>
      <c r="AE29" s="9"/>
      <c r="AF29" s="2"/>
      <c r="AG29" s="2"/>
      <c r="AH29" s="2"/>
      <c r="AI29" s="3"/>
      <c r="AJ29" s="10"/>
      <c r="AK29" s="28"/>
      <c r="AL29" s="3"/>
      <c r="AM29" s="3"/>
      <c r="AN29" s="10"/>
      <c r="AO29" s="28"/>
      <c r="AP29" s="28"/>
      <c r="AQ29" s="3"/>
      <c r="AR29" s="10"/>
      <c r="AS29" s="20"/>
      <c r="AT29" s="28"/>
      <c r="AU29" s="3"/>
      <c r="AV29" s="10"/>
      <c r="AW29" s="20"/>
      <c r="AX29" s="28"/>
      <c r="AY29" s="3"/>
      <c r="AZ29" s="10"/>
      <c r="BA29" s="20"/>
      <c r="BB29" s="28"/>
      <c r="BC29" s="3"/>
      <c r="BD29" s="10"/>
      <c r="BE29" s="23"/>
      <c r="BF29" s="28"/>
      <c r="BG29" s="3"/>
      <c r="BH29" s="10"/>
      <c r="BI29" s="20"/>
      <c r="BJ29" s="28"/>
      <c r="BK29" s="3"/>
      <c r="BL29" s="10"/>
    </row>
    <row r="30" spans="2:64" x14ac:dyDescent="0.3">
      <c r="B30" s="62">
        <f t="shared" si="0"/>
        <v>0</v>
      </c>
      <c r="C30" s="47">
        <f t="shared" si="1"/>
        <v>0</v>
      </c>
      <c r="D30" s="47">
        <f t="shared" si="2"/>
        <v>0</v>
      </c>
      <c r="E30" s="47">
        <f t="shared" si="3"/>
        <v>0</v>
      </c>
      <c r="F30" s="47">
        <f t="shared" si="4"/>
        <v>0</v>
      </c>
      <c r="G30" s="47">
        <f t="shared" si="5"/>
        <v>0</v>
      </c>
      <c r="H30" s="47">
        <f t="shared" si="6"/>
        <v>0</v>
      </c>
      <c r="I30" s="47">
        <f t="shared" si="7"/>
        <v>0</v>
      </c>
      <c r="J30" s="47">
        <f t="shared" si="8"/>
        <v>0</v>
      </c>
      <c r="K30" s="63">
        <f t="shared" si="9"/>
        <v>0</v>
      </c>
      <c r="L30" s="55">
        <f t="shared" si="10"/>
        <v>0</v>
      </c>
      <c r="N30" s="33">
        <v>11</v>
      </c>
      <c r="O30" s="28"/>
      <c r="P30" s="88"/>
      <c r="Q30" s="88"/>
      <c r="R30" s="37"/>
      <c r="S30" s="20"/>
      <c r="T30" s="3"/>
      <c r="U30" s="3"/>
      <c r="V30" s="3"/>
      <c r="W30" s="3"/>
      <c r="X30" s="10"/>
      <c r="Y30" s="17"/>
      <c r="Z30" s="2"/>
      <c r="AA30" s="2"/>
      <c r="AB30" s="2"/>
      <c r="AC30" s="3"/>
      <c r="AD30" s="37"/>
      <c r="AE30" s="9"/>
      <c r="AF30" s="2"/>
      <c r="AG30" s="2"/>
      <c r="AH30" s="2"/>
      <c r="AI30" s="3"/>
      <c r="AJ30" s="10"/>
      <c r="AK30" s="28"/>
      <c r="AL30" s="3"/>
      <c r="AM30" s="3"/>
      <c r="AN30" s="10"/>
      <c r="AO30" s="28"/>
      <c r="AP30" s="28"/>
      <c r="AQ30" s="3"/>
      <c r="AR30" s="10"/>
      <c r="AS30" s="20"/>
      <c r="AT30" s="28"/>
      <c r="AU30" s="3"/>
      <c r="AV30" s="10"/>
      <c r="AW30" s="20"/>
      <c r="AX30" s="28"/>
      <c r="AY30" s="3"/>
      <c r="AZ30" s="10"/>
      <c r="BA30" s="20"/>
      <c r="BB30" s="28"/>
      <c r="BC30" s="3"/>
      <c r="BD30" s="10"/>
      <c r="BE30" s="23"/>
      <c r="BF30" s="28"/>
      <c r="BG30" s="3"/>
      <c r="BH30" s="10"/>
      <c r="BI30" s="20"/>
      <c r="BJ30" s="28"/>
      <c r="BK30" s="3"/>
      <c r="BL30" s="10"/>
    </row>
    <row r="31" spans="2:64" x14ac:dyDescent="0.3">
      <c r="B31" s="62">
        <f t="shared" si="0"/>
        <v>0</v>
      </c>
      <c r="C31" s="47">
        <f t="shared" si="1"/>
        <v>0</v>
      </c>
      <c r="D31" s="47">
        <f t="shared" si="2"/>
        <v>0</v>
      </c>
      <c r="E31" s="47">
        <f t="shared" si="3"/>
        <v>0</v>
      </c>
      <c r="F31" s="47">
        <f t="shared" si="4"/>
        <v>0</v>
      </c>
      <c r="G31" s="47">
        <f t="shared" si="5"/>
        <v>0</v>
      </c>
      <c r="H31" s="47">
        <f t="shared" si="6"/>
        <v>0</v>
      </c>
      <c r="I31" s="47">
        <f t="shared" si="7"/>
        <v>0</v>
      </c>
      <c r="J31" s="47">
        <f t="shared" si="8"/>
        <v>0</v>
      </c>
      <c r="K31" s="63">
        <f t="shared" si="9"/>
        <v>0</v>
      </c>
      <c r="L31" s="55">
        <f t="shared" si="10"/>
        <v>0</v>
      </c>
      <c r="N31" s="33">
        <v>12</v>
      </c>
      <c r="O31" s="28"/>
      <c r="P31" s="88"/>
      <c r="Q31" s="88"/>
      <c r="R31" s="37"/>
      <c r="S31" s="20"/>
      <c r="T31" s="3"/>
      <c r="U31" s="3"/>
      <c r="V31" s="3"/>
      <c r="W31" s="3"/>
      <c r="X31" s="10"/>
      <c r="Y31" s="17"/>
      <c r="Z31" s="2"/>
      <c r="AA31" s="2"/>
      <c r="AB31" s="2"/>
      <c r="AC31" s="3"/>
      <c r="AD31" s="37"/>
      <c r="AE31" s="9"/>
      <c r="AF31" s="2"/>
      <c r="AG31" s="2"/>
      <c r="AH31" s="2"/>
      <c r="AI31" s="3"/>
      <c r="AJ31" s="10"/>
      <c r="AK31" s="28"/>
      <c r="AL31" s="3"/>
      <c r="AM31" s="3"/>
      <c r="AN31" s="10"/>
      <c r="AO31" s="28"/>
      <c r="AP31" s="28"/>
      <c r="AQ31" s="3"/>
      <c r="AR31" s="10"/>
      <c r="AS31" s="20"/>
      <c r="AT31" s="28"/>
      <c r="AU31" s="3"/>
      <c r="AV31" s="10"/>
      <c r="AW31" s="20"/>
      <c r="AX31" s="28"/>
      <c r="AY31" s="3"/>
      <c r="AZ31" s="10"/>
      <c r="BA31" s="20"/>
      <c r="BB31" s="28"/>
      <c r="BC31" s="3"/>
      <c r="BD31" s="10"/>
      <c r="BE31" s="23"/>
      <c r="BF31" s="28"/>
      <c r="BG31" s="3"/>
      <c r="BH31" s="10"/>
      <c r="BI31" s="20"/>
      <c r="BJ31" s="28"/>
      <c r="BK31" s="3"/>
      <c r="BL31" s="10"/>
    </row>
    <row r="32" spans="2:64" x14ac:dyDescent="0.3">
      <c r="B32" s="62">
        <f t="shared" si="0"/>
        <v>0</v>
      </c>
      <c r="C32" s="47">
        <f t="shared" si="1"/>
        <v>0</v>
      </c>
      <c r="D32" s="47">
        <f t="shared" si="2"/>
        <v>0</v>
      </c>
      <c r="E32" s="47">
        <f t="shared" si="3"/>
        <v>0</v>
      </c>
      <c r="F32" s="47">
        <f t="shared" si="4"/>
        <v>0</v>
      </c>
      <c r="G32" s="47">
        <f t="shared" si="5"/>
        <v>0</v>
      </c>
      <c r="H32" s="47">
        <f t="shared" si="6"/>
        <v>0</v>
      </c>
      <c r="I32" s="47">
        <f t="shared" si="7"/>
        <v>0</v>
      </c>
      <c r="J32" s="47">
        <f t="shared" si="8"/>
        <v>0</v>
      </c>
      <c r="K32" s="63">
        <f t="shared" si="9"/>
        <v>0</v>
      </c>
      <c r="L32" s="55">
        <f t="shared" si="10"/>
        <v>0</v>
      </c>
      <c r="N32" s="33">
        <v>13</v>
      </c>
      <c r="O32" s="28"/>
      <c r="P32" s="88"/>
      <c r="Q32" s="88"/>
      <c r="R32" s="37"/>
      <c r="S32" s="20"/>
      <c r="T32" s="3"/>
      <c r="U32" s="3"/>
      <c r="V32" s="3"/>
      <c r="W32" s="3"/>
      <c r="X32" s="10"/>
      <c r="Y32" s="17"/>
      <c r="Z32" s="2"/>
      <c r="AA32" s="2"/>
      <c r="AB32" s="2"/>
      <c r="AC32" s="3"/>
      <c r="AD32" s="37"/>
      <c r="AE32" s="9"/>
      <c r="AF32" s="2"/>
      <c r="AG32" s="2"/>
      <c r="AH32" s="2"/>
      <c r="AI32" s="3"/>
      <c r="AJ32" s="10"/>
      <c r="AK32" s="28"/>
      <c r="AL32" s="3"/>
      <c r="AM32" s="3"/>
      <c r="AN32" s="10"/>
      <c r="AO32" s="28"/>
      <c r="AP32" s="28"/>
      <c r="AQ32" s="3"/>
      <c r="AR32" s="10"/>
      <c r="AS32" s="20"/>
      <c r="AT32" s="28"/>
      <c r="AU32" s="3"/>
      <c r="AV32" s="10"/>
      <c r="AW32" s="20"/>
      <c r="AX32" s="28"/>
      <c r="AY32" s="3"/>
      <c r="AZ32" s="10"/>
      <c r="BA32" s="20"/>
      <c r="BB32" s="28"/>
      <c r="BC32" s="3"/>
      <c r="BD32" s="10"/>
      <c r="BE32" s="23"/>
      <c r="BF32" s="28"/>
      <c r="BG32" s="3"/>
      <c r="BH32" s="10"/>
      <c r="BI32" s="20"/>
      <c r="BJ32" s="28"/>
      <c r="BK32" s="3"/>
      <c r="BL32" s="10"/>
    </row>
    <row r="33" spans="2:64" x14ac:dyDescent="0.3">
      <c r="B33" s="62">
        <f t="shared" si="0"/>
        <v>0</v>
      </c>
      <c r="C33" s="47">
        <f t="shared" si="1"/>
        <v>0</v>
      </c>
      <c r="D33" s="47">
        <f t="shared" si="2"/>
        <v>0</v>
      </c>
      <c r="E33" s="47">
        <f t="shared" si="3"/>
        <v>0</v>
      </c>
      <c r="F33" s="47">
        <f t="shared" si="4"/>
        <v>0</v>
      </c>
      <c r="G33" s="47">
        <f t="shared" si="5"/>
        <v>0</v>
      </c>
      <c r="H33" s="47">
        <f t="shared" si="6"/>
        <v>0</v>
      </c>
      <c r="I33" s="47">
        <f t="shared" si="7"/>
        <v>0</v>
      </c>
      <c r="J33" s="47">
        <f t="shared" si="8"/>
        <v>0</v>
      </c>
      <c r="K33" s="63">
        <f t="shared" si="9"/>
        <v>0</v>
      </c>
      <c r="L33" s="55">
        <f t="shared" si="10"/>
        <v>0</v>
      </c>
      <c r="N33" s="33">
        <v>14</v>
      </c>
      <c r="O33" s="28"/>
      <c r="P33" s="88"/>
      <c r="Q33" s="88"/>
      <c r="R33" s="37"/>
      <c r="S33" s="20"/>
      <c r="T33" s="3"/>
      <c r="U33" s="3"/>
      <c r="V33" s="3"/>
      <c r="W33" s="3"/>
      <c r="X33" s="10"/>
      <c r="Y33" s="17"/>
      <c r="Z33" s="2"/>
      <c r="AA33" s="2"/>
      <c r="AB33" s="2"/>
      <c r="AC33" s="3"/>
      <c r="AD33" s="37"/>
      <c r="AE33" s="9"/>
      <c r="AF33" s="2"/>
      <c r="AG33" s="2"/>
      <c r="AH33" s="2"/>
      <c r="AI33" s="3"/>
      <c r="AJ33" s="10"/>
      <c r="AK33" s="28"/>
      <c r="AL33" s="3"/>
      <c r="AM33" s="3"/>
      <c r="AN33" s="10"/>
      <c r="AO33" s="28"/>
      <c r="AP33" s="28"/>
      <c r="AQ33" s="3"/>
      <c r="AR33" s="10"/>
      <c r="AS33" s="20"/>
      <c r="AT33" s="28"/>
      <c r="AU33" s="3"/>
      <c r="AV33" s="10"/>
      <c r="AW33" s="20"/>
      <c r="AX33" s="28"/>
      <c r="AY33" s="3"/>
      <c r="AZ33" s="10"/>
      <c r="BA33" s="20"/>
      <c r="BB33" s="28"/>
      <c r="BC33" s="3"/>
      <c r="BD33" s="10"/>
      <c r="BE33" s="23"/>
      <c r="BF33" s="28"/>
      <c r="BG33" s="3"/>
      <c r="BH33" s="10"/>
      <c r="BI33" s="20"/>
      <c r="BJ33" s="28"/>
      <c r="BK33" s="3"/>
      <c r="BL33" s="10"/>
    </row>
    <row r="34" spans="2:64" x14ac:dyDescent="0.3">
      <c r="B34" s="62">
        <f t="shared" si="0"/>
        <v>0</v>
      </c>
      <c r="C34" s="47">
        <f t="shared" si="1"/>
        <v>0</v>
      </c>
      <c r="D34" s="47">
        <f t="shared" si="2"/>
        <v>0</v>
      </c>
      <c r="E34" s="47">
        <f t="shared" si="3"/>
        <v>0</v>
      </c>
      <c r="F34" s="47">
        <f t="shared" si="4"/>
        <v>0</v>
      </c>
      <c r="G34" s="47">
        <f t="shared" si="5"/>
        <v>0</v>
      </c>
      <c r="H34" s="47">
        <f t="shared" si="6"/>
        <v>0</v>
      </c>
      <c r="I34" s="47">
        <f t="shared" si="7"/>
        <v>0</v>
      </c>
      <c r="J34" s="47">
        <f t="shared" si="8"/>
        <v>0</v>
      </c>
      <c r="K34" s="63">
        <f t="shared" si="9"/>
        <v>0</v>
      </c>
      <c r="L34" s="55">
        <f t="shared" si="10"/>
        <v>0</v>
      </c>
      <c r="N34" s="33">
        <v>15</v>
      </c>
      <c r="O34" s="28"/>
      <c r="P34" s="88"/>
      <c r="Q34" s="88"/>
      <c r="R34" s="37"/>
      <c r="S34" s="20"/>
      <c r="T34" s="3"/>
      <c r="U34" s="3"/>
      <c r="V34" s="3"/>
      <c r="W34" s="3"/>
      <c r="X34" s="10"/>
      <c r="Y34" s="17"/>
      <c r="Z34" s="2"/>
      <c r="AA34" s="2"/>
      <c r="AB34" s="2"/>
      <c r="AC34" s="3"/>
      <c r="AD34" s="37"/>
      <c r="AE34" s="9"/>
      <c r="AF34" s="2"/>
      <c r="AG34" s="2"/>
      <c r="AH34" s="2"/>
      <c r="AI34" s="3"/>
      <c r="AJ34" s="10"/>
      <c r="AK34" s="28"/>
      <c r="AL34" s="3"/>
      <c r="AM34" s="3"/>
      <c r="AN34" s="10"/>
      <c r="AO34" s="28"/>
      <c r="AP34" s="28"/>
      <c r="AQ34" s="3"/>
      <c r="AR34" s="10"/>
      <c r="AS34" s="20"/>
      <c r="AT34" s="28"/>
      <c r="AU34" s="3"/>
      <c r="AV34" s="10"/>
      <c r="AW34" s="20"/>
      <c r="AX34" s="28"/>
      <c r="AY34" s="3"/>
      <c r="AZ34" s="10"/>
      <c r="BA34" s="20"/>
      <c r="BB34" s="28"/>
      <c r="BC34" s="3"/>
      <c r="BD34" s="10"/>
      <c r="BE34" s="23"/>
      <c r="BF34" s="28"/>
      <c r="BG34" s="3"/>
      <c r="BH34" s="10"/>
      <c r="BI34" s="20"/>
      <c r="BJ34" s="28"/>
      <c r="BK34" s="3"/>
      <c r="BL34" s="10"/>
    </row>
    <row r="35" spans="2:64" x14ac:dyDescent="0.3">
      <c r="B35" s="62">
        <f t="shared" si="0"/>
        <v>0</v>
      </c>
      <c r="C35" s="47">
        <f t="shared" si="1"/>
        <v>0</v>
      </c>
      <c r="D35" s="47">
        <f t="shared" si="2"/>
        <v>0</v>
      </c>
      <c r="E35" s="47">
        <f t="shared" si="3"/>
        <v>0</v>
      </c>
      <c r="F35" s="47">
        <f t="shared" si="4"/>
        <v>0</v>
      </c>
      <c r="G35" s="47">
        <f t="shared" si="5"/>
        <v>0</v>
      </c>
      <c r="H35" s="47">
        <f t="shared" si="6"/>
        <v>0</v>
      </c>
      <c r="I35" s="47">
        <f t="shared" si="7"/>
        <v>0</v>
      </c>
      <c r="J35" s="47">
        <f t="shared" si="8"/>
        <v>0</v>
      </c>
      <c r="K35" s="63">
        <f t="shared" si="9"/>
        <v>0</v>
      </c>
      <c r="L35" s="55">
        <f t="shared" si="10"/>
        <v>0</v>
      </c>
      <c r="N35" s="33">
        <v>16</v>
      </c>
      <c r="O35" s="28"/>
      <c r="P35" s="88"/>
      <c r="Q35" s="88"/>
      <c r="R35" s="37"/>
      <c r="S35" s="20"/>
      <c r="T35" s="3"/>
      <c r="U35" s="3"/>
      <c r="V35" s="3"/>
      <c r="W35" s="3"/>
      <c r="X35" s="10"/>
      <c r="Y35" s="17"/>
      <c r="Z35" s="2"/>
      <c r="AA35" s="2"/>
      <c r="AB35" s="2"/>
      <c r="AC35" s="3"/>
      <c r="AD35" s="37"/>
      <c r="AE35" s="9"/>
      <c r="AF35" s="2"/>
      <c r="AG35" s="2"/>
      <c r="AH35" s="2"/>
      <c r="AI35" s="3"/>
      <c r="AJ35" s="10"/>
      <c r="AK35" s="28"/>
      <c r="AL35" s="3"/>
      <c r="AM35" s="3"/>
      <c r="AN35" s="10"/>
      <c r="AO35" s="28"/>
      <c r="AP35" s="28"/>
      <c r="AQ35" s="3"/>
      <c r="AR35" s="10"/>
      <c r="AS35" s="20"/>
      <c r="AT35" s="28"/>
      <c r="AU35" s="3"/>
      <c r="AV35" s="10"/>
      <c r="AW35" s="20"/>
      <c r="AX35" s="28"/>
      <c r="AY35" s="3"/>
      <c r="AZ35" s="10"/>
      <c r="BA35" s="20"/>
      <c r="BB35" s="28"/>
      <c r="BC35" s="3"/>
      <c r="BD35" s="10"/>
      <c r="BE35" s="23"/>
      <c r="BF35" s="28"/>
      <c r="BG35" s="3"/>
      <c r="BH35" s="10"/>
      <c r="BI35" s="20"/>
      <c r="BJ35" s="28"/>
      <c r="BK35" s="3"/>
      <c r="BL35" s="10"/>
    </row>
    <row r="36" spans="2:64" x14ac:dyDescent="0.3">
      <c r="B36" s="62">
        <f t="shared" si="0"/>
        <v>0</v>
      </c>
      <c r="C36" s="47">
        <f t="shared" si="1"/>
        <v>0</v>
      </c>
      <c r="D36" s="47">
        <f t="shared" si="2"/>
        <v>0</v>
      </c>
      <c r="E36" s="47">
        <f t="shared" si="3"/>
        <v>0</v>
      </c>
      <c r="F36" s="47">
        <f t="shared" si="4"/>
        <v>0</v>
      </c>
      <c r="G36" s="47">
        <f t="shared" si="5"/>
        <v>0</v>
      </c>
      <c r="H36" s="47">
        <f t="shared" si="6"/>
        <v>0</v>
      </c>
      <c r="I36" s="47">
        <f t="shared" si="7"/>
        <v>0</v>
      </c>
      <c r="J36" s="47">
        <f t="shared" si="8"/>
        <v>0</v>
      </c>
      <c r="K36" s="63">
        <f t="shared" si="9"/>
        <v>0</v>
      </c>
      <c r="L36" s="55">
        <f t="shared" si="10"/>
        <v>0</v>
      </c>
      <c r="N36" s="33">
        <v>17</v>
      </c>
      <c r="O36" s="28"/>
      <c r="P36" s="88"/>
      <c r="Q36" s="88"/>
      <c r="R36" s="37"/>
      <c r="S36" s="20"/>
      <c r="T36" s="3"/>
      <c r="U36" s="3"/>
      <c r="V36" s="3"/>
      <c r="W36" s="3"/>
      <c r="X36" s="10"/>
      <c r="Y36" s="17"/>
      <c r="Z36" s="2"/>
      <c r="AA36" s="2"/>
      <c r="AB36" s="2"/>
      <c r="AC36" s="3"/>
      <c r="AD36" s="37"/>
      <c r="AE36" s="9"/>
      <c r="AF36" s="2"/>
      <c r="AG36" s="2"/>
      <c r="AH36" s="2"/>
      <c r="AI36" s="3"/>
      <c r="AJ36" s="10"/>
      <c r="AK36" s="28"/>
      <c r="AL36" s="3"/>
      <c r="AM36" s="3"/>
      <c r="AN36" s="10"/>
      <c r="AO36" s="28"/>
      <c r="AP36" s="28"/>
      <c r="AQ36" s="3"/>
      <c r="AR36" s="10"/>
      <c r="AS36" s="20"/>
      <c r="AT36" s="28"/>
      <c r="AU36" s="3"/>
      <c r="AV36" s="10"/>
      <c r="AW36" s="20"/>
      <c r="AX36" s="28"/>
      <c r="AY36" s="3"/>
      <c r="AZ36" s="10"/>
      <c r="BA36" s="20"/>
      <c r="BB36" s="28"/>
      <c r="BC36" s="3"/>
      <c r="BD36" s="10"/>
      <c r="BE36" s="23"/>
      <c r="BF36" s="28"/>
      <c r="BG36" s="3"/>
      <c r="BH36" s="10"/>
      <c r="BI36" s="20"/>
      <c r="BJ36" s="28"/>
      <c r="BK36" s="3"/>
      <c r="BL36" s="10"/>
    </row>
    <row r="37" spans="2:64" x14ac:dyDescent="0.3">
      <c r="B37" s="62">
        <f t="shared" si="0"/>
        <v>0</v>
      </c>
      <c r="C37" s="47">
        <f t="shared" si="1"/>
        <v>0</v>
      </c>
      <c r="D37" s="47">
        <f t="shared" si="2"/>
        <v>0</v>
      </c>
      <c r="E37" s="47">
        <f t="shared" si="3"/>
        <v>0</v>
      </c>
      <c r="F37" s="47">
        <f t="shared" si="4"/>
        <v>0</v>
      </c>
      <c r="G37" s="47">
        <f t="shared" si="5"/>
        <v>0</v>
      </c>
      <c r="H37" s="47">
        <f t="shared" si="6"/>
        <v>0</v>
      </c>
      <c r="I37" s="47">
        <f t="shared" si="7"/>
        <v>0</v>
      </c>
      <c r="J37" s="47">
        <f t="shared" si="8"/>
        <v>0</v>
      </c>
      <c r="K37" s="63">
        <f t="shared" si="9"/>
        <v>0</v>
      </c>
      <c r="L37" s="55">
        <f t="shared" si="10"/>
        <v>0</v>
      </c>
      <c r="N37" s="33">
        <v>18</v>
      </c>
      <c r="O37" s="28"/>
      <c r="P37" s="88"/>
      <c r="Q37" s="88"/>
      <c r="R37" s="37"/>
      <c r="S37" s="20"/>
      <c r="T37" s="3"/>
      <c r="U37" s="3"/>
      <c r="V37" s="3"/>
      <c r="W37" s="3"/>
      <c r="X37" s="10"/>
      <c r="Y37" s="17"/>
      <c r="Z37" s="2"/>
      <c r="AA37" s="2"/>
      <c r="AB37" s="2"/>
      <c r="AC37" s="3"/>
      <c r="AD37" s="37"/>
      <c r="AE37" s="9"/>
      <c r="AF37" s="2"/>
      <c r="AG37" s="2"/>
      <c r="AH37" s="2"/>
      <c r="AI37" s="3"/>
      <c r="AJ37" s="10"/>
      <c r="AK37" s="28"/>
      <c r="AL37" s="3"/>
      <c r="AM37" s="3"/>
      <c r="AN37" s="10"/>
      <c r="AO37" s="28"/>
      <c r="AP37" s="28"/>
      <c r="AQ37" s="3"/>
      <c r="AR37" s="10"/>
      <c r="AS37" s="20"/>
      <c r="AT37" s="28"/>
      <c r="AU37" s="3"/>
      <c r="AV37" s="10"/>
      <c r="AW37" s="20"/>
      <c r="AX37" s="28"/>
      <c r="AY37" s="3"/>
      <c r="AZ37" s="10"/>
      <c r="BA37" s="20"/>
      <c r="BB37" s="28"/>
      <c r="BC37" s="3"/>
      <c r="BD37" s="10"/>
      <c r="BE37" s="23"/>
      <c r="BF37" s="28"/>
      <c r="BG37" s="3"/>
      <c r="BH37" s="10"/>
      <c r="BI37" s="20"/>
      <c r="BJ37" s="28"/>
      <c r="BK37" s="3"/>
      <c r="BL37" s="10"/>
    </row>
    <row r="38" spans="2:64" x14ac:dyDescent="0.3">
      <c r="B38" s="62">
        <f t="shared" si="0"/>
        <v>0</v>
      </c>
      <c r="C38" s="47">
        <f t="shared" si="1"/>
        <v>0</v>
      </c>
      <c r="D38" s="47">
        <f t="shared" si="2"/>
        <v>0</v>
      </c>
      <c r="E38" s="47">
        <f t="shared" si="3"/>
        <v>0</v>
      </c>
      <c r="F38" s="47">
        <f t="shared" si="4"/>
        <v>0</v>
      </c>
      <c r="G38" s="47">
        <f t="shared" si="5"/>
        <v>0</v>
      </c>
      <c r="H38" s="47">
        <f t="shared" si="6"/>
        <v>0</v>
      </c>
      <c r="I38" s="47">
        <f t="shared" si="7"/>
        <v>0</v>
      </c>
      <c r="J38" s="47">
        <f t="shared" si="8"/>
        <v>0</v>
      </c>
      <c r="K38" s="63">
        <f t="shared" si="9"/>
        <v>0</v>
      </c>
      <c r="L38" s="55">
        <f t="shared" si="10"/>
        <v>0</v>
      </c>
      <c r="N38" s="33">
        <v>19</v>
      </c>
      <c r="O38" s="28"/>
      <c r="P38" s="88"/>
      <c r="Q38" s="88"/>
      <c r="R38" s="37"/>
      <c r="S38" s="20"/>
      <c r="T38" s="3"/>
      <c r="U38" s="3"/>
      <c r="V38" s="3"/>
      <c r="W38" s="3"/>
      <c r="X38" s="10"/>
      <c r="Y38" s="17"/>
      <c r="Z38" s="2"/>
      <c r="AA38" s="2"/>
      <c r="AB38" s="2"/>
      <c r="AC38" s="3"/>
      <c r="AD38" s="37"/>
      <c r="AE38" s="9"/>
      <c r="AF38" s="2"/>
      <c r="AG38" s="2"/>
      <c r="AH38" s="2"/>
      <c r="AI38" s="3"/>
      <c r="AJ38" s="10"/>
      <c r="AK38" s="28"/>
      <c r="AL38" s="3"/>
      <c r="AM38" s="3"/>
      <c r="AN38" s="10"/>
      <c r="AO38" s="28"/>
      <c r="AP38" s="28"/>
      <c r="AQ38" s="3"/>
      <c r="AR38" s="10"/>
      <c r="AS38" s="20"/>
      <c r="AT38" s="28"/>
      <c r="AU38" s="3"/>
      <c r="AV38" s="10"/>
      <c r="AW38" s="20"/>
      <c r="AX38" s="28"/>
      <c r="AY38" s="3"/>
      <c r="AZ38" s="10"/>
      <c r="BA38" s="20"/>
      <c r="BB38" s="28"/>
      <c r="BC38" s="3"/>
      <c r="BD38" s="10"/>
      <c r="BE38" s="23"/>
      <c r="BF38" s="28"/>
      <c r="BG38" s="3"/>
      <c r="BH38" s="10"/>
      <c r="BI38" s="20"/>
      <c r="BJ38" s="28"/>
      <c r="BK38" s="3"/>
      <c r="BL38" s="10"/>
    </row>
    <row r="39" spans="2:64" x14ac:dyDescent="0.3">
      <c r="B39" s="62">
        <f t="shared" si="0"/>
        <v>0</v>
      </c>
      <c r="C39" s="47">
        <f t="shared" si="1"/>
        <v>0</v>
      </c>
      <c r="D39" s="47">
        <f t="shared" si="2"/>
        <v>0</v>
      </c>
      <c r="E39" s="47">
        <f t="shared" si="3"/>
        <v>0</v>
      </c>
      <c r="F39" s="47">
        <f t="shared" si="4"/>
        <v>0</v>
      </c>
      <c r="G39" s="47">
        <f t="shared" si="5"/>
        <v>0</v>
      </c>
      <c r="H39" s="47">
        <f t="shared" si="6"/>
        <v>0</v>
      </c>
      <c r="I39" s="47">
        <f t="shared" si="7"/>
        <v>0</v>
      </c>
      <c r="J39" s="47">
        <f t="shared" si="8"/>
        <v>0</v>
      </c>
      <c r="K39" s="63">
        <f t="shared" si="9"/>
        <v>0</v>
      </c>
      <c r="L39" s="55">
        <f t="shared" si="10"/>
        <v>0</v>
      </c>
      <c r="N39" s="33">
        <v>20</v>
      </c>
      <c r="O39" s="28"/>
      <c r="P39" s="88"/>
      <c r="Q39" s="88"/>
      <c r="R39" s="37"/>
      <c r="S39" s="20"/>
      <c r="T39" s="3"/>
      <c r="U39" s="3"/>
      <c r="V39" s="3"/>
      <c r="W39" s="3"/>
      <c r="X39" s="10"/>
      <c r="Y39" s="17"/>
      <c r="Z39" s="2"/>
      <c r="AA39" s="2"/>
      <c r="AB39" s="2"/>
      <c r="AC39" s="3"/>
      <c r="AD39" s="37"/>
      <c r="AE39" s="9"/>
      <c r="AF39" s="2"/>
      <c r="AG39" s="2"/>
      <c r="AH39" s="2"/>
      <c r="AI39" s="3"/>
      <c r="AJ39" s="10"/>
      <c r="AK39" s="28"/>
      <c r="AL39" s="3"/>
      <c r="AM39" s="3"/>
      <c r="AN39" s="10"/>
      <c r="AO39" s="28"/>
      <c r="AP39" s="28"/>
      <c r="AQ39" s="3"/>
      <c r="AR39" s="10"/>
      <c r="AS39" s="20"/>
      <c r="AT39" s="28"/>
      <c r="AU39" s="3"/>
      <c r="AV39" s="10"/>
      <c r="AW39" s="20"/>
      <c r="AX39" s="28"/>
      <c r="AY39" s="3"/>
      <c r="AZ39" s="10"/>
      <c r="BA39" s="20"/>
      <c r="BB39" s="28"/>
      <c r="BC39" s="3"/>
      <c r="BD39" s="10"/>
      <c r="BE39" s="23"/>
      <c r="BF39" s="28"/>
      <c r="BG39" s="3"/>
      <c r="BH39" s="10"/>
      <c r="BI39" s="20"/>
      <c r="BJ39" s="28"/>
      <c r="BK39" s="3"/>
      <c r="BL39" s="10"/>
    </row>
    <row r="40" spans="2:64" x14ac:dyDescent="0.3">
      <c r="B40" s="62">
        <f t="shared" si="0"/>
        <v>0</v>
      </c>
      <c r="C40" s="47">
        <f t="shared" si="1"/>
        <v>0</v>
      </c>
      <c r="D40" s="47">
        <f t="shared" si="2"/>
        <v>0</v>
      </c>
      <c r="E40" s="47">
        <f t="shared" si="3"/>
        <v>0</v>
      </c>
      <c r="F40" s="47">
        <f t="shared" si="4"/>
        <v>0</v>
      </c>
      <c r="G40" s="47">
        <f t="shared" si="5"/>
        <v>0</v>
      </c>
      <c r="H40" s="47">
        <f t="shared" si="6"/>
        <v>0</v>
      </c>
      <c r="I40" s="47">
        <f t="shared" si="7"/>
        <v>0</v>
      </c>
      <c r="J40" s="47">
        <f t="shared" si="8"/>
        <v>0</v>
      </c>
      <c r="K40" s="63">
        <f t="shared" si="9"/>
        <v>0</v>
      </c>
      <c r="L40" s="55">
        <f t="shared" si="10"/>
        <v>0</v>
      </c>
      <c r="N40" s="33">
        <v>21</v>
      </c>
      <c r="O40" s="28"/>
      <c r="P40" s="88"/>
      <c r="Q40" s="88"/>
      <c r="R40" s="37"/>
      <c r="S40" s="20"/>
      <c r="T40" s="3"/>
      <c r="U40" s="3"/>
      <c r="V40" s="3"/>
      <c r="W40" s="3"/>
      <c r="X40" s="10"/>
      <c r="Y40" s="17"/>
      <c r="Z40" s="2"/>
      <c r="AA40" s="2"/>
      <c r="AB40" s="2"/>
      <c r="AC40" s="3"/>
      <c r="AD40" s="37"/>
      <c r="AE40" s="9"/>
      <c r="AF40" s="2"/>
      <c r="AG40" s="2"/>
      <c r="AH40" s="2"/>
      <c r="AI40" s="3"/>
      <c r="AJ40" s="10"/>
      <c r="AK40" s="28"/>
      <c r="AL40" s="3"/>
      <c r="AM40" s="3"/>
      <c r="AN40" s="10"/>
      <c r="AO40" s="28"/>
      <c r="AP40" s="28"/>
      <c r="AQ40" s="3"/>
      <c r="AR40" s="10"/>
      <c r="AS40" s="20"/>
      <c r="AT40" s="28"/>
      <c r="AU40" s="3"/>
      <c r="AV40" s="10"/>
      <c r="AW40" s="20"/>
      <c r="AX40" s="28"/>
      <c r="AY40" s="3"/>
      <c r="AZ40" s="10"/>
      <c r="BA40" s="20"/>
      <c r="BB40" s="28"/>
      <c r="BC40" s="3"/>
      <c r="BD40" s="10"/>
      <c r="BE40" s="23"/>
      <c r="BF40" s="28"/>
      <c r="BG40" s="3"/>
      <c r="BH40" s="10"/>
      <c r="BI40" s="20"/>
      <c r="BJ40" s="28"/>
      <c r="BK40" s="3"/>
      <c r="BL40" s="10"/>
    </row>
    <row r="41" spans="2:64" x14ac:dyDescent="0.3">
      <c r="B41" s="62">
        <f t="shared" si="0"/>
        <v>0</v>
      </c>
      <c r="C41" s="47">
        <f t="shared" si="1"/>
        <v>0</v>
      </c>
      <c r="D41" s="47">
        <f t="shared" si="2"/>
        <v>0</v>
      </c>
      <c r="E41" s="47">
        <f t="shared" si="3"/>
        <v>0</v>
      </c>
      <c r="F41" s="47">
        <f t="shared" si="4"/>
        <v>0</v>
      </c>
      <c r="G41" s="47">
        <f t="shared" si="5"/>
        <v>0</v>
      </c>
      <c r="H41" s="47">
        <f t="shared" si="6"/>
        <v>0</v>
      </c>
      <c r="I41" s="47">
        <f t="shared" si="7"/>
        <v>0</v>
      </c>
      <c r="J41" s="47">
        <f t="shared" si="8"/>
        <v>0</v>
      </c>
      <c r="K41" s="63">
        <f t="shared" si="9"/>
        <v>0</v>
      </c>
      <c r="L41" s="55">
        <f t="shared" si="10"/>
        <v>0</v>
      </c>
      <c r="N41" s="33">
        <v>22</v>
      </c>
      <c r="O41" s="28"/>
      <c r="P41" s="88"/>
      <c r="Q41" s="88"/>
      <c r="R41" s="37"/>
      <c r="S41" s="20"/>
      <c r="T41" s="3"/>
      <c r="U41" s="3"/>
      <c r="V41" s="3"/>
      <c r="W41" s="3"/>
      <c r="X41" s="10"/>
      <c r="Y41" s="17"/>
      <c r="Z41" s="2"/>
      <c r="AA41" s="2"/>
      <c r="AB41" s="2"/>
      <c r="AC41" s="3"/>
      <c r="AD41" s="37"/>
      <c r="AE41" s="9"/>
      <c r="AF41" s="2"/>
      <c r="AG41" s="2"/>
      <c r="AH41" s="2"/>
      <c r="AI41" s="3"/>
      <c r="AJ41" s="10"/>
      <c r="AK41" s="28"/>
      <c r="AL41" s="3"/>
      <c r="AM41" s="3"/>
      <c r="AN41" s="10"/>
      <c r="AO41" s="28"/>
      <c r="AP41" s="28"/>
      <c r="AQ41" s="3"/>
      <c r="AR41" s="10"/>
      <c r="AS41" s="20"/>
      <c r="AT41" s="28"/>
      <c r="AU41" s="3"/>
      <c r="AV41" s="10"/>
      <c r="AW41" s="20"/>
      <c r="AX41" s="28"/>
      <c r="AY41" s="3"/>
      <c r="AZ41" s="10"/>
      <c r="BA41" s="20"/>
      <c r="BB41" s="28"/>
      <c r="BC41" s="3"/>
      <c r="BD41" s="10"/>
      <c r="BE41" s="23"/>
      <c r="BF41" s="28"/>
      <c r="BG41" s="3"/>
      <c r="BH41" s="10"/>
      <c r="BI41" s="20"/>
      <c r="BJ41" s="28"/>
      <c r="BK41" s="3"/>
      <c r="BL41" s="10"/>
    </row>
    <row r="42" spans="2:64" x14ac:dyDescent="0.3">
      <c r="B42" s="62">
        <f t="shared" si="0"/>
        <v>0</v>
      </c>
      <c r="C42" s="47">
        <f t="shared" si="1"/>
        <v>0</v>
      </c>
      <c r="D42" s="47">
        <f t="shared" si="2"/>
        <v>0</v>
      </c>
      <c r="E42" s="47">
        <f t="shared" si="3"/>
        <v>0</v>
      </c>
      <c r="F42" s="47">
        <f t="shared" si="4"/>
        <v>0</v>
      </c>
      <c r="G42" s="47">
        <f t="shared" si="5"/>
        <v>0</v>
      </c>
      <c r="H42" s="47">
        <f t="shared" si="6"/>
        <v>0</v>
      </c>
      <c r="I42" s="47">
        <f t="shared" si="7"/>
        <v>0</v>
      </c>
      <c r="J42" s="47">
        <f t="shared" si="8"/>
        <v>0</v>
      </c>
      <c r="K42" s="63">
        <f t="shared" si="9"/>
        <v>0</v>
      </c>
      <c r="L42" s="55">
        <f t="shared" si="10"/>
        <v>0</v>
      </c>
      <c r="N42" s="33">
        <v>23</v>
      </c>
      <c r="O42" s="28"/>
      <c r="P42" s="88"/>
      <c r="Q42" s="88"/>
      <c r="R42" s="37"/>
      <c r="S42" s="20"/>
      <c r="T42" s="3"/>
      <c r="U42" s="3"/>
      <c r="V42" s="3"/>
      <c r="W42" s="3"/>
      <c r="X42" s="10"/>
      <c r="Y42" s="17"/>
      <c r="Z42" s="2"/>
      <c r="AA42" s="2"/>
      <c r="AB42" s="2"/>
      <c r="AC42" s="3"/>
      <c r="AD42" s="37"/>
      <c r="AE42" s="9"/>
      <c r="AF42" s="2"/>
      <c r="AG42" s="2"/>
      <c r="AH42" s="2"/>
      <c r="AI42" s="3"/>
      <c r="AJ42" s="10"/>
      <c r="AK42" s="28"/>
      <c r="AL42" s="3"/>
      <c r="AM42" s="3"/>
      <c r="AN42" s="10"/>
      <c r="AO42" s="28"/>
      <c r="AP42" s="28"/>
      <c r="AQ42" s="3"/>
      <c r="AR42" s="10"/>
      <c r="AS42" s="20"/>
      <c r="AT42" s="28"/>
      <c r="AU42" s="3"/>
      <c r="AV42" s="10"/>
      <c r="AW42" s="20"/>
      <c r="AX42" s="28"/>
      <c r="AY42" s="3"/>
      <c r="AZ42" s="10"/>
      <c r="BA42" s="20"/>
      <c r="BB42" s="28"/>
      <c r="BC42" s="3"/>
      <c r="BD42" s="10"/>
      <c r="BE42" s="23"/>
      <c r="BF42" s="28"/>
      <c r="BG42" s="3"/>
      <c r="BH42" s="10"/>
      <c r="BI42" s="20"/>
      <c r="BJ42" s="28"/>
      <c r="BK42" s="3"/>
      <c r="BL42" s="10"/>
    </row>
    <row r="43" spans="2:64" x14ac:dyDescent="0.3">
      <c r="B43" s="62">
        <f t="shared" si="0"/>
        <v>0</v>
      </c>
      <c r="C43" s="47">
        <f t="shared" si="1"/>
        <v>0</v>
      </c>
      <c r="D43" s="47">
        <f t="shared" si="2"/>
        <v>0</v>
      </c>
      <c r="E43" s="47">
        <f t="shared" si="3"/>
        <v>0</v>
      </c>
      <c r="F43" s="47">
        <f t="shared" si="4"/>
        <v>0</v>
      </c>
      <c r="G43" s="47">
        <f t="shared" si="5"/>
        <v>0</v>
      </c>
      <c r="H43" s="47">
        <f t="shared" si="6"/>
        <v>0</v>
      </c>
      <c r="I43" s="47">
        <f t="shared" si="7"/>
        <v>0</v>
      </c>
      <c r="J43" s="47">
        <f t="shared" si="8"/>
        <v>0</v>
      </c>
      <c r="K43" s="63">
        <f t="shared" si="9"/>
        <v>0</v>
      </c>
      <c r="L43" s="55">
        <f t="shared" si="10"/>
        <v>0</v>
      </c>
      <c r="N43" s="33">
        <v>24</v>
      </c>
      <c r="O43" s="28"/>
      <c r="P43" s="88"/>
      <c r="Q43" s="88"/>
      <c r="R43" s="37"/>
      <c r="S43" s="20"/>
      <c r="T43" s="3"/>
      <c r="U43" s="3"/>
      <c r="V43" s="3"/>
      <c r="W43" s="3"/>
      <c r="X43" s="10"/>
      <c r="Y43" s="17"/>
      <c r="Z43" s="2"/>
      <c r="AA43" s="2"/>
      <c r="AB43" s="2"/>
      <c r="AC43" s="3"/>
      <c r="AD43" s="37"/>
      <c r="AE43" s="9"/>
      <c r="AF43" s="2"/>
      <c r="AG43" s="2"/>
      <c r="AH43" s="2"/>
      <c r="AI43" s="3"/>
      <c r="AJ43" s="10"/>
      <c r="AK43" s="28"/>
      <c r="AL43" s="3"/>
      <c r="AM43" s="3"/>
      <c r="AN43" s="10"/>
      <c r="AO43" s="28"/>
      <c r="AP43" s="28"/>
      <c r="AQ43" s="3"/>
      <c r="AR43" s="10"/>
      <c r="AS43" s="20"/>
      <c r="AT43" s="28"/>
      <c r="AU43" s="3"/>
      <c r="AV43" s="10"/>
      <c r="AW43" s="20"/>
      <c r="AX43" s="28"/>
      <c r="AY43" s="3"/>
      <c r="AZ43" s="10"/>
      <c r="BA43" s="20"/>
      <c r="BB43" s="28"/>
      <c r="BC43" s="3"/>
      <c r="BD43" s="10"/>
      <c r="BE43" s="23"/>
      <c r="BF43" s="28"/>
      <c r="BG43" s="3"/>
      <c r="BH43" s="10"/>
      <c r="BI43" s="20"/>
      <c r="BJ43" s="28"/>
      <c r="BK43" s="3"/>
      <c r="BL43" s="10"/>
    </row>
    <row r="44" spans="2:64" x14ac:dyDescent="0.3">
      <c r="B44" s="62">
        <f t="shared" si="0"/>
        <v>0</v>
      </c>
      <c r="C44" s="47">
        <f t="shared" si="1"/>
        <v>0</v>
      </c>
      <c r="D44" s="47">
        <f t="shared" si="2"/>
        <v>0</v>
      </c>
      <c r="E44" s="47">
        <f t="shared" si="3"/>
        <v>0</v>
      </c>
      <c r="F44" s="47">
        <f t="shared" si="4"/>
        <v>0</v>
      </c>
      <c r="G44" s="47">
        <f t="shared" si="5"/>
        <v>0</v>
      </c>
      <c r="H44" s="47">
        <f t="shared" si="6"/>
        <v>0</v>
      </c>
      <c r="I44" s="47">
        <f t="shared" si="7"/>
        <v>0</v>
      </c>
      <c r="J44" s="47">
        <f t="shared" si="8"/>
        <v>0</v>
      </c>
      <c r="K44" s="63">
        <f t="shared" si="9"/>
        <v>0</v>
      </c>
      <c r="L44" s="55">
        <f t="shared" si="10"/>
        <v>0</v>
      </c>
      <c r="N44" s="33">
        <v>25</v>
      </c>
      <c r="O44" s="28"/>
      <c r="P44" s="88"/>
      <c r="Q44" s="88"/>
      <c r="R44" s="37"/>
      <c r="S44" s="20"/>
      <c r="T44" s="3"/>
      <c r="U44" s="3"/>
      <c r="V44" s="3"/>
      <c r="W44" s="3"/>
      <c r="X44" s="10"/>
      <c r="Y44" s="17"/>
      <c r="Z44" s="2"/>
      <c r="AA44" s="2"/>
      <c r="AB44" s="2"/>
      <c r="AC44" s="3"/>
      <c r="AD44" s="37"/>
      <c r="AE44" s="9"/>
      <c r="AF44" s="2"/>
      <c r="AG44" s="2"/>
      <c r="AH44" s="2"/>
      <c r="AI44" s="3"/>
      <c r="AJ44" s="10"/>
      <c r="AK44" s="28"/>
      <c r="AL44" s="3"/>
      <c r="AM44" s="3"/>
      <c r="AN44" s="10"/>
      <c r="AO44" s="28"/>
      <c r="AP44" s="28"/>
      <c r="AQ44" s="3"/>
      <c r="AR44" s="10"/>
      <c r="AS44" s="20"/>
      <c r="AT44" s="28"/>
      <c r="AU44" s="3"/>
      <c r="AV44" s="10"/>
      <c r="AW44" s="20"/>
      <c r="AX44" s="28"/>
      <c r="AY44" s="3"/>
      <c r="AZ44" s="10"/>
      <c r="BA44" s="20"/>
      <c r="BB44" s="28"/>
      <c r="BC44" s="3"/>
      <c r="BD44" s="10"/>
      <c r="BE44" s="23"/>
      <c r="BF44" s="28"/>
      <c r="BG44" s="3"/>
      <c r="BH44" s="10"/>
      <c r="BI44" s="20"/>
      <c r="BJ44" s="28"/>
      <c r="BK44" s="3"/>
      <c r="BL44" s="10"/>
    </row>
    <row r="45" spans="2:64" x14ac:dyDescent="0.3">
      <c r="B45" s="62">
        <f t="shared" si="0"/>
        <v>0</v>
      </c>
      <c r="C45" s="47">
        <f t="shared" si="1"/>
        <v>0</v>
      </c>
      <c r="D45" s="47">
        <f t="shared" si="2"/>
        <v>0</v>
      </c>
      <c r="E45" s="47">
        <f t="shared" si="3"/>
        <v>0</v>
      </c>
      <c r="F45" s="47">
        <f t="shared" si="4"/>
        <v>0</v>
      </c>
      <c r="G45" s="47">
        <f t="shared" si="5"/>
        <v>0</v>
      </c>
      <c r="H45" s="47">
        <f t="shared" si="6"/>
        <v>0</v>
      </c>
      <c r="I45" s="47">
        <f t="shared" si="7"/>
        <v>0</v>
      </c>
      <c r="J45" s="47">
        <f t="shared" si="8"/>
        <v>0</v>
      </c>
      <c r="K45" s="63">
        <f t="shared" si="9"/>
        <v>0</v>
      </c>
      <c r="L45" s="55">
        <f t="shared" si="10"/>
        <v>0</v>
      </c>
      <c r="N45" s="33">
        <v>26</v>
      </c>
      <c r="O45" s="28"/>
      <c r="P45" s="88"/>
      <c r="Q45" s="88"/>
      <c r="R45" s="37"/>
      <c r="S45" s="20"/>
      <c r="T45" s="3"/>
      <c r="U45" s="3"/>
      <c r="V45" s="3"/>
      <c r="W45" s="3"/>
      <c r="X45" s="10"/>
      <c r="Y45" s="17"/>
      <c r="Z45" s="2"/>
      <c r="AA45" s="2"/>
      <c r="AB45" s="2"/>
      <c r="AC45" s="3"/>
      <c r="AD45" s="37"/>
      <c r="AE45" s="9"/>
      <c r="AF45" s="2"/>
      <c r="AG45" s="2"/>
      <c r="AH45" s="2"/>
      <c r="AI45" s="3"/>
      <c r="AJ45" s="10"/>
      <c r="AK45" s="28"/>
      <c r="AL45" s="3"/>
      <c r="AM45" s="3"/>
      <c r="AN45" s="10"/>
      <c r="AO45" s="28"/>
      <c r="AP45" s="28"/>
      <c r="AQ45" s="3"/>
      <c r="AR45" s="10"/>
      <c r="AS45" s="20"/>
      <c r="AT45" s="28"/>
      <c r="AU45" s="3"/>
      <c r="AV45" s="10"/>
      <c r="AW45" s="20"/>
      <c r="AX45" s="28"/>
      <c r="AY45" s="3"/>
      <c r="AZ45" s="10"/>
      <c r="BA45" s="20"/>
      <c r="BB45" s="28"/>
      <c r="BC45" s="3"/>
      <c r="BD45" s="10"/>
      <c r="BE45" s="23"/>
      <c r="BF45" s="28"/>
      <c r="BG45" s="3"/>
      <c r="BH45" s="10"/>
      <c r="BI45" s="20"/>
      <c r="BJ45" s="28"/>
      <c r="BK45" s="3"/>
      <c r="BL45" s="10"/>
    </row>
    <row r="46" spans="2:64" x14ac:dyDescent="0.3">
      <c r="B46" s="62">
        <f t="shared" si="0"/>
        <v>0</v>
      </c>
      <c r="C46" s="47">
        <f t="shared" si="1"/>
        <v>0</v>
      </c>
      <c r="D46" s="47">
        <f t="shared" si="2"/>
        <v>0</v>
      </c>
      <c r="E46" s="47">
        <f t="shared" si="3"/>
        <v>0</v>
      </c>
      <c r="F46" s="47">
        <f t="shared" si="4"/>
        <v>0</v>
      </c>
      <c r="G46" s="47">
        <f t="shared" si="5"/>
        <v>0</v>
      </c>
      <c r="H46" s="47">
        <f t="shared" si="6"/>
        <v>0</v>
      </c>
      <c r="I46" s="47">
        <f t="shared" si="7"/>
        <v>0</v>
      </c>
      <c r="J46" s="47">
        <f t="shared" si="8"/>
        <v>0</v>
      </c>
      <c r="K46" s="63">
        <f t="shared" si="9"/>
        <v>0</v>
      </c>
      <c r="L46" s="55">
        <f t="shared" si="10"/>
        <v>0</v>
      </c>
      <c r="N46" s="33">
        <v>27</v>
      </c>
      <c r="O46" s="28"/>
      <c r="P46" s="88"/>
      <c r="Q46" s="88"/>
      <c r="R46" s="37"/>
      <c r="S46" s="20"/>
      <c r="T46" s="3"/>
      <c r="U46" s="3"/>
      <c r="V46" s="3"/>
      <c r="W46" s="3"/>
      <c r="X46" s="10"/>
      <c r="Y46" s="17"/>
      <c r="Z46" s="2"/>
      <c r="AA46" s="2"/>
      <c r="AB46" s="2"/>
      <c r="AC46" s="3"/>
      <c r="AD46" s="37"/>
      <c r="AE46" s="9"/>
      <c r="AF46" s="2"/>
      <c r="AG46" s="2"/>
      <c r="AH46" s="2"/>
      <c r="AI46" s="3"/>
      <c r="AJ46" s="10"/>
      <c r="AK46" s="28"/>
      <c r="AL46" s="3"/>
      <c r="AM46" s="3"/>
      <c r="AN46" s="10"/>
      <c r="AO46" s="28"/>
      <c r="AP46" s="28"/>
      <c r="AQ46" s="3"/>
      <c r="AR46" s="10"/>
      <c r="AS46" s="20"/>
      <c r="AT46" s="28"/>
      <c r="AU46" s="3"/>
      <c r="AV46" s="10"/>
      <c r="AW46" s="20"/>
      <c r="AX46" s="28"/>
      <c r="AY46" s="3"/>
      <c r="AZ46" s="10"/>
      <c r="BA46" s="20"/>
      <c r="BB46" s="28"/>
      <c r="BC46" s="3"/>
      <c r="BD46" s="10"/>
      <c r="BE46" s="23"/>
      <c r="BF46" s="28"/>
      <c r="BG46" s="3"/>
      <c r="BH46" s="10"/>
      <c r="BI46" s="20"/>
      <c r="BJ46" s="28"/>
      <c r="BK46" s="3"/>
      <c r="BL46" s="10"/>
    </row>
    <row r="47" spans="2:64" x14ac:dyDescent="0.3">
      <c r="B47" s="62">
        <f t="shared" si="0"/>
        <v>0</v>
      </c>
      <c r="C47" s="47">
        <f t="shared" si="1"/>
        <v>0</v>
      </c>
      <c r="D47" s="47">
        <f t="shared" si="2"/>
        <v>0</v>
      </c>
      <c r="E47" s="47">
        <f t="shared" si="3"/>
        <v>0</v>
      </c>
      <c r="F47" s="47">
        <f t="shared" si="4"/>
        <v>0</v>
      </c>
      <c r="G47" s="47">
        <f t="shared" si="5"/>
        <v>0</v>
      </c>
      <c r="H47" s="47">
        <f t="shared" si="6"/>
        <v>0</v>
      </c>
      <c r="I47" s="47">
        <f t="shared" si="7"/>
        <v>0</v>
      </c>
      <c r="J47" s="47">
        <f t="shared" si="8"/>
        <v>0</v>
      </c>
      <c r="K47" s="63">
        <f t="shared" si="9"/>
        <v>0</v>
      </c>
      <c r="L47" s="55">
        <f t="shared" si="10"/>
        <v>0</v>
      </c>
      <c r="N47" s="33">
        <v>28</v>
      </c>
      <c r="O47" s="28"/>
      <c r="P47" s="88"/>
      <c r="Q47" s="88"/>
      <c r="R47" s="37"/>
      <c r="S47" s="20"/>
      <c r="T47" s="3"/>
      <c r="U47" s="3"/>
      <c r="V47" s="3"/>
      <c r="W47" s="3"/>
      <c r="X47" s="10"/>
      <c r="Y47" s="17"/>
      <c r="Z47" s="2"/>
      <c r="AA47" s="2"/>
      <c r="AB47" s="2"/>
      <c r="AC47" s="3"/>
      <c r="AD47" s="37"/>
      <c r="AE47" s="9"/>
      <c r="AF47" s="2"/>
      <c r="AG47" s="2"/>
      <c r="AH47" s="2"/>
      <c r="AI47" s="3"/>
      <c r="AJ47" s="10"/>
      <c r="AK47" s="28"/>
      <c r="AL47" s="3"/>
      <c r="AM47" s="3"/>
      <c r="AN47" s="10"/>
      <c r="AO47" s="28"/>
      <c r="AP47" s="28"/>
      <c r="AQ47" s="3"/>
      <c r="AR47" s="10"/>
      <c r="AS47" s="20"/>
      <c r="AT47" s="28"/>
      <c r="AU47" s="3"/>
      <c r="AV47" s="10"/>
      <c r="AW47" s="20"/>
      <c r="AX47" s="28"/>
      <c r="AY47" s="3"/>
      <c r="AZ47" s="10"/>
      <c r="BA47" s="20"/>
      <c r="BB47" s="28"/>
      <c r="BC47" s="3"/>
      <c r="BD47" s="10"/>
      <c r="BE47" s="23"/>
      <c r="BF47" s="28"/>
      <c r="BG47" s="3"/>
      <c r="BH47" s="10"/>
      <c r="BI47" s="20"/>
      <c r="BJ47" s="28"/>
      <c r="BK47" s="3"/>
      <c r="BL47" s="10"/>
    </row>
    <row r="48" spans="2:64" x14ac:dyDescent="0.3">
      <c r="B48" s="62">
        <f t="shared" si="0"/>
        <v>0</v>
      </c>
      <c r="C48" s="47">
        <f t="shared" si="1"/>
        <v>0</v>
      </c>
      <c r="D48" s="47">
        <f t="shared" si="2"/>
        <v>0</v>
      </c>
      <c r="E48" s="47">
        <f t="shared" si="3"/>
        <v>0</v>
      </c>
      <c r="F48" s="47">
        <f t="shared" si="4"/>
        <v>0</v>
      </c>
      <c r="G48" s="47">
        <f t="shared" si="5"/>
        <v>0</v>
      </c>
      <c r="H48" s="47">
        <f t="shared" si="6"/>
        <v>0</v>
      </c>
      <c r="I48" s="47">
        <f t="shared" si="7"/>
        <v>0</v>
      </c>
      <c r="J48" s="47">
        <f t="shared" si="8"/>
        <v>0</v>
      </c>
      <c r="K48" s="63">
        <f t="shared" si="9"/>
        <v>0</v>
      </c>
      <c r="L48" s="55">
        <f t="shared" si="10"/>
        <v>0</v>
      </c>
      <c r="N48" s="33">
        <v>29</v>
      </c>
      <c r="O48" s="28"/>
      <c r="P48" s="88"/>
      <c r="Q48" s="88"/>
      <c r="R48" s="37"/>
      <c r="S48" s="20"/>
      <c r="T48" s="3"/>
      <c r="U48" s="3"/>
      <c r="V48" s="3"/>
      <c r="W48" s="3"/>
      <c r="X48" s="10"/>
      <c r="Y48" s="17"/>
      <c r="Z48" s="2"/>
      <c r="AA48" s="2"/>
      <c r="AB48" s="2"/>
      <c r="AC48" s="3"/>
      <c r="AD48" s="37"/>
      <c r="AE48" s="9"/>
      <c r="AF48" s="2"/>
      <c r="AG48" s="2"/>
      <c r="AH48" s="2"/>
      <c r="AI48" s="3"/>
      <c r="AJ48" s="10"/>
      <c r="AK48" s="28"/>
      <c r="AL48" s="3"/>
      <c r="AM48" s="3"/>
      <c r="AN48" s="10"/>
      <c r="AO48" s="28"/>
      <c r="AP48" s="28"/>
      <c r="AQ48" s="3"/>
      <c r="AR48" s="10"/>
      <c r="AS48" s="20"/>
      <c r="AT48" s="28"/>
      <c r="AU48" s="3"/>
      <c r="AV48" s="10"/>
      <c r="AW48" s="20"/>
      <c r="AX48" s="28"/>
      <c r="AY48" s="3"/>
      <c r="AZ48" s="10"/>
      <c r="BA48" s="20"/>
      <c r="BB48" s="28"/>
      <c r="BC48" s="3"/>
      <c r="BD48" s="10"/>
      <c r="BE48" s="23"/>
      <c r="BF48" s="28"/>
      <c r="BG48" s="3"/>
      <c r="BH48" s="10"/>
      <c r="BI48" s="20"/>
      <c r="BJ48" s="28"/>
      <c r="BK48" s="3"/>
      <c r="BL48" s="10"/>
    </row>
    <row r="49" spans="2:64" x14ac:dyDescent="0.3">
      <c r="B49" s="62">
        <f t="shared" si="0"/>
        <v>0</v>
      </c>
      <c r="C49" s="47">
        <f t="shared" si="1"/>
        <v>0</v>
      </c>
      <c r="D49" s="47">
        <f t="shared" si="2"/>
        <v>0</v>
      </c>
      <c r="E49" s="47">
        <f t="shared" si="3"/>
        <v>0</v>
      </c>
      <c r="F49" s="47">
        <f t="shared" si="4"/>
        <v>0</v>
      </c>
      <c r="G49" s="47">
        <f t="shared" si="5"/>
        <v>0</v>
      </c>
      <c r="H49" s="47">
        <f t="shared" si="6"/>
        <v>0</v>
      </c>
      <c r="I49" s="47">
        <f t="shared" si="7"/>
        <v>0</v>
      </c>
      <c r="J49" s="47">
        <f t="shared" si="8"/>
        <v>0</v>
      </c>
      <c r="K49" s="63">
        <f t="shared" si="9"/>
        <v>0</v>
      </c>
      <c r="L49" s="55">
        <f t="shared" si="10"/>
        <v>0</v>
      </c>
      <c r="N49" s="33">
        <v>30</v>
      </c>
      <c r="O49" s="28"/>
      <c r="P49" s="88"/>
      <c r="Q49" s="88"/>
      <c r="R49" s="37"/>
      <c r="S49" s="20"/>
      <c r="T49" s="3"/>
      <c r="U49" s="3"/>
      <c r="V49" s="3"/>
      <c r="W49" s="3"/>
      <c r="X49" s="10"/>
      <c r="Y49" s="17"/>
      <c r="Z49" s="2"/>
      <c r="AA49" s="2"/>
      <c r="AB49" s="2"/>
      <c r="AC49" s="3"/>
      <c r="AD49" s="37"/>
      <c r="AE49" s="9"/>
      <c r="AF49" s="2"/>
      <c r="AG49" s="2"/>
      <c r="AH49" s="2"/>
      <c r="AI49" s="3"/>
      <c r="AJ49" s="10"/>
      <c r="AK49" s="28"/>
      <c r="AL49" s="3"/>
      <c r="AM49" s="3"/>
      <c r="AN49" s="10"/>
      <c r="AO49" s="28"/>
      <c r="AP49" s="28"/>
      <c r="AQ49" s="3"/>
      <c r="AR49" s="10"/>
      <c r="AS49" s="20"/>
      <c r="AT49" s="28"/>
      <c r="AU49" s="3"/>
      <c r="AV49" s="10"/>
      <c r="AW49" s="20"/>
      <c r="AX49" s="28"/>
      <c r="AY49" s="3"/>
      <c r="AZ49" s="10"/>
      <c r="BA49" s="20"/>
      <c r="BB49" s="28"/>
      <c r="BC49" s="3"/>
      <c r="BD49" s="10"/>
      <c r="BE49" s="23"/>
      <c r="BF49" s="28"/>
      <c r="BG49" s="3"/>
      <c r="BH49" s="10"/>
      <c r="BI49" s="20"/>
      <c r="BJ49" s="28"/>
      <c r="BK49" s="3"/>
      <c r="BL49" s="10"/>
    </row>
    <row r="50" spans="2:64" x14ac:dyDescent="0.3">
      <c r="B50" s="62">
        <f t="shared" si="0"/>
        <v>0</v>
      </c>
      <c r="C50" s="47">
        <f t="shared" si="1"/>
        <v>0</v>
      </c>
      <c r="D50" s="47">
        <f t="shared" si="2"/>
        <v>0</v>
      </c>
      <c r="E50" s="47">
        <f t="shared" si="3"/>
        <v>0</v>
      </c>
      <c r="F50" s="47">
        <f t="shared" si="4"/>
        <v>0</v>
      </c>
      <c r="G50" s="47">
        <f t="shared" si="5"/>
        <v>0</v>
      </c>
      <c r="H50" s="47">
        <f t="shared" si="6"/>
        <v>0</v>
      </c>
      <c r="I50" s="47">
        <f t="shared" si="7"/>
        <v>0</v>
      </c>
      <c r="J50" s="47">
        <f t="shared" si="8"/>
        <v>0</v>
      </c>
      <c r="K50" s="63">
        <f t="shared" si="9"/>
        <v>0</v>
      </c>
      <c r="L50" s="55">
        <f t="shared" si="10"/>
        <v>0</v>
      </c>
      <c r="N50" s="33">
        <v>31</v>
      </c>
      <c r="O50" s="28"/>
      <c r="P50" s="88"/>
      <c r="Q50" s="88"/>
      <c r="R50" s="37"/>
      <c r="S50" s="20"/>
      <c r="T50" s="3"/>
      <c r="U50" s="3"/>
      <c r="V50" s="3"/>
      <c r="W50" s="3"/>
      <c r="X50" s="10"/>
      <c r="Y50" s="17"/>
      <c r="Z50" s="2"/>
      <c r="AA50" s="2"/>
      <c r="AB50" s="2"/>
      <c r="AC50" s="3"/>
      <c r="AD50" s="37"/>
      <c r="AE50" s="9"/>
      <c r="AF50" s="2"/>
      <c r="AG50" s="2"/>
      <c r="AH50" s="2"/>
      <c r="AI50" s="3"/>
      <c r="AJ50" s="10"/>
      <c r="AK50" s="28"/>
      <c r="AL50" s="3"/>
      <c r="AM50" s="3"/>
      <c r="AN50" s="10"/>
      <c r="AO50" s="28"/>
      <c r="AP50" s="28"/>
      <c r="AQ50" s="3"/>
      <c r="AR50" s="10"/>
      <c r="AS50" s="20"/>
      <c r="AT50" s="28"/>
      <c r="AU50" s="3"/>
      <c r="AV50" s="10"/>
      <c r="AW50" s="20"/>
      <c r="AX50" s="28"/>
      <c r="AY50" s="3"/>
      <c r="AZ50" s="10"/>
      <c r="BA50" s="20"/>
      <c r="BB50" s="28"/>
      <c r="BC50" s="3"/>
      <c r="BD50" s="10"/>
      <c r="BE50" s="23"/>
      <c r="BF50" s="28"/>
      <c r="BG50" s="3"/>
      <c r="BH50" s="10"/>
      <c r="BI50" s="20"/>
      <c r="BJ50" s="28"/>
      <c r="BK50" s="3"/>
      <c r="BL50" s="10"/>
    </row>
    <row r="51" spans="2:64" ht="15" thickBot="1" x14ac:dyDescent="0.35">
      <c r="B51" s="64">
        <f t="shared" si="0"/>
        <v>0</v>
      </c>
      <c r="C51" s="65">
        <f t="shared" si="1"/>
        <v>0</v>
      </c>
      <c r="D51" s="65">
        <f t="shared" si="2"/>
        <v>0</v>
      </c>
      <c r="E51" s="65">
        <f t="shared" si="3"/>
        <v>0</v>
      </c>
      <c r="F51" s="65">
        <f t="shared" si="4"/>
        <v>0</v>
      </c>
      <c r="G51" s="65">
        <f t="shared" si="5"/>
        <v>0</v>
      </c>
      <c r="H51" s="65">
        <f t="shared" si="6"/>
        <v>0</v>
      </c>
      <c r="I51" s="65">
        <f t="shared" si="7"/>
        <v>0</v>
      </c>
      <c r="J51" s="65">
        <f t="shared" si="8"/>
        <v>0</v>
      </c>
      <c r="K51" s="66">
        <f t="shared" si="9"/>
        <v>0</v>
      </c>
      <c r="L51" s="55">
        <f t="shared" si="10"/>
        <v>0</v>
      </c>
      <c r="N51" s="33">
        <v>32</v>
      </c>
      <c r="O51" s="28"/>
      <c r="P51" s="88"/>
      <c r="Q51" s="88"/>
      <c r="R51" s="37"/>
      <c r="S51" s="20"/>
      <c r="T51" s="3"/>
      <c r="U51" s="3"/>
      <c r="V51" s="3"/>
      <c r="W51" s="3"/>
      <c r="X51" s="10"/>
      <c r="Y51" s="17"/>
      <c r="Z51" s="2"/>
      <c r="AA51" s="2"/>
      <c r="AB51" s="2"/>
      <c r="AC51" s="3"/>
      <c r="AD51" s="37"/>
      <c r="AE51" s="9"/>
      <c r="AF51" s="2"/>
      <c r="AG51" s="2"/>
      <c r="AH51" s="2"/>
      <c r="AI51" s="3"/>
      <c r="AJ51" s="10"/>
      <c r="AK51" s="28"/>
      <c r="AL51" s="3"/>
      <c r="AM51" s="3"/>
      <c r="AN51" s="10"/>
      <c r="AO51" s="28"/>
      <c r="AP51" s="28"/>
      <c r="AQ51" s="3"/>
      <c r="AR51" s="10"/>
      <c r="AS51" s="20"/>
      <c r="AT51" s="28"/>
      <c r="AU51" s="3"/>
      <c r="AV51" s="10"/>
      <c r="AW51" s="20"/>
      <c r="AX51" s="28"/>
      <c r="AY51" s="3"/>
      <c r="AZ51" s="10"/>
      <c r="BA51" s="20"/>
      <c r="BB51" s="28"/>
      <c r="BC51" s="3"/>
      <c r="BD51" s="10"/>
      <c r="BE51" s="23"/>
      <c r="BF51" s="28"/>
      <c r="BG51" s="3"/>
      <c r="BH51" s="10"/>
      <c r="BI51" s="20"/>
      <c r="BJ51" s="28"/>
      <c r="BK51" s="3"/>
      <c r="BL51" s="10"/>
    </row>
    <row r="52" spans="2:64" x14ac:dyDescent="0.3">
      <c r="N52" s="34" t="s">
        <v>25</v>
      </c>
      <c r="O52" s="29"/>
      <c r="P52" s="89"/>
      <c r="Q52" s="89"/>
      <c r="R52" s="38"/>
      <c r="S52" s="18">
        <f>AVERAGE(S20:S51)</f>
        <v>9.9999999999999995E-7</v>
      </c>
      <c r="T52" s="4">
        <f>AVERAGE(T20:T51)</f>
        <v>9.9999999999999995E-7</v>
      </c>
      <c r="U52" s="4">
        <f>AVERAGE(U20:U51)</f>
        <v>9.9999999999999995E-7</v>
      </c>
      <c r="V52" s="4" t="e">
        <f>AVERAGE(V20:V51)</f>
        <v>#DIV/0!</v>
      </c>
      <c r="W52" s="4">
        <f>(SUM(D20:D51)+SUM(T20:T51)+SUM(S20:S51)*0.35)/SUM(S20:U51)</f>
        <v>0.45</v>
      </c>
      <c r="X52" s="48" t="e">
        <f>AVERAGE(X20:X51)</f>
        <v>#DIV/0!</v>
      </c>
      <c r="Y52" s="58">
        <f>AVERAGE(Y20:Y51)</f>
        <v>9.9999999999999995E-7</v>
      </c>
      <c r="Z52" s="56">
        <f>AVERAGE(Z20:Z51)</f>
        <v>9.9999999999999995E-7</v>
      </c>
      <c r="AA52" s="56">
        <f>AVERAGE(AA20:AA51)</f>
        <v>9.9999999999999995E-7</v>
      </c>
      <c r="AB52" s="56" t="e">
        <f>AVERAGE(AB20:AB51)</f>
        <v>#DIV/0!</v>
      </c>
      <c r="AC52" s="56">
        <f>(SUM(B20:B51)+SUM(Z20:Z51)+SUM(Y20:Y51)*0.35)/SUM(Y20:AA51)</f>
        <v>0.45</v>
      </c>
      <c r="AD52" s="76" t="e">
        <f>AVERAGE(AD20:AD51)</f>
        <v>#DIV/0!</v>
      </c>
      <c r="AE52" s="79">
        <f>AVERAGE(AE20:AE51)</f>
        <v>0.12500012499999999</v>
      </c>
      <c r="AF52" s="56">
        <f>AVERAGE(AF20:AF51)</f>
        <v>0.62500012500000002</v>
      </c>
      <c r="AG52" s="56">
        <f>AVERAGE(AG20:AG51)</f>
        <v>1.2499999999999999E-7</v>
      </c>
      <c r="AH52" s="56" t="e">
        <f>AVERAGE(AH20:AH51)</f>
        <v>#DIV/0!</v>
      </c>
      <c r="AI52" s="56">
        <f>(SUM(C20:C51)+SUM(AF20:AF51)+SUM(AE20:AE51)*0.35)/SUM(AE20:AG51)</f>
        <v>0.8916664458334439</v>
      </c>
      <c r="AJ52" s="57">
        <f>AVERAGE(AJ20:AJ51)</f>
        <v>7</v>
      </c>
      <c r="AK52" s="58">
        <f>AVERAGE(AK20:AK51)</f>
        <v>3.6250001250000001</v>
      </c>
      <c r="AL52" s="56">
        <f>AVERAGE(AL20:AL51)</f>
        <v>2.5714285714285716</v>
      </c>
      <c r="AM52" s="56">
        <f>SUM(E20:E51)/SUM(AK20:AK51)</f>
        <v>3.7379309055885894</v>
      </c>
      <c r="AN52" s="57">
        <f>AVERAGE(AN20:AN51)</f>
        <v>8.1428571428571423</v>
      </c>
      <c r="AO52" s="58">
        <f>AVERAGE(AO20:AO51)</f>
        <v>4.625</v>
      </c>
      <c r="AP52" s="56">
        <f>AVERAGE(AP20:AP51)</f>
        <v>3</v>
      </c>
      <c r="AQ52" s="56">
        <f>SUM(F20:F51)/SUM(AO20:AO51)</f>
        <v>5.1162162162162161</v>
      </c>
      <c r="AR52" s="57">
        <f>AVERAGE(AR20:AR51)</f>
        <v>8</v>
      </c>
      <c r="AS52" s="58">
        <f>AVERAGE(AS20:AS51)</f>
        <v>11.625</v>
      </c>
      <c r="AT52" s="56">
        <f>AVERAGE(AT20:AT51)</f>
        <v>1.357142857142857</v>
      </c>
      <c r="AU52" s="56">
        <f>SUM(G20:G51)/SUM(AS20:AS51)</f>
        <v>2.9365591397849466</v>
      </c>
      <c r="AV52" s="57">
        <f>AVERAGE(AV20:AV51)</f>
        <v>8</v>
      </c>
      <c r="AW52" s="58">
        <f>AVERAGE(AW20:AW51)</f>
        <v>5.25</v>
      </c>
      <c r="AX52" s="56">
        <f>AVERAGE(AX20:AX51)</f>
        <v>0.875</v>
      </c>
      <c r="AY52" s="56">
        <f>SUM(H20:H51)/SUM(AW20:AW51)</f>
        <v>1.7380952380952381</v>
      </c>
      <c r="AZ52" s="57">
        <f>AVERAGE(AZ20:AZ51)</f>
        <v>8</v>
      </c>
      <c r="BA52" s="58">
        <f>AVERAGE(BA20:BA51)</f>
        <v>9.9999999999999995E-7</v>
      </c>
      <c r="BB52" s="56" t="e">
        <f>AVERAGE(BB20:BB51)</f>
        <v>#DIV/0!</v>
      </c>
      <c r="BC52" s="56">
        <f>SUM(I20:I51)/SUM(BA20:BA51)</f>
        <v>0</v>
      </c>
      <c r="BD52" s="57" t="e">
        <f>AVERAGE(BD20:BD51)</f>
        <v>#DIV/0!</v>
      </c>
      <c r="BE52" s="58">
        <f>AVERAGE(BE20:BE51)</f>
        <v>9.9999999999999995E-7</v>
      </c>
      <c r="BF52" s="56" t="e">
        <f>AVERAGE(BF20:BF51)</f>
        <v>#DIV/0!</v>
      </c>
      <c r="BG52" s="56">
        <f>SUM(J20:J51)/SUM(BE20:BE51)</f>
        <v>0</v>
      </c>
      <c r="BH52" s="57" t="e">
        <f>AVERAGE(BH20:BH51)</f>
        <v>#DIV/0!</v>
      </c>
      <c r="BI52" s="58">
        <f>AVERAGE(BI20:BI51)</f>
        <v>9.9999999999999995E-7</v>
      </c>
      <c r="BJ52" s="56" t="e">
        <f>AVERAGE(BJ20:BJ51)</f>
        <v>#DIV/0!</v>
      </c>
      <c r="BK52" s="56">
        <f>SUM(K20:K51)/SUM(BI20:BI51)</f>
        <v>0</v>
      </c>
      <c r="BL52" s="57" t="e">
        <f>AVERAGE(BL20:BL51)</f>
        <v>#DIV/0!</v>
      </c>
    </row>
    <row r="53" spans="2:64" x14ac:dyDescent="0.3">
      <c r="N53" s="34" t="s">
        <v>30</v>
      </c>
      <c r="O53" s="29"/>
      <c r="P53" s="89"/>
      <c r="Q53" s="89"/>
      <c r="R53" s="38"/>
      <c r="S53" s="18"/>
      <c r="T53" s="4"/>
      <c r="U53" s="4"/>
      <c r="V53" s="4"/>
      <c r="W53" s="5">
        <f>SUM(D20:D51)/SUM(U20:U51)</f>
        <v>0</v>
      </c>
      <c r="X53" s="38"/>
      <c r="Y53" s="58"/>
      <c r="Z53" s="56"/>
      <c r="AA53" s="56"/>
      <c r="AB53" s="56"/>
      <c r="AC53" s="77">
        <f>SUM(B20:B51)/SUM(AA20:AA51)</f>
        <v>0</v>
      </c>
      <c r="AD53" s="78"/>
      <c r="AE53" s="79"/>
      <c r="AF53" s="56"/>
      <c r="AG53" s="56"/>
      <c r="AH53" s="56"/>
      <c r="AI53" s="77">
        <f>SUM(C20:C51)/SUM(AG20:AG51)</f>
        <v>0</v>
      </c>
      <c r="AJ53" s="80"/>
      <c r="AK53" s="29"/>
      <c r="AL53" s="5"/>
      <c r="AM53" s="5"/>
      <c r="AN53" s="12"/>
      <c r="AO53" s="29"/>
      <c r="AP53" s="29"/>
      <c r="AQ53" s="5"/>
      <c r="AR53" s="12"/>
      <c r="AS53" s="21"/>
      <c r="AT53" s="29"/>
      <c r="AU53" s="5"/>
      <c r="AV53" s="12"/>
      <c r="AW53" s="21"/>
      <c r="AX53" s="29"/>
      <c r="AY53" s="5"/>
      <c r="AZ53" s="12"/>
      <c r="BA53" s="21"/>
      <c r="BB53" s="29"/>
      <c r="BC53" s="5"/>
      <c r="BD53" s="12"/>
      <c r="BE53" s="21"/>
      <c r="BF53" s="29"/>
      <c r="BG53" s="5"/>
      <c r="BH53" s="12"/>
      <c r="BI53" s="21"/>
      <c r="BJ53" s="29"/>
      <c r="BK53" s="5"/>
      <c r="BL53" s="12"/>
    </row>
    <row r="54" spans="2:64" x14ac:dyDescent="0.3">
      <c r="N54" s="34" t="s">
        <v>11</v>
      </c>
      <c r="O54" s="29"/>
      <c r="P54" s="89"/>
      <c r="Q54" s="89"/>
      <c r="R54" s="38"/>
      <c r="S54" s="21"/>
      <c r="T54" s="5"/>
      <c r="U54" s="5"/>
      <c r="V54" s="5"/>
      <c r="W54" s="5"/>
      <c r="X54" s="12"/>
      <c r="Y54" s="18"/>
      <c r="Z54" s="4"/>
      <c r="AA54" s="4"/>
      <c r="AB54" s="4"/>
      <c r="AC54" s="5"/>
      <c r="AD54" s="38"/>
      <c r="AE54" s="11"/>
      <c r="AF54" s="4"/>
      <c r="AG54" s="4"/>
      <c r="AH54" s="4"/>
      <c r="AI54" s="5"/>
      <c r="AJ54" s="12"/>
      <c r="AK54" s="29"/>
      <c r="AL54" s="5"/>
      <c r="AM54" s="5"/>
      <c r="AN54" s="12"/>
      <c r="AO54" s="29"/>
      <c r="AP54" s="29"/>
      <c r="AQ54" s="5"/>
      <c r="AR54" s="12"/>
      <c r="AS54" s="21"/>
      <c r="AT54" s="29"/>
      <c r="AU54" s="5"/>
      <c r="AV54" s="12"/>
      <c r="AW54" s="21"/>
      <c r="AX54" s="29"/>
      <c r="AY54" s="5"/>
      <c r="AZ54" s="12"/>
      <c r="BA54" s="21"/>
      <c r="BB54" s="29"/>
      <c r="BC54" s="5"/>
      <c r="BD54" s="12"/>
      <c r="BE54" s="21"/>
      <c r="BF54" s="29"/>
      <c r="BG54" s="5"/>
      <c r="BH54" s="12"/>
      <c r="BI54" s="21"/>
      <c r="BJ54" s="29"/>
      <c r="BK54" s="5"/>
      <c r="BL54" s="12"/>
    </row>
    <row r="55" spans="2:64" ht="15" thickBot="1" x14ac:dyDescent="0.35">
      <c r="N55" s="35" t="s">
        <v>12</v>
      </c>
      <c r="O55" s="30"/>
      <c r="P55" s="90"/>
      <c r="Q55" s="90"/>
      <c r="R55" s="39"/>
      <c r="S55" s="22"/>
      <c r="T55" s="15"/>
      <c r="U55" s="15"/>
      <c r="V55" s="15"/>
      <c r="W55" s="15"/>
      <c r="X55" s="16"/>
      <c r="Y55" s="19"/>
      <c r="Z55" s="14"/>
      <c r="AA55" s="14"/>
      <c r="AB55" s="14"/>
      <c r="AC55" s="15"/>
      <c r="AD55" s="39"/>
      <c r="AE55" s="13"/>
      <c r="AF55" s="14"/>
      <c r="AG55" s="14"/>
      <c r="AH55" s="14"/>
      <c r="AI55" s="15"/>
      <c r="AJ55" s="16"/>
      <c r="AK55" s="30"/>
      <c r="AL55" s="15"/>
      <c r="AM55" s="15"/>
      <c r="AN55" s="16"/>
      <c r="AO55" s="30"/>
      <c r="AP55" s="30"/>
      <c r="AQ55" s="15"/>
      <c r="AR55" s="16"/>
      <c r="AS55" s="22"/>
      <c r="AT55" s="30"/>
      <c r="AU55" s="15"/>
      <c r="AV55" s="16"/>
      <c r="AW55" s="22"/>
      <c r="AX55" s="30"/>
      <c r="AY55" s="15"/>
      <c r="AZ55" s="16"/>
      <c r="BA55" s="22"/>
      <c r="BB55" s="30"/>
      <c r="BC55" s="15"/>
      <c r="BD55" s="16"/>
      <c r="BE55" s="22"/>
      <c r="BF55" s="30"/>
      <c r="BG55" s="15"/>
      <c r="BH55" s="16"/>
      <c r="BI55" s="22"/>
      <c r="BJ55" s="30"/>
      <c r="BK55" s="15"/>
      <c r="BL55" s="16"/>
    </row>
    <row r="60" spans="2:64" ht="15" thickBot="1" x14ac:dyDescent="0.35">
      <c r="U60">
        <f>T13</f>
        <v>0</v>
      </c>
      <c r="V60" t="s">
        <v>33</v>
      </c>
    </row>
    <row r="61" spans="2:64" ht="15" thickBot="1" x14ac:dyDescent="0.35">
      <c r="B61" s="59" t="s">
        <v>44</v>
      </c>
      <c r="C61" s="60"/>
      <c r="D61" s="61"/>
      <c r="E61" s="47"/>
      <c r="F61" s="47"/>
      <c r="I61" s="47"/>
      <c r="J61" s="47"/>
      <c r="K61" s="47"/>
      <c r="O61" t="s">
        <v>161</v>
      </c>
    </row>
    <row r="62" spans="2:64" ht="15" thickBot="1" x14ac:dyDescent="0.35">
      <c r="B62" s="73" t="str">
        <f>V62</f>
        <v>D, см</v>
      </c>
      <c r="C62" s="74" t="str">
        <f>W62</f>
        <v>h, м</v>
      </c>
      <c r="D62" s="75" t="str">
        <f>X62</f>
        <v>A, лет</v>
      </c>
      <c r="E62" s="47"/>
      <c r="F62" s="47"/>
      <c r="I62" s="47"/>
      <c r="J62" s="47"/>
      <c r="K62" s="47"/>
      <c r="O62" s="115"/>
      <c r="P62" s="116"/>
      <c r="Q62" s="116"/>
      <c r="R62" s="116"/>
      <c r="S62" s="116"/>
      <c r="T62" s="116"/>
      <c r="U62" s="116" t="s">
        <v>24</v>
      </c>
      <c r="V62" s="116" t="str">
        <f>AB19</f>
        <v>D, см</v>
      </c>
      <c r="W62" s="116" t="str">
        <f>AC19</f>
        <v>h, м</v>
      </c>
      <c r="X62" s="117" t="str">
        <f>AD19</f>
        <v>A, лет</v>
      </c>
    </row>
    <row r="63" spans="2:64" x14ac:dyDescent="0.3">
      <c r="B63" s="81" t="e">
        <f>V63*U63</f>
        <v>#DIV/0!</v>
      </c>
      <c r="C63" s="82">
        <f>W63*U63</f>
        <v>1.352643064548127E-6</v>
      </c>
      <c r="D63" s="83" t="e">
        <f>X63*U63</f>
        <v>#DIV/0!</v>
      </c>
      <c r="E63" s="47"/>
      <c r="F63" s="85"/>
      <c r="H63" s="47"/>
      <c r="I63" s="47"/>
      <c r="J63" s="47"/>
      <c r="K63" s="47"/>
      <c r="O63" s="138">
        <f t="shared" ref="O63:O72" si="11">U63/$U$75*10</f>
        <v>1.1594198641743489E-6</v>
      </c>
      <c r="P63" s="139"/>
      <c r="Q63" s="139"/>
      <c r="R63" s="47" t="str">
        <f>S18</f>
        <v>Сосна</v>
      </c>
      <c r="S63" s="47"/>
      <c r="T63" s="47"/>
      <c r="U63" s="123">
        <f>SUM(S52:U52)/(AE16*AE16*3.15/10000*1000)</f>
        <v>3.0058734767736153E-6</v>
      </c>
      <c r="V63" s="139" t="e">
        <f>V52</f>
        <v>#DIV/0!</v>
      </c>
      <c r="W63" s="139">
        <f>W52</f>
        <v>0.45</v>
      </c>
      <c r="X63" s="140" t="e">
        <f>X52</f>
        <v>#DIV/0!</v>
      </c>
      <c r="Y63" s="55"/>
    </row>
    <row r="64" spans="2:64" x14ac:dyDescent="0.3">
      <c r="B64" s="81" t="e">
        <f t="shared" ref="B64:B72" si="12">V64*U64</f>
        <v>#DIV/0!</v>
      </c>
      <c r="C64" s="82">
        <f t="shared" ref="C64:C72" si="13">W64*U64</f>
        <v>1.352643064548127E-6</v>
      </c>
      <c r="D64" s="83" t="e">
        <f t="shared" ref="D64:D72" si="14">X64*U64</f>
        <v>#DIV/0!</v>
      </c>
      <c r="E64" s="47"/>
      <c r="F64" s="85"/>
      <c r="H64" s="47"/>
      <c r="I64" s="47"/>
      <c r="J64" s="47"/>
      <c r="K64" s="47"/>
      <c r="O64" s="138">
        <f t="shared" si="11"/>
        <v>1.1594198641743489E-6</v>
      </c>
      <c r="P64" s="139"/>
      <c r="Q64" s="139"/>
      <c r="R64" s="47" t="str">
        <f>Y18</f>
        <v>Ель из подроста</v>
      </c>
      <c r="S64" s="47"/>
      <c r="T64" s="47"/>
      <c r="U64" s="123">
        <f>SUM(Y52:AA52)/(AE16*AE16*3.15/10000*1000)</f>
        <v>3.0058734767736153E-6</v>
      </c>
      <c r="V64" s="139" t="e">
        <f>AB52</f>
        <v>#DIV/0!</v>
      </c>
      <c r="W64" s="139">
        <f>AC52</f>
        <v>0.45</v>
      </c>
      <c r="X64" s="140" t="e">
        <f>AD52</f>
        <v>#DIV/0!</v>
      </c>
      <c r="Y64" s="55"/>
    </row>
    <row r="65" spans="2:25" x14ac:dyDescent="0.3">
      <c r="B65" s="81" t="e">
        <f t="shared" si="12"/>
        <v>#DIV/0!</v>
      </c>
      <c r="C65" s="82">
        <f t="shared" si="13"/>
        <v>0.67005946494450164</v>
      </c>
      <c r="D65" s="83">
        <f t="shared" si="14"/>
        <v>5.2602812144931193</v>
      </c>
      <c r="E65" s="47"/>
      <c r="F65" s="47"/>
      <c r="G65" s="47"/>
      <c r="H65" s="47"/>
      <c r="I65" s="47"/>
      <c r="J65" s="47"/>
      <c r="K65" s="47"/>
      <c r="O65" s="138">
        <f t="shared" si="11"/>
        <v>0.28985511097107031</v>
      </c>
      <c r="P65" s="139"/>
      <c r="Q65" s="139"/>
      <c r="R65" s="47" t="str">
        <f>AE18</f>
        <v>ЕЛЬ лесные культуры</v>
      </c>
      <c r="S65" s="47"/>
      <c r="T65" s="47"/>
      <c r="U65" s="123">
        <f>SUM(AE52:AG52)/(AE16*AE16*3.15/10000*1000)</f>
        <v>0.75146874492758853</v>
      </c>
      <c r="V65" s="139" t="e">
        <f>AH52</f>
        <v>#DIV/0!</v>
      </c>
      <c r="W65" s="139">
        <f>AI52</f>
        <v>0.8916664458334439</v>
      </c>
      <c r="X65" s="140">
        <f>AJ52</f>
        <v>7</v>
      </c>
      <c r="Y65" s="55"/>
    </row>
    <row r="66" spans="2:25" x14ac:dyDescent="0.3">
      <c r="B66" s="81">
        <f t="shared" si="12"/>
        <v>9.3396786248901797</v>
      </c>
      <c r="C66" s="82">
        <f t="shared" si="13"/>
        <v>13.576528536760831</v>
      </c>
      <c r="D66" s="83">
        <f t="shared" si="14"/>
        <v>29.575648978818897</v>
      </c>
      <c r="E66" s="47"/>
      <c r="F66" s="47"/>
      <c r="G66" s="47"/>
      <c r="H66" s="47"/>
      <c r="I66" s="47"/>
      <c r="J66" s="47"/>
      <c r="K66" s="47"/>
      <c r="O66" s="138">
        <f t="shared" si="11"/>
        <v>1.4009657175198329</v>
      </c>
      <c r="P66" s="139"/>
      <c r="Q66" s="139"/>
      <c r="R66" s="47" t="str">
        <f>AK18</f>
        <v>Берёза</v>
      </c>
      <c r="S66" s="47"/>
      <c r="T66" s="47"/>
      <c r="U66" s="123">
        <f>AK52/(AE16*AE16*3.15/10000*1000)</f>
        <v>3.6320972430128471</v>
      </c>
      <c r="V66" s="139">
        <f>AL52</f>
        <v>2.5714285714285716</v>
      </c>
      <c r="W66" s="139">
        <f>AM52</f>
        <v>3.7379309055885894</v>
      </c>
      <c r="X66" s="140">
        <f>AN52</f>
        <v>8.1428571428571423</v>
      </c>
      <c r="Y66" s="55"/>
    </row>
    <row r="67" spans="2:25" x14ac:dyDescent="0.3">
      <c r="B67" s="81">
        <f t="shared" si="12"/>
        <v>13.902164830077972</v>
      </c>
      <c r="C67" s="82">
        <f t="shared" si="13"/>
        <v>23.708827048051891</v>
      </c>
      <c r="D67" s="83">
        <f t="shared" si="14"/>
        <v>37.072439546874591</v>
      </c>
      <c r="E67" s="47"/>
      <c r="F67" s="47"/>
      <c r="G67" s="47"/>
      <c r="H67" s="47"/>
      <c r="I67" s="47"/>
      <c r="J67" s="47"/>
      <c r="K67" s="47"/>
      <c r="O67" s="138">
        <f t="shared" si="11"/>
        <v>1.7874389572687881</v>
      </c>
      <c r="P67" s="139"/>
      <c r="Q67" s="139"/>
      <c r="R67" s="47" t="str">
        <f>AO18</f>
        <v>Осина</v>
      </c>
      <c r="S67" s="47"/>
      <c r="T67" s="47"/>
      <c r="U67" s="123">
        <f>AO52/(AE16*AE16*3.15/10000*1000)</f>
        <v>4.6340549433593239</v>
      </c>
      <c r="V67" s="139">
        <f>AP52</f>
        <v>3</v>
      </c>
      <c r="W67" s="139">
        <f>AQ52</f>
        <v>5.1162162162162161</v>
      </c>
      <c r="X67" s="140">
        <f>AR52</f>
        <v>8</v>
      </c>
      <c r="Y67" s="55"/>
    </row>
    <row r="68" spans="2:25" x14ac:dyDescent="0.3">
      <c r="B68" s="81">
        <f t="shared" si="12"/>
        <v>15.807673909104102</v>
      </c>
      <c r="C68" s="82">
        <f t="shared" si="13"/>
        <v>34.204335271119774</v>
      </c>
      <c r="D68" s="83">
        <f t="shared" si="14"/>
        <v>93.18207777998208</v>
      </c>
      <c r="E68" s="47"/>
      <c r="F68" s="47"/>
      <c r="G68" s="47"/>
      <c r="H68" s="47"/>
      <c r="I68" s="47"/>
      <c r="J68" s="47"/>
      <c r="K68" s="47"/>
      <c r="O68" s="138">
        <f t="shared" si="11"/>
        <v>4.4927519736756025</v>
      </c>
      <c r="P68" s="139"/>
      <c r="Q68" s="139"/>
      <c r="R68" s="47" t="str">
        <f>AS18</f>
        <v>Ольха серая</v>
      </c>
      <c r="S68" s="47"/>
      <c r="T68" s="47"/>
      <c r="U68" s="123">
        <f>AS52/(AE16*AE16*3.15/10000*1000)</f>
        <v>11.64775972249776</v>
      </c>
      <c r="V68" s="139">
        <f>AT52</f>
        <v>1.357142857142857</v>
      </c>
      <c r="W68" s="139">
        <f>AU52</f>
        <v>2.9365591397849466</v>
      </c>
      <c r="X68" s="140">
        <f>AV52</f>
        <v>8</v>
      </c>
      <c r="Y68" s="55"/>
    </row>
    <row r="69" spans="2:25" x14ac:dyDescent="0.3">
      <c r="B69" s="81">
        <f t="shared" si="12"/>
        <v>4.6027437613095987</v>
      </c>
      <c r="C69" s="82">
        <f t="shared" si="13"/>
        <v>9.1428651585197471</v>
      </c>
      <c r="D69" s="83">
        <f t="shared" si="14"/>
        <v>42.082228674830617</v>
      </c>
      <c r="E69" s="47"/>
      <c r="F69" s="47"/>
      <c r="G69" s="47"/>
      <c r="H69" s="47"/>
      <c r="I69" s="47"/>
      <c r="J69" s="47"/>
      <c r="K69" s="47"/>
      <c r="O69" s="138">
        <f t="shared" si="11"/>
        <v>2.0289847623051109</v>
      </c>
      <c r="P69" s="139"/>
      <c r="Q69" s="139"/>
      <c r="R69" s="47" t="str">
        <f>AW18</f>
        <v>Ива</v>
      </c>
      <c r="S69" s="47"/>
      <c r="T69" s="47"/>
      <c r="U69" s="123">
        <f>AW52/(AE16*AE16*3.15/10000*1000)</f>
        <v>5.2602785843538271</v>
      </c>
      <c r="V69" s="139">
        <f>AX52</f>
        <v>0.875</v>
      </c>
      <c r="W69" s="139">
        <f>AY52</f>
        <v>1.7380952380952381</v>
      </c>
      <c r="X69" s="140">
        <f>AZ52</f>
        <v>8</v>
      </c>
      <c r="Y69" s="55"/>
    </row>
    <row r="70" spans="2:25" x14ac:dyDescent="0.3">
      <c r="B70" s="81" t="e">
        <f t="shared" si="12"/>
        <v>#DIV/0!</v>
      </c>
      <c r="C70" s="82">
        <f t="shared" si="13"/>
        <v>0</v>
      </c>
      <c r="D70" s="83" t="e">
        <f t="shared" si="14"/>
        <v>#DIV/0!</v>
      </c>
      <c r="E70" s="47"/>
      <c r="F70" s="47"/>
      <c r="G70" s="47"/>
      <c r="H70" s="47"/>
      <c r="I70" s="47"/>
      <c r="J70" s="47"/>
      <c r="K70" s="47"/>
      <c r="O70" s="138">
        <f t="shared" si="11"/>
        <v>3.8647328805811632E-7</v>
      </c>
      <c r="P70" s="139"/>
      <c r="Q70" s="139"/>
      <c r="R70" s="47" t="str">
        <f>BA18</f>
        <v>Чёрёмуха</v>
      </c>
      <c r="S70" s="47"/>
      <c r="T70" s="47"/>
      <c r="U70" s="123">
        <f>BA52/(AE16*AE16*3.15/10000*1000)</f>
        <v>1.001957825591205E-6</v>
      </c>
      <c r="V70" s="139" t="e">
        <f>BB52</f>
        <v>#DIV/0!</v>
      </c>
      <c r="W70" s="139">
        <f>BC52</f>
        <v>0</v>
      </c>
      <c r="X70" s="140" t="e">
        <f>BD52</f>
        <v>#DIV/0!</v>
      </c>
      <c r="Y70" s="55"/>
    </row>
    <row r="71" spans="2:25" x14ac:dyDescent="0.3">
      <c r="B71" s="81" t="e">
        <f t="shared" si="12"/>
        <v>#DIV/0!</v>
      </c>
      <c r="C71" s="82">
        <f t="shared" si="13"/>
        <v>0</v>
      </c>
      <c r="D71" s="83" t="e">
        <f t="shared" si="14"/>
        <v>#DIV/0!</v>
      </c>
      <c r="E71" s="47"/>
      <c r="F71" s="47"/>
      <c r="G71" s="47"/>
      <c r="H71" s="47"/>
      <c r="I71" s="47"/>
      <c r="J71" s="47"/>
      <c r="K71" s="47"/>
      <c r="O71" s="138">
        <f t="shared" si="11"/>
        <v>3.8647328805811632E-7</v>
      </c>
      <c r="P71" s="139"/>
      <c r="Q71" s="139"/>
      <c r="R71" s="47" t="str">
        <f>BE18</f>
        <v>Дуб</v>
      </c>
      <c r="S71" s="47"/>
      <c r="T71" s="47"/>
      <c r="U71" s="123">
        <f>BE52/(AE16*AE16*3.15/10000*1000)</f>
        <v>1.001957825591205E-6</v>
      </c>
      <c r="V71" s="139" t="e">
        <f>BF52</f>
        <v>#DIV/0!</v>
      </c>
      <c r="W71" s="139">
        <f>BG52</f>
        <v>0</v>
      </c>
      <c r="X71" s="140" t="e">
        <f>BH52</f>
        <v>#DIV/0!</v>
      </c>
      <c r="Y71" s="55"/>
    </row>
    <row r="72" spans="2:25" x14ac:dyDescent="0.3">
      <c r="B72" s="81" t="e">
        <f t="shared" si="12"/>
        <v>#DIV/0!</v>
      </c>
      <c r="C72" s="82">
        <f t="shared" si="13"/>
        <v>0</v>
      </c>
      <c r="D72" s="83" t="e">
        <f t="shared" si="14"/>
        <v>#DIV/0!</v>
      </c>
      <c r="E72" s="47"/>
      <c r="F72" s="47"/>
      <c r="G72" s="47"/>
      <c r="H72" s="47"/>
      <c r="I72" s="47"/>
      <c r="J72" s="47"/>
      <c r="K72" s="47"/>
      <c r="O72" s="138">
        <f t="shared" si="11"/>
        <v>3.8647328805811632E-7</v>
      </c>
      <c r="P72" s="139"/>
      <c r="Q72" s="139"/>
      <c r="R72" s="47" t="str">
        <f>BI18</f>
        <v>Рябина</v>
      </c>
      <c r="S72" s="47"/>
      <c r="T72" s="47"/>
      <c r="U72" s="123">
        <f>BI52/(AE16*AE16*3.15/10000*1000)</f>
        <v>1.001957825591205E-6</v>
      </c>
      <c r="V72" s="139" t="e">
        <f>BJ52</f>
        <v>#DIV/0!</v>
      </c>
      <c r="W72" s="139">
        <f>BK52</f>
        <v>0</v>
      </c>
      <c r="X72" s="140" t="e">
        <f>BL52</f>
        <v>#DIV/0!</v>
      </c>
      <c r="Y72" s="55"/>
    </row>
    <row r="73" spans="2:25" x14ac:dyDescent="0.3">
      <c r="B73" s="62">
        <f>AC72*AA72</f>
        <v>0</v>
      </c>
      <c r="C73" s="71">
        <f>AI72*AG72</f>
        <v>0</v>
      </c>
      <c r="D73" s="63"/>
      <c r="E73" s="47"/>
      <c r="F73" s="47"/>
      <c r="G73" s="47"/>
      <c r="H73" s="47"/>
      <c r="I73" s="47"/>
      <c r="J73" s="47"/>
      <c r="K73" s="47"/>
      <c r="O73" s="118"/>
      <c r="P73" s="47"/>
      <c r="Q73" s="47"/>
      <c r="R73" s="47"/>
      <c r="S73" s="47"/>
      <c r="T73" s="47"/>
      <c r="U73" s="141"/>
      <c r="V73" s="141"/>
      <c r="W73" s="141"/>
      <c r="X73" s="140"/>
      <c r="Y73" s="55"/>
    </row>
    <row r="74" spans="2:25" x14ac:dyDescent="0.3">
      <c r="B74" s="62">
        <f>AC73*AA73</f>
        <v>0</v>
      </c>
      <c r="C74" s="71">
        <f>AI73*AG73</f>
        <v>0</v>
      </c>
      <c r="D74" s="63">
        <f>W73*U73</f>
        <v>0</v>
      </c>
      <c r="E74" s="47"/>
      <c r="F74" s="47"/>
      <c r="G74" s="47"/>
      <c r="H74" s="47"/>
      <c r="I74" s="47"/>
      <c r="J74" s="47"/>
      <c r="K74" s="47"/>
      <c r="O74" s="118"/>
      <c r="P74" s="47"/>
      <c r="Q74" s="47"/>
      <c r="R74" s="47"/>
      <c r="S74" s="47"/>
      <c r="T74" s="47"/>
      <c r="U74" s="141"/>
      <c r="V74" s="141"/>
      <c r="W74" s="141"/>
      <c r="X74" s="140"/>
      <c r="Y74" s="55"/>
    </row>
    <row r="75" spans="2:25" x14ac:dyDescent="0.3">
      <c r="B75" s="62">
        <f>AC74*AA74</f>
        <v>0</v>
      </c>
      <c r="C75" s="71">
        <f>AI74*AG74</f>
        <v>0</v>
      </c>
      <c r="D75" s="63">
        <f>W74*U74</f>
        <v>0</v>
      </c>
      <c r="E75" s="47"/>
      <c r="F75" s="47"/>
      <c r="G75" s="47"/>
      <c r="H75" s="47"/>
      <c r="I75" s="47"/>
      <c r="J75" s="47"/>
      <c r="K75" s="47"/>
      <c r="O75" s="142">
        <f>SUM(O63:O72)</f>
        <v>10</v>
      </c>
      <c r="P75" s="143"/>
      <c r="Q75" s="143"/>
      <c r="R75" s="45" t="s">
        <v>27</v>
      </c>
      <c r="S75" s="45"/>
      <c r="T75" s="45"/>
      <c r="U75" s="144">
        <f>SUM(U63:U72)</f>
        <v>25.925668255771782</v>
      </c>
      <c r="V75" s="144" t="e">
        <f>SUM(B63:B72)/$U$75</f>
        <v>#DIV/0!</v>
      </c>
      <c r="W75" s="144">
        <f>SUM(C63:C72)/$U$75</f>
        <v>3.1359892976561028</v>
      </c>
      <c r="X75" s="145" t="e">
        <f>SUM(D63:D72)/$U$75</f>
        <v>#DIV/0!</v>
      </c>
      <c r="Y75" s="55"/>
    </row>
    <row r="76" spans="2:25" x14ac:dyDescent="0.3">
      <c r="B76" s="62">
        <f>AC75*AA75</f>
        <v>0</v>
      </c>
      <c r="C76" s="71">
        <f>AI75*AG75</f>
        <v>0</v>
      </c>
      <c r="D76" s="63"/>
      <c r="E76" s="47"/>
      <c r="F76" s="47"/>
      <c r="G76" s="47"/>
      <c r="H76" s="47"/>
      <c r="I76" s="47"/>
      <c r="J76" s="47"/>
      <c r="K76" s="47"/>
    </row>
    <row r="77" spans="2:25" ht="15" thickBot="1" x14ac:dyDescent="0.35">
      <c r="B77" s="64">
        <f>AC93*AA93</f>
        <v>0</v>
      </c>
      <c r="C77" s="72">
        <f>AI93*AG93</f>
        <v>0</v>
      </c>
      <c r="D77" s="66">
        <f>W93*U93</f>
        <v>0</v>
      </c>
      <c r="E77" s="47"/>
      <c r="F77" s="47"/>
      <c r="G77" s="47"/>
      <c r="H77" s="47"/>
      <c r="I77" s="47"/>
      <c r="J77" s="47"/>
      <c r="K77" s="47"/>
    </row>
  </sheetData>
  <mergeCells count="11">
    <mergeCell ref="AS18:AV18"/>
    <mergeCell ref="AW18:AZ18"/>
    <mergeCell ref="BA18:BD18"/>
    <mergeCell ref="BE18:BH18"/>
    <mergeCell ref="BI18:BL18"/>
    <mergeCell ref="AO18:AR18"/>
    <mergeCell ref="O18:R18"/>
    <mergeCell ref="S18:X18"/>
    <mergeCell ref="Y18:AD18"/>
    <mergeCell ref="AE18:AJ18"/>
    <mergeCell ref="AK18:AN18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BL77"/>
  <sheetViews>
    <sheetView zoomScale="80" zoomScaleNormal="80" workbookViewId="0">
      <pane xSplit="18" ySplit="19" topLeftCell="S20" activePane="bottomRight" state="frozen"/>
      <selection pane="topRight" activeCell="Q1" sqref="Q1"/>
      <selection pane="bottomLeft" activeCell="A11" sqref="A11"/>
      <selection pane="bottomRight" activeCell="BJ30" sqref="BJ30"/>
    </sheetView>
  </sheetViews>
  <sheetFormatPr defaultRowHeight="14.4" x14ac:dyDescent="0.3"/>
  <cols>
    <col min="2" max="2" width="16.109375" hidden="1" customWidth="1"/>
    <col min="3" max="3" width="17.5546875" hidden="1" customWidth="1"/>
    <col min="4" max="11" width="12.88671875" hidden="1" customWidth="1"/>
    <col min="18" max="18" width="11" customWidth="1"/>
    <col min="21" max="21" width="9" customWidth="1"/>
    <col min="34" max="56" width="9.88671875" bestFit="1" customWidth="1"/>
  </cols>
  <sheetData>
    <row r="1" spans="14:39" ht="15" thickBot="1" x14ac:dyDescent="0.35"/>
    <row r="2" spans="14:39" x14ac:dyDescent="0.3">
      <c r="V2" s="59"/>
      <c r="W2" s="67" t="s">
        <v>38</v>
      </c>
      <c r="X2" s="67"/>
      <c r="Y2" s="60"/>
      <c r="Z2" s="60"/>
      <c r="AA2" s="60"/>
      <c r="AB2" s="60"/>
      <c r="AC2" s="60"/>
      <c r="AD2" s="60"/>
      <c r="AE2" s="60">
        <v>8</v>
      </c>
      <c r="AF2" s="60" t="s">
        <v>142</v>
      </c>
      <c r="AG2" s="60"/>
      <c r="AH2" s="60"/>
      <c r="AI2" s="60"/>
      <c r="AJ2" s="60"/>
      <c r="AK2" s="60"/>
      <c r="AL2" s="60"/>
      <c r="AM2" s="61"/>
    </row>
    <row r="3" spans="14:39" x14ac:dyDescent="0.3">
      <c r="V3" s="62">
        <v>1</v>
      </c>
      <c r="W3" s="47" t="s">
        <v>158</v>
      </c>
      <c r="X3" s="47"/>
      <c r="Y3" s="47"/>
      <c r="Z3" s="47"/>
      <c r="AA3" s="47"/>
      <c r="AB3" s="47"/>
      <c r="AC3" s="47"/>
      <c r="AD3" s="47"/>
      <c r="AE3" s="47">
        <v>9</v>
      </c>
      <c r="AF3" s="47" t="s">
        <v>156</v>
      </c>
      <c r="AG3" s="47"/>
      <c r="AH3" s="47"/>
      <c r="AI3" s="47"/>
      <c r="AJ3" s="47"/>
      <c r="AK3" s="47"/>
      <c r="AL3" s="47"/>
      <c r="AM3" s="63"/>
    </row>
    <row r="4" spans="14:39" x14ac:dyDescent="0.3">
      <c r="V4" s="62">
        <v>2</v>
      </c>
      <c r="W4" s="47" t="s">
        <v>159</v>
      </c>
      <c r="X4" s="47"/>
      <c r="Y4" s="47"/>
      <c r="Z4" s="47"/>
      <c r="AA4" s="47"/>
      <c r="AB4" s="47"/>
      <c r="AC4" s="47"/>
      <c r="AD4" s="47"/>
      <c r="AE4" s="47">
        <v>10</v>
      </c>
      <c r="AF4" s="47" t="s">
        <v>157</v>
      </c>
      <c r="AG4" s="47"/>
      <c r="AH4" s="47"/>
      <c r="AI4" s="47"/>
      <c r="AJ4" s="47"/>
      <c r="AK4" s="47"/>
      <c r="AL4" s="47"/>
      <c r="AM4" s="63"/>
    </row>
    <row r="5" spans="14:39" x14ac:dyDescent="0.3">
      <c r="V5" s="62">
        <v>3</v>
      </c>
      <c r="W5" s="47" t="s">
        <v>34</v>
      </c>
      <c r="X5" s="47"/>
      <c r="Y5" s="47"/>
      <c r="Z5" s="47"/>
      <c r="AA5" s="47"/>
      <c r="AB5" s="47"/>
      <c r="AC5" s="47"/>
      <c r="AD5" s="47"/>
      <c r="AE5" s="47">
        <v>11</v>
      </c>
      <c r="AF5" s="47" t="s">
        <v>39</v>
      </c>
      <c r="AG5" s="47"/>
      <c r="AH5" s="47"/>
      <c r="AI5" s="47"/>
      <c r="AJ5" s="47"/>
      <c r="AK5" s="47"/>
      <c r="AL5" s="47"/>
      <c r="AM5" s="63"/>
    </row>
    <row r="6" spans="14:39" x14ac:dyDescent="0.3">
      <c r="V6" s="62">
        <v>4</v>
      </c>
      <c r="W6" s="47" t="s">
        <v>35</v>
      </c>
      <c r="X6" s="47"/>
      <c r="Y6" s="47"/>
      <c r="Z6" s="47"/>
      <c r="AA6" s="47"/>
      <c r="AB6" s="47"/>
      <c r="AC6" s="47"/>
      <c r="AD6" s="47"/>
      <c r="AE6" s="47">
        <v>12</v>
      </c>
      <c r="AF6" s="47" t="s">
        <v>40</v>
      </c>
      <c r="AG6" s="47"/>
      <c r="AH6" s="47"/>
      <c r="AI6" s="47"/>
      <c r="AJ6" s="47"/>
      <c r="AK6" s="47"/>
      <c r="AL6" s="47"/>
      <c r="AM6" s="63"/>
    </row>
    <row r="7" spans="14:39" x14ac:dyDescent="0.3">
      <c r="V7" s="62">
        <v>5</v>
      </c>
      <c r="W7" s="47" t="s">
        <v>36</v>
      </c>
      <c r="X7" s="47"/>
      <c r="Y7" s="47"/>
      <c r="Z7" s="47"/>
      <c r="AA7" s="47"/>
      <c r="AB7" s="47"/>
      <c r="AC7" s="47"/>
      <c r="AD7" s="47"/>
      <c r="AE7" s="47">
        <v>13</v>
      </c>
      <c r="AF7" s="47" t="s">
        <v>41</v>
      </c>
      <c r="AG7" s="47"/>
      <c r="AH7" s="47"/>
      <c r="AI7" s="47"/>
      <c r="AJ7" s="47"/>
      <c r="AK7" s="47"/>
      <c r="AL7" s="47"/>
      <c r="AM7" s="63"/>
    </row>
    <row r="8" spans="14:39" x14ac:dyDescent="0.3">
      <c r="V8" s="62">
        <v>6</v>
      </c>
      <c r="W8" s="47" t="s">
        <v>141</v>
      </c>
      <c r="X8" s="47"/>
      <c r="Y8" s="47"/>
      <c r="Z8" s="47"/>
      <c r="AA8" s="47"/>
      <c r="AB8" s="47"/>
      <c r="AC8" s="47"/>
      <c r="AD8" s="47"/>
      <c r="AE8" s="47">
        <v>14</v>
      </c>
      <c r="AF8" s="47"/>
      <c r="AG8" s="47"/>
      <c r="AH8" s="47"/>
      <c r="AI8" s="47"/>
      <c r="AJ8" s="47"/>
      <c r="AK8" s="47"/>
      <c r="AL8" s="47"/>
      <c r="AM8" s="63"/>
    </row>
    <row r="9" spans="14:39" ht="15" thickBot="1" x14ac:dyDescent="0.35">
      <c r="V9" s="64">
        <v>7</v>
      </c>
      <c r="W9" s="65" t="s">
        <v>37</v>
      </c>
      <c r="X9" s="65"/>
      <c r="Y9" s="65"/>
      <c r="Z9" s="65"/>
      <c r="AA9" s="65"/>
      <c r="AB9" s="65"/>
      <c r="AC9" s="65"/>
      <c r="AD9" s="65"/>
      <c r="AE9" s="65">
        <v>15</v>
      </c>
      <c r="AF9" s="65"/>
      <c r="AG9" s="65"/>
      <c r="AH9" s="65"/>
      <c r="AI9" s="65"/>
      <c r="AJ9" s="65"/>
      <c r="AK9" s="65"/>
      <c r="AL9" s="65"/>
      <c r="AM9" s="66"/>
    </row>
    <row r="13" spans="14:39" x14ac:dyDescent="0.3">
      <c r="N13" t="s">
        <v>32</v>
      </c>
      <c r="T13" s="45"/>
    </row>
    <row r="16" spans="14:39" x14ac:dyDescent="0.3">
      <c r="N16" s="46" t="s">
        <v>13</v>
      </c>
      <c r="S16">
        <v>1</v>
      </c>
      <c r="U16" s="45" t="s">
        <v>14</v>
      </c>
      <c r="V16" s="45"/>
      <c r="W16" s="45"/>
      <c r="X16" s="45" t="s">
        <v>15</v>
      </c>
      <c r="Y16" s="45"/>
      <c r="Z16" s="45" t="s">
        <v>16</v>
      </c>
      <c r="AA16" s="45"/>
      <c r="AB16" s="47"/>
      <c r="AC16" s="85" t="s">
        <v>45</v>
      </c>
      <c r="AE16" s="45">
        <v>1.78</v>
      </c>
      <c r="AG16" s="44" t="s">
        <v>28</v>
      </c>
      <c r="AI16" s="44"/>
    </row>
    <row r="17" spans="2:64" ht="15" thickBot="1" x14ac:dyDescent="0.35"/>
    <row r="18" spans="2:64" ht="15.6" thickTop="1" thickBot="1" x14ac:dyDescent="0.35">
      <c r="B18" s="59" t="s">
        <v>31</v>
      </c>
      <c r="C18" s="60"/>
      <c r="D18" s="60"/>
      <c r="E18" s="60"/>
      <c r="F18" s="60"/>
      <c r="G18" s="60"/>
      <c r="H18" s="60"/>
      <c r="I18" s="60"/>
      <c r="J18" s="60"/>
      <c r="K18" s="61"/>
      <c r="N18" s="1" t="s">
        <v>0</v>
      </c>
      <c r="O18" s="202" t="s">
        <v>1</v>
      </c>
      <c r="P18" s="194"/>
      <c r="Q18" s="194"/>
      <c r="R18" s="195"/>
      <c r="S18" s="193" t="s">
        <v>43</v>
      </c>
      <c r="T18" s="194"/>
      <c r="U18" s="194"/>
      <c r="V18" s="194"/>
      <c r="W18" s="194"/>
      <c r="X18" s="195"/>
      <c r="Y18" s="203" t="s">
        <v>17</v>
      </c>
      <c r="Z18" s="204"/>
      <c r="AA18" s="204"/>
      <c r="AB18" s="204"/>
      <c r="AC18" s="204"/>
      <c r="AD18" s="205"/>
      <c r="AE18" s="206" t="s">
        <v>18</v>
      </c>
      <c r="AF18" s="207"/>
      <c r="AG18" s="207"/>
      <c r="AH18" s="207"/>
      <c r="AI18" s="207"/>
      <c r="AJ18" s="208"/>
      <c r="AK18" s="193" t="s">
        <v>19</v>
      </c>
      <c r="AL18" s="194"/>
      <c r="AM18" s="194"/>
      <c r="AN18" s="195"/>
      <c r="AO18" s="193" t="s">
        <v>20</v>
      </c>
      <c r="AP18" s="194"/>
      <c r="AQ18" s="194"/>
      <c r="AR18" s="195"/>
      <c r="AS18" s="193" t="s">
        <v>21</v>
      </c>
      <c r="AT18" s="194"/>
      <c r="AU18" s="194"/>
      <c r="AV18" s="195"/>
      <c r="AW18" s="193" t="s">
        <v>26</v>
      </c>
      <c r="AX18" s="194"/>
      <c r="AY18" s="194"/>
      <c r="AZ18" s="195"/>
      <c r="BA18" s="193" t="s">
        <v>22</v>
      </c>
      <c r="BB18" s="194"/>
      <c r="BC18" s="194"/>
      <c r="BD18" s="195"/>
      <c r="BE18" s="193" t="s">
        <v>29</v>
      </c>
      <c r="BF18" s="194"/>
      <c r="BG18" s="194"/>
      <c r="BH18" s="195"/>
      <c r="BI18" s="193" t="s">
        <v>42</v>
      </c>
      <c r="BJ18" s="194"/>
      <c r="BK18" s="194"/>
      <c r="BL18" s="195"/>
    </row>
    <row r="19" spans="2:64" ht="21" thickBot="1" x14ac:dyDescent="0.35">
      <c r="B19" s="64" t="str">
        <f>Y18</f>
        <v>Ель из подроста</v>
      </c>
      <c r="C19" s="65" t="str">
        <f>AE18</f>
        <v>ЕЛЬ лесные культуры</v>
      </c>
      <c r="D19" s="65" t="str">
        <f>S18</f>
        <v>Сосна</v>
      </c>
      <c r="E19" s="65" t="str">
        <f>AK18</f>
        <v>Берёза</v>
      </c>
      <c r="F19" s="65" t="str">
        <f>AO18</f>
        <v>Осина</v>
      </c>
      <c r="G19" s="65" t="str">
        <f>AS18</f>
        <v>Ольха серая</v>
      </c>
      <c r="H19" s="65" t="str">
        <f>AW18</f>
        <v>Ива</v>
      </c>
      <c r="I19" s="65" t="str">
        <f>BA18</f>
        <v>Чёрёмуха</v>
      </c>
      <c r="J19" s="65" t="str">
        <f>BE18</f>
        <v>Дуб</v>
      </c>
      <c r="K19" s="66" t="str">
        <f>BI18</f>
        <v>Рябина</v>
      </c>
      <c r="L19" t="s">
        <v>46</v>
      </c>
      <c r="N19" s="31" t="s">
        <v>2</v>
      </c>
      <c r="O19" s="25" t="s">
        <v>3</v>
      </c>
      <c r="P19" s="86" t="s">
        <v>48</v>
      </c>
      <c r="Q19" s="86" t="s">
        <v>47</v>
      </c>
      <c r="R19" s="68" t="s">
        <v>4</v>
      </c>
      <c r="S19" s="41" t="s">
        <v>5</v>
      </c>
      <c r="T19" s="42" t="s">
        <v>6</v>
      </c>
      <c r="U19" s="42" t="s">
        <v>7</v>
      </c>
      <c r="V19" s="42" t="s">
        <v>23</v>
      </c>
      <c r="W19" s="43" t="s">
        <v>8</v>
      </c>
      <c r="X19" s="26" t="s">
        <v>9</v>
      </c>
      <c r="Y19" s="70" t="s">
        <v>5</v>
      </c>
      <c r="Z19" s="42" t="s">
        <v>6</v>
      </c>
      <c r="AA19" s="42" t="s">
        <v>7</v>
      </c>
      <c r="AB19" s="42" t="s">
        <v>23</v>
      </c>
      <c r="AC19" s="43" t="s">
        <v>8</v>
      </c>
      <c r="AD19" s="26" t="s">
        <v>9</v>
      </c>
      <c r="AE19" s="53" t="s">
        <v>5</v>
      </c>
      <c r="AF19" s="50" t="s">
        <v>6</v>
      </c>
      <c r="AG19" s="50" t="s">
        <v>7</v>
      </c>
      <c r="AH19" s="50" t="s">
        <v>23</v>
      </c>
      <c r="AI19" s="51" t="s">
        <v>8</v>
      </c>
      <c r="AJ19" s="54" t="s">
        <v>9</v>
      </c>
      <c r="AK19" s="49" t="s">
        <v>10</v>
      </c>
      <c r="AL19" s="50" t="s">
        <v>23</v>
      </c>
      <c r="AM19" s="51" t="s">
        <v>8</v>
      </c>
      <c r="AN19" s="52" t="s">
        <v>9</v>
      </c>
      <c r="AO19" s="25" t="s">
        <v>10</v>
      </c>
      <c r="AP19" s="42" t="s">
        <v>23</v>
      </c>
      <c r="AQ19" s="43" t="s">
        <v>8</v>
      </c>
      <c r="AR19" s="26" t="s">
        <v>9</v>
      </c>
      <c r="AS19" s="25" t="s">
        <v>10</v>
      </c>
      <c r="AT19" s="42" t="s">
        <v>23</v>
      </c>
      <c r="AU19" s="43" t="s">
        <v>8</v>
      </c>
      <c r="AV19" s="26" t="s">
        <v>9</v>
      </c>
      <c r="AW19" s="25" t="s">
        <v>10</v>
      </c>
      <c r="AX19" s="42" t="s">
        <v>23</v>
      </c>
      <c r="AY19" s="43" t="s">
        <v>8</v>
      </c>
      <c r="AZ19" s="26" t="s">
        <v>9</v>
      </c>
      <c r="BA19" s="25" t="s">
        <v>10</v>
      </c>
      <c r="BB19" s="42" t="s">
        <v>23</v>
      </c>
      <c r="BC19" s="43" t="s">
        <v>8</v>
      </c>
      <c r="BD19" s="26" t="s">
        <v>9</v>
      </c>
      <c r="BE19" s="25" t="s">
        <v>10</v>
      </c>
      <c r="BF19" s="42" t="s">
        <v>23</v>
      </c>
      <c r="BG19" s="43" t="s">
        <v>8</v>
      </c>
      <c r="BH19" s="26" t="s">
        <v>9</v>
      </c>
      <c r="BI19" s="25" t="s">
        <v>10</v>
      </c>
      <c r="BJ19" s="42" t="s">
        <v>23</v>
      </c>
      <c r="BK19" s="43" t="s">
        <v>8</v>
      </c>
      <c r="BL19" s="26" t="s">
        <v>9</v>
      </c>
    </row>
    <row r="20" spans="2:64" x14ac:dyDescent="0.3">
      <c r="B20" s="62">
        <f>AC20*AA20</f>
        <v>0</v>
      </c>
      <c r="C20" s="47">
        <f>AI20*AG20</f>
        <v>0</v>
      </c>
      <c r="D20" s="47">
        <f>W20*U20</f>
        <v>0</v>
      </c>
      <c r="E20" s="47">
        <f>AK20*AM20</f>
        <v>78</v>
      </c>
      <c r="F20" s="47">
        <f>AO20*AQ20</f>
        <v>0</v>
      </c>
      <c r="G20" s="47">
        <f>AS20*AU20</f>
        <v>4.5</v>
      </c>
      <c r="H20" s="47">
        <f>AW20*AY20</f>
        <v>0</v>
      </c>
      <c r="I20" s="47">
        <f>BA20*BC20</f>
        <v>0</v>
      </c>
      <c r="J20" s="47">
        <f>BE20*BG20</f>
        <v>0</v>
      </c>
      <c r="K20" s="63">
        <f>BI20*BK20</f>
        <v>0</v>
      </c>
      <c r="L20" s="55">
        <f>SUM(S20:U20,Y20:AA20,AE20:AG20,AK20,AO20,AS20,AW20,BA20,BE20,BI20)/($AE$16*$AE$16*3.15/10000*1000)</f>
        <v>13.025465760095221</v>
      </c>
      <c r="N20" s="32">
        <v>1</v>
      </c>
      <c r="O20" s="27">
        <v>814</v>
      </c>
      <c r="P20" s="87" t="s">
        <v>176</v>
      </c>
      <c r="Q20" s="87" t="s">
        <v>165</v>
      </c>
      <c r="R20" s="69"/>
      <c r="S20" s="40">
        <v>9.9999999999999995E-7</v>
      </c>
      <c r="T20" s="40">
        <v>9.9999999999999995E-7</v>
      </c>
      <c r="U20" s="40">
        <v>9.9999999999999995E-7</v>
      </c>
      <c r="V20" s="40"/>
      <c r="W20" s="40"/>
      <c r="X20" s="24"/>
      <c r="Y20" s="40">
        <v>9.9999999999999995E-7</v>
      </c>
      <c r="Z20" s="40">
        <v>9.9999999999999995E-7</v>
      </c>
      <c r="AA20" s="40">
        <v>9.9999999999999995E-7</v>
      </c>
      <c r="AB20" s="6"/>
      <c r="AC20" s="7"/>
      <c r="AD20" s="36"/>
      <c r="AE20" s="40">
        <v>9.9999999999999995E-7</v>
      </c>
      <c r="AF20" s="40">
        <v>9.9999999999999995E-7</v>
      </c>
      <c r="AG20" s="40">
        <v>9.9999999999999995E-7</v>
      </c>
      <c r="AH20" s="6"/>
      <c r="AI20" s="7"/>
      <c r="AJ20" s="8"/>
      <c r="AK20" s="40">
        <v>12</v>
      </c>
      <c r="AL20" s="7">
        <v>7</v>
      </c>
      <c r="AM20" s="7">
        <v>6.5</v>
      </c>
      <c r="AN20" s="8">
        <v>15</v>
      </c>
      <c r="AO20" s="40">
        <v>9.9999999999999995E-7</v>
      </c>
      <c r="AP20" s="27"/>
      <c r="AQ20" s="40"/>
      <c r="AR20" s="24"/>
      <c r="AS20" s="40">
        <v>1</v>
      </c>
      <c r="AT20" s="27">
        <v>4.5</v>
      </c>
      <c r="AU20" s="40">
        <v>4.5</v>
      </c>
      <c r="AV20" s="24">
        <v>15</v>
      </c>
      <c r="AW20" s="40">
        <v>9.9999999999999995E-7</v>
      </c>
      <c r="AX20" s="27"/>
      <c r="AY20" s="40"/>
      <c r="AZ20" s="24"/>
      <c r="BA20" s="40">
        <v>9.9999999999999995E-7</v>
      </c>
      <c r="BB20" s="27"/>
      <c r="BC20" s="40"/>
      <c r="BD20" s="24"/>
      <c r="BE20" s="40">
        <v>9.9999999999999995E-7</v>
      </c>
      <c r="BF20" s="27"/>
      <c r="BG20" s="40"/>
      <c r="BH20" s="24"/>
      <c r="BI20" s="40">
        <v>9.9999999999999995E-7</v>
      </c>
      <c r="BJ20" s="27"/>
      <c r="BK20" s="40"/>
      <c r="BL20" s="24"/>
    </row>
    <row r="21" spans="2:64" x14ac:dyDescent="0.3">
      <c r="B21" s="62">
        <f t="shared" ref="B21:B51" si="0">AC21*AA21</f>
        <v>0</v>
      </c>
      <c r="C21" s="47">
        <f t="shared" ref="C21:C51" si="1">AI21*AG21</f>
        <v>0</v>
      </c>
      <c r="D21" s="47">
        <f t="shared" ref="D21:D51" si="2">W21*U21</f>
        <v>0</v>
      </c>
      <c r="E21" s="47">
        <f t="shared" ref="E21:E51" si="3">AK21*AM21</f>
        <v>73.5</v>
      </c>
      <c r="F21" s="47">
        <f t="shared" ref="F21:F51" si="4">AO21*AQ21</f>
        <v>0</v>
      </c>
      <c r="G21" s="47">
        <f t="shared" ref="G21:G51" si="5">AS21*AU21</f>
        <v>30</v>
      </c>
      <c r="H21" s="47">
        <f t="shared" ref="H21:H51" si="6">AW21*AY21</f>
        <v>0</v>
      </c>
      <c r="I21" s="47">
        <f t="shared" ref="I21:I51" si="7">BA21*BC21</f>
        <v>0</v>
      </c>
      <c r="J21" s="47">
        <f t="shared" ref="J21:J51" si="8">BE21*BG21</f>
        <v>0</v>
      </c>
      <c r="K21" s="63">
        <f t="shared" ref="K21:K51" si="9">BI21*BK21</f>
        <v>0</v>
      </c>
      <c r="L21" s="55">
        <f t="shared" ref="L21:L51" si="10">SUM(S21:U21,Y21:AA21,AE21:AG21,AK21,AO21,AS21,AW21,BA21,BE21,BI21)/($AE$16*$AE$16*3.15/10000*1000)</f>
        <v>12.023493907094462</v>
      </c>
      <c r="N21" s="33">
        <v>2</v>
      </c>
      <c r="O21" s="28">
        <v>816</v>
      </c>
      <c r="P21" s="88" t="s">
        <v>176</v>
      </c>
      <c r="Q21" s="88" t="s">
        <v>165</v>
      </c>
      <c r="R21" s="37"/>
      <c r="S21" s="20"/>
      <c r="T21" s="3"/>
      <c r="U21" s="3"/>
      <c r="V21" s="3"/>
      <c r="W21" s="3"/>
      <c r="X21" s="10"/>
      <c r="Y21" s="17"/>
      <c r="Z21" s="2"/>
      <c r="AA21" s="2"/>
      <c r="AB21" s="2"/>
      <c r="AC21" s="3"/>
      <c r="AD21" s="37"/>
      <c r="AE21" s="9"/>
      <c r="AF21" s="2"/>
      <c r="AG21" s="2"/>
      <c r="AH21" s="2"/>
      <c r="AI21" s="3"/>
      <c r="AJ21" s="10"/>
      <c r="AK21" s="28">
        <v>7</v>
      </c>
      <c r="AL21" s="3">
        <v>10</v>
      </c>
      <c r="AM21" s="3">
        <v>10.5</v>
      </c>
      <c r="AN21" s="10">
        <v>17</v>
      </c>
      <c r="AO21" s="28">
        <v>0</v>
      </c>
      <c r="AP21" s="28"/>
      <c r="AQ21" s="3"/>
      <c r="AR21" s="10"/>
      <c r="AS21" s="20">
        <v>5</v>
      </c>
      <c r="AT21" s="28">
        <v>3</v>
      </c>
      <c r="AU21" s="3">
        <v>6</v>
      </c>
      <c r="AV21" s="10">
        <v>15</v>
      </c>
      <c r="AW21" s="20"/>
      <c r="AX21" s="28"/>
      <c r="AY21" s="3"/>
      <c r="AZ21" s="10"/>
      <c r="BA21" s="20"/>
      <c r="BB21" s="28"/>
      <c r="BC21" s="3"/>
      <c r="BD21" s="10"/>
      <c r="BE21" s="23"/>
      <c r="BF21" s="28"/>
      <c r="BG21" s="3"/>
      <c r="BH21" s="10"/>
      <c r="BI21" s="23">
        <v>0</v>
      </c>
      <c r="BJ21" s="28"/>
      <c r="BK21" s="3"/>
      <c r="BL21" s="10"/>
    </row>
    <row r="22" spans="2:64" x14ac:dyDescent="0.3">
      <c r="B22" s="62">
        <f t="shared" si="0"/>
        <v>0</v>
      </c>
      <c r="C22" s="47">
        <f t="shared" si="1"/>
        <v>0</v>
      </c>
      <c r="D22" s="47">
        <f t="shared" si="2"/>
        <v>0</v>
      </c>
      <c r="E22" s="47">
        <f t="shared" si="3"/>
        <v>108</v>
      </c>
      <c r="F22" s="47">
        <f t="shared" si="4"/>
        <v>6.5</v>
      </c>
      <c r="G22" s="47">
        <f t="shared" si="5"/>
        <v>21</v>
      </c>
      <c r="H22" s="47">
        <f t="shared" si="6"/>
        <v>0</v>
      </c>
      <c r="I22" s="47">
        <f t="shared" si="7"/>
        <v>0</v>
      </c>
      <c r="J22" s="47">
        <f t="shared" si="8"/>
        <v>0</v>
      </c>
      <c r="K22" s="63">
        <f t="shared" si="9"/>
        <v>0</v>
      </c>
      <c r="L22" s="55">
        <f t="shared" si="10"/>
        <v>17.033283035050488</v>
      </c>
      <c r="N22" s="33">
        <v>3</v>
      </c>
      <c r="O22" s="28">
        <v>817</v>
      </c>
      <c r="P22" s="88" t="s">
        <v>176</v>
      </c>
      <c r="Q22" s="88" t="s">
        <v>165</v>
      </c>
      <c r="R22" s="37"/>
      <c r="S22" s="20"/>
      <c r="T22" s="3"/>
      <c r="U22" s="3"/>
      <c r="V22" s="3"/>
      <c r="W22" s="3"/>
      <c r="X22" s="10"/>
      <c r="Y22" s="17"/>
      <c r="Z22" s="2"/>
      <c r="AA22" s="2"/>
      <c r="AB22" s="2"/>
      <c r="AC22" s="3"/>
      <c r="AD22" s="37"/>
      <c r="AE22" s="9"/>
      <c r="AF22" s="2"/>
      <c r="AG22" s="2"/>
      <c r="AH22" s="2"/>
      <c r="AI22" s="3"/>
      <c r="AJ22" s="10"/>
      <c r="AK22" s="28">
        <v>9</v>
      </c>
      <c r="AL22" s="3">
        <v>10</v>
      </c>
      <c r="AM22" s="3">
        <v>12</v>
      </c>
      <c r="AN22" s="10">
        <v>17</v>
      </c>
      <c r="AO22" s="28">
        <v>1</v>
      </c>
      <c r="AP22" s="28">
        <v>3</v>
      </c>
      <c r="AQ22" s="3">
        <v>6.5</v>
      </c>
      <c r="AR22" s="10">
        <v>10</v>
      </c>
      <c r="AS22" s="20">
        <v>7</v>
      </c>
      <c r="AT22" s="28">
        <v>1.5</v>
      </c>
      <c r="AU22" s="3">
        <v>3</v>
      </c>
      <c r="AV22" s="10">
        <v>11</v>
      </c>
      <c r="AW22" s="20"/>
      <c r="AX22" s="28"/>
      <c r="AY22" s="3"/>
      <c r="AZ22" s="10"/>
      <c r="BA22" s="20"/>
      <c r="BB22" s="28"/>
      <c r="BC22" s="3"/>
      <c r="BD22" s="10"/>
      <c r="BE22" s="23"/>
      <c r="BF22" s="28"/>
      <c r="BG22" s="3"/>
      <c r="BH22" s="10"/>
      <c r="BI22" s="23">
        <v>0</v>
      </c>
      <c r="BJ22" s="28"/>
      <c r="BK22" s="3"/>
      <c r="BL22" s="10"/>
    </row>
    <row r="23" spans="2:64" x14ac:dyDescent="0.3">
      <c r="B23" s="62">
        <f t="shared" si="0"/>
        <v>0</v>
      </c>
      <c r="C23" s="47">
        <f t="shared" si="1"/>
        <v>0</v>
      </c>
      <c r="D23" s="47">
        <f t="shared" si="2"/>
        <v>0</v>
      </c>
      <c r="E23" s="47">
        <f t="shared" si="3"/>
        <v>40</v>
      </c>
      <c r="F23" s="47">
        <f t="shared" si="4"/>
        <v>6.5</v>
      </c>
      <c r="G23" s="47">
        <f t="shared" si="5"/>
        <v>0</v>
      </c>
      <c r="H23" s="47">
        <f t="shared" si="6"/>
        <v>0</v>
      </c>
      <c r="I23" s="47">
        <f t="shared" si="7"/>
        <v>0</v>
      </c>
      <c r="J23" s="47">
        <f t="shared" si="8"/>
        <v>0</v>
      </c>
      <c r="K23" s="63">
        <f t="shared" si="9"/>
        <v>0</v>
      </c>
      <c r="L23" s="55">
        <f t="shared" si="10"/>
        <v>5.0097891279560258</v>
      </c>
      <c r="N23" s="33">
        <v>4</v>
      </c>
      <c r="O23" s="27">
        <v>818</v>
      </c>
      <c r="P23" s="87" t="s">
        <v>176</v>
      </c>
      <c r="Q23" s="87" t="s">
        <v>179</v>
      </c>
      <c r="R23" s="37"/>
      <c r="S23" s="20"/>
      <c r="T23" s="3"/>
      <c r="U23" s="3"/>
      <c r="V23" s="3"/>
      <c r="W23" s="3"/>
      <c r="X23" s="10"/>
      <c r="Y23" s="17"/>
      <c r="Z23" s="2"/>
      <c r="AA23" s="2"/>
      <c r="AB23" s="2"/>
      <c r="AC23" s="3"/>
      <c r="AD23" s="37"/>
      <c r="AE23" s="9"/>
      <c r="AF23" s="2"/>
      <c r="AG23" s="2"/>
      <c r="AH23" s="2"/>
      <c r="AI23" s="3"/>
      <c r="AJ23" s="10"/>
      <c r="AK23" s="28">
        <v>4</v>
      </c>
      <c r="AL23" s="3">
        <v>8.5</v>
      </c>
      <c r="AM23" s="3">
        <v>10</v>
      </c>
      <c r="AN23" s="10">
        <v>15</v>
      </c>
      <c r="AO23" s="28">
        <v>1</v>
      </c>
      <c r="AP23" s="28">
        <v>3</v>
      </c>
      <c r="AQ23" s="3">
        <v>6.5</v>
      </c>
      <c r="AR23" s="10">
        <v>10</v>
      </c>
      <c r="AS23" s="20">
        <v>0</v>
      </c>
      <c r="AT23" s="28"/>
      <c r="AU23" s="3"/>
      <c r="AV23" s="10"/>
      <c r="AW23" s="20"/>
      <c r="AX23" s="28"/>
      <c r="AY23" s="3"/>
      <c r="AZ23" s="10"/>
      <c r="BA23" s="20"/>
      <c r="BB23" s="28"/>
      <c r="BC23" s="3"/>
      <c r="BD23" s="10"/>
      <c r="BE23" s="23"/>
      <c r="BF23" s="28"/>
      <c r="BG23" s="3"/>
      <c r="BH23" s="10"/>
      <c r="BI23" s="23">
        <v>0</v>
      </c>
      <c r="BJ23" s="28"/>
      <c r="BK23" s="3"/>
      <c r="BL23" s="10"/>
    </row>
    <row r="24" spans="2:64" x14ac:dyDescent="0.3">
      <c r="B24" s="62">
        <f t="shared" si="0"/>
        <v>0</v>
      </c>
      <c r="C24" s="47">
        <f t="shared" si="1"/>
        <v>0</v>
      </c>
      <c r="D24" s="47">
        <f t="shared" si="2"/>
        <v>0</v>
      </c>
      <c r="E24" s="47">
        <f t="shared" si="3"/>
        <v>40</v>
      </c>
      <c r="F24" s="47">
        <f t="shared" si="4"/>
        <v>120</v>
      </c>
      <c r="G24" s="47">
        <f t="shared" si="5"/>
        <v>0</v>
      </c>
      <c r="H24" s="47">
        <f t="shared" si="6"/>
        <v>0</v>
      </c>
      <c r="I24" s="47">
        <f t="shared" si="7"/>
        <v>0</v>
      </c>
      <c r="J24" s="47">
        <f t="shared" si="8"/>
        <v>0</v>
      </c>
      <c r="K24" s="63">
        <f t="shared" si="9"/>
        <v>14</v>
      </c>
      <c r="L24" s="55">
        <f t="shared" si="10"/>
        <v>16.031325209459283</v>
      </c>
      <c r="N24" s="33">
        <v>5</v>
      </c>
      <c r="O24" s="28">
        <v>819</v>
      </c>
      <c r="P24" s="88" t="s">
        <v>176</v>
      </c>
      <c r="Q24" s="88" t="s">
        <v>165</v>
      </c>
      <c r="R24" s="37"/>
      <c r="S24" s="20"/>
      <c r="T24" s="3"/>
      <c r="U24" s="3"/>
      <c r="V24" s="3"/>
      <c r="W24" s="3"/>
      <c r="X24" s="10"/>
      <c r="Y24" s="17"/>
      <c r="Z24" s="2"/>
      <c r="AA24" s="2"/>
      <c r="AB24" s="2"/>
      <c r="AC24" s="3"/>
      <c r="AD24" s="37"/>
      <c r="AE24" s="9"/>
      <c r="AF24" s="2"/>
      <c r="AG24" s="2"/>
      <c r="AH24" s="2"/>
      <c r="AI24" s="3"/>
      <c r="AJ24" s="10"/>
      <c r="AK24" s="28">
        <v>4</v>
      </c>
      <c r="AL24" s="3">
        <v>6</v>
      </c>
      <c r="AM24" s="3">
        <v>10</v>
      </c>
      <c r="AN24" s="10">
        <v>15</v>
      </c>
      <c r="AO24" s="28">
        <v>10</v>
      </c>
      <c r="AP24" s="28">
        <v>8</v>
      </c>
      <c r="AQ24" s="3">
        <v>12</v>
      </c>
      <c r="AR24" s="10">
        <v>17</v>
      </c>
      <c r="AS24" s="20">
        <v>0</v>
      </c>
      <c r="AT24" s="28"/>
      <c r="AU24" s="3"/>
      <c r="AV24" s="10"/>
      <c r="AW24" s="20"/>
      <c r="AX24" s="28"/>
      <c r="AY24" s="3"/>
      <c r="AZ24" s="10"/>
      <c r="BA24" s="20"/>
      <c r="BB24" s="28"/>
      <c r="BC24" s="3"/>
      <c r="BD24" s="10"/>
      <c r="BE24" s="23"/>
      <c r="BF24" s="28"/>
      <c r="BG24" s="3"/>
      <c r="BH24" s="10"/>
      <c r="BI24" s="20">
        <v>2</v>
      </c>
      <c r="BJ24" s="28">
        <v>5</v>
      </c>
      <c r="BK24" s="3">
        <v>7</v>
      </c>
      <c r="BL24" s="10">
        <v>15</v>
      </c>
    </row>
    <row r="25" spans="2:64" x14ac:dyDescent="0.3">
      <c r="B25" s="62">
        <f t="shared" si="0"/>
        <v>0</v>
      </c>
      <c r="C25" s="47">
        <f t="shared" si="1"/>
        <v>0</v>
      </c>
      <c r="D25" s="47">
        <f t="shared" si="2"/>
        <v>0</v>
      </c>
      <c r="E25" s="47">
        <f t="shared" si="3"/>
        <v>7</v>
      </c>
      <c r="F25" s="47">
        <f t="shared" si="4"/>
        <v>0</v>
      </c>
      <c r="G25" s="47">
        <f t="shared" si="5"/>
        <v>13.5</v>
      </c>
      <c r="H25" s="47">
        <f t="shared" si="6"/>
        <v>0</v>
      </c>
      <c r="I25" s="47">
        <f t="shared" si="7"/>
        <v>0</v>
      </c>
      <c r="J25" s="47">
        <f t="shared" si="8"/>
        <v>0</v>
      </c>
      <c r="K25" s="63">
        <f t="shared" si="9"/>
        <v>0</v>
      </c>
      <c r="L25" s="55">
        <f t="shared" si="10"/>
        <v>4.0078313023648207</v>
      </c>
      <c r="N25" s="33">
        <v>6</v>
      </c>
      <c r="O25" s="28">
        <v>820</v>
      </c>
      <c r="P25" s="88" t="s">
        <v>176</v>
      </c>
      <c r="Q25" s="88" t="s">
        <v>128</v>
      </c>
      <c r="R25" s="37"/>
      <c r="S25" s="20"/>
      <c r="T25" s="3"/>
      <c r="U25" s="3"/>
      <c r="V25" s="3"/>
      <c r="W25" s="3"/>
      <c r="X25" s="10"/>
      <c r="Y25" s="17"/>
      <c r="Z25" s="2"/>
      <c r="AA25" s="2"/>
      <c r="AB25" s="2"/>
      <c r="AC25" s="3"/>
      <c r="AD25" s="37"/>
      <c r="AE25" s="9"/>
      <c r="AF25" s="2"/>
      <c r="AG25" s="2"/>
      <c r="AH25" s="2"/>
      <c r="AI25" s="3"/>
      <c r="AJ25" s="10"/>
      <c r="AK25" s="28">
        <v>1</v>
      </c>
      <c r="AL25" s="3">
        <v>6</v>
      </c>
      <c r="AM25" s="3">
        <v>7</v>
      </c>
      <c r="AN25" s="10">
        <v>15</v>
      </c>
      <c r="AO25" s="28">
        <v>0</v>
      </c>
      <c r="AP25" s="28"/>
      <c r="AQ25" s="3"/>
      <c r="AR25" s="10"/>
      <c r="AS25" s="20">
        <v>3</v>
      </c>
      <c r="AT25" s="28">
        <v>2.5</v>
      </c>
      <c r="AU25" s="3">
        <v>4.5</v>
      </c>
      <c r="AV25" s="10">
        <v>12</v>
      </c>
      <c r="AW25" s="20"/>
      <c r="AX25" s="28"/>
      <c r="AY25" s="3"/>
      <c r="AZ25" s="10"/>
      <c r="BA25" s="20"/>
      <c r="BB25" s="28"/>
      <c r="BC25" s="3"/>
      <c r="BD25" s="10"/>
      <c r="BE25" s="23"/>
      <c r="BF25" s="28"/>
      <c r="BG25" s="3"/>
      <c r="BH25" s="10"/>
      <c r="BI25" s="20">
        <v>0</v>
      </c>
      <c r="BJ25" s="28"/>
      <c r="BK25" s="3"/>
      <c r="BL25" s="10"/>
    </row>
    <row r="26" spans="2:64" x14ac:dyDescent="0.3">
      <c r="B26" s="62">
        <f t="shared" si="0"/>
        <v>0</v>
      </c>
      <c r="C26" s="47">
        <f t="shared" si="1"/>
        <v>0</v>
      </c>
      <c r="D26" s="47">
        <f t="shared" si="2"/>
        <v>0</v>
      </c>
      <c r="E26" s="47">
        <f t="shared" si="3"/>
        <v>4.5</v>
      </c>
      <c r="F26" s="47">
        <f t="shared" si="4"/>
        <v>14</v>
      </c>
      <c r="G26" s="47">
        <f t="shared" si="5"/>
        <v>132</v>
      </c>
      <c r="H26" s="47">
        <f t="shared" si="6"/>
        <v>0</v>
      </c>
      <c r="I26" s="47">
        <f t="shared" si="7"/>
        <v>0</v>
      </c>
      <c r="J26" s="47">
        <f t="shared" si="8"/>
        <v>0</v>
      </c>
      <c r="K26" s="63">
        <f t="shared" si="9"/>
        <v>0</v>
      </c>
      <c r="L26" s="55">
        <f t="shared" si="10"/>
        <v>25.048945639780129</v>
      </c>
      <c r="N26" s="33">
        <v>7</v>
      </c>
      <c r="O26" s="27">
        <v>821</v>
      </c>
      <c r="P26" s="87" t="s">
        <v>176</v>
      </c>
      <c r="Q26" s="87" t="s">
        <v>169</v>
      </c>
      <c r="R26" s="37"/>
      <c r="S26" s="20"/>
      <c r="T26" s="3"/>
      <c r="U26" s="3"/>
      <c r="V26" s="3"/>
      <c r="W26" s="3"/>
      <c r="X26" s="10"/>
      <c r="Y26" s="17"/>
      <c r="Z26" s="2"/>
      <c r="AA26" s="2"/>
      <c r="AB26" s="2"/>
      <c r="AC26" s="3"/>
      <c r="AD26" s="37"/>
      <c r="AE26" s="9"/>
      <c r="AF26" s="2"/>
      <c r="AG26" s="2"/>
      <c r="AH26" s="2"/>
      <c r="AI26" s="3"/>
      <c r="AJ26" s="10"/>
      <c r="AK26" s="28">
        <v>1</v>
      </c>
      <c r="AL26" s="3">
        <v>3</v>
      </c>
      <c r="AM26" s="3">
        <v>4.5</v>
      </c>
      <c r="AN26" s="10">
        <v>12</v>
      </c>
      <c r="AO26" s="28">
        <v>2</v>
      </c>
      <c r="AP26" s="28">
        <v>6</v>
      </c>
      <c r="AQ26" s="3">
        <v>7</v>
      </c>
      <c r="AR26" s="10">
        <v>15</v>
      </c>
      <c r="AS26" s="20">
        <v>22</v>
      </c>
      <c r="AT26" s="28">
        <v>4</v>
      </c>
      <c r="AU26" s="3">
        <v>6</v>
      </c>
      <c r="AV26" s="10">
        <v>13</v>
      </c>
      <c r="AW26" s="20"/>
      <c r="AX26" s="28"/>
      <c r="AY26" s="3"/>
      <c r="AZ26" s="10"/>
      <c r="BA26" s="20"/>
      <c r="BB26" s="28"/>
      <c r="BC26" s="3"/>
      <c r="BD26" s="10"/>
      <c r="BE26" s="23"/>
      <c r="BF26" s="28"/>
      <c r="BG26" s="3"/>
      <c r="BH26" s="10"/>
      <c r="BI26" s="20">
        <v>0</v>
      </c>
      <c r="BJ26" s="28"/>
      <c r="BK26" s="3"/>
      <c r="BL26" s="10"/>
    </row>
    <row r="27" spans="2:64" x14ac:dyDescent="0.3">
      <c r="B27" s="62">
        <f t="shared" si="0"/>
        <v>0</v>
      </c>
      <c r="C27" s="47">
        <f t="shared" si="1"/>
        <v>0</v>
      </c>
      <c r="D27" s="47">
        <f t="shared" si="2"/>
        <v>0</v>
      </c>
      <c r="E27" s="47">
        <f t="shared" si="3"/>
        <v>70</v>
      </c>
      <c r="F27" s="47">
        <f t="shared" si="4"/>
        <v>32</v>
      </c>
      <c r="G27" s="47">
        <f t="shared" si="5"/>
        <v>18</v>
      </c>
      <c r="H27" s="47">
        <f t="shared" si="6"/>
        <v>0</v>
      </c>
      <c r="I27" s="47">
        <f t="shared" si="7"/>
        <v>0</v>
      </c>
      <c r="J27" s="47">
        <f t="shared" si="8"/>
        <v>0</v>
      </c>
      <c r="K27" s="63">
        <f t="shared" si="9"/>
        <v>0</v>
      </c>
      <c r="L27" s="55">
        <f t="shared" si="10"/>
        <v>17.033283035050488</v>
      </c>
      <c r="N27" s="33">
        <v>8</v>
      </c>
      <c r="O27" s="28">
        <v>844</v>
      </c>
      <c r="P27" s="88" t="s">
        <v>176</v>
      </c>
      <c r="Q27" s="88" t="s">
        <v>165</v>
      </c>
      <c r="R27" s="37"/>
      <c r="S27" s="20"/>
      <c r="T27" s="3"/>
      <c r="U27" s="3"/>
      <c r="V27" s="3"/>
      <c r="W27" s="3"/>
      <c r="X27" s="10"/>
      <c r="Y27" s="17"/>
      <c r="Z27" s="2"/>
      <c r="AA27" s="2"/>
      <c r="AB27" s="2"/>
      <c r="AC27" s="3"/>
      <c r="AD27" s="37"/>
      <c r="AE27" s="9"/>
      <c r="AF27" s="2"/>
      <c r="AG27" s="2"/>
      <c r="AH27" s="2"/>
      <c r="AI27" s="3"/>
      <c r="AJ27" s="10"/>
      <c r="AK27" s="28">
        <v>7</v>
      </c>
      <c r="AL27" s="3">
        <v>8</v>
      </c>
      <c r="AM27" s="3">
        <v>10</v>
      </c>
      <c r="AN27" s="10">
        <v>19</v>
      </c>
      <c r="AO27" s="28">
        <v>4</v>
      </c>
      <c r="AP27" s="28">
        <v>6</v>
      </c>
      <c r="AQ27" s="3">
        <v>8</v>
      </c>
      <c r="AR27" s="10">
        <v>17</v>
      </c>
      <c r="AS27" s="20">
        <v>6</v>
      </c>
      <c r="AT27" s="28">
        <v>1.5</v>
      </c>
      <c r="AU27" s="3">
        <v>3</v>
      </c>
      <c r="AV27" s="10">
        <v>15</v>
      </c>
      <c r="AW27" s="20"/>
      <c r="AX27" s="28"/>
      <c r="AY27" s="3"/>
      <c r="AZ27" s="10"/>
      <c r="BA27" s="20"/>
      <c r="BB27" s="28"/>
      <c r="BC27" s="3"/>
      <c r="BD27" s="10"/>
      <c r="BE27" s="23"/>
      <c r="BF27" s="28"/>
      <c r="BG27" s="3"/>
      <c r="BH27" s="10"/>
      <c r="BI27" s="20">
        <v>0</v>
      </c>
      <c r="BJ27" s="28"/>
      <c r="BK27" s="3"/>
      <c r="BL27" s="10"/>
    </row>
    <row r="28" spans="2:64" ht="26.4" x14ac:dyDescent="0.3">
      <c r="B28" s="62">
        <f t="shared" si="0"/>
        <v>0</v>
      </c>
      <c r="C28" s="47">
        <f t="shared" si="1"/>
        <v>0</v>
      </c>
      <c r="D28" s="47">
        <f t="shared" si="2"/>
        <v>0</v>
      </c>
      <c r="E28" s="47">
        <f t="shared" si="3"/>
        <v>22</v>
      </c>
      <c r="F28" s="47">
        <f t="shared" si="4"/>
        <v>0</v>
      </c>
      <c r="G28" s="47">
        <f t="shared" si="5"/>
        <v>0</v>
      </c>
      <c r="H28" s="47">
        <f t="shared" si="6"/>
        <v>0</v>
      </c>
      <c r="I28" s="47">
        <f t="shared" si="7"/>
        <v>0</v>
      </c>
      <c r="J28" s="47">
        <f t="shared" si="8"/>
        <v>0</v>
      </c>
      <c r="K28" s="63">
        <f t="shared" si="9"/>
        <v>0</v>
      </c>
      <c r="L28" s="55">
        <f t="shared" si="10"/>
        <v>2.0039156511824103</v>
      </c>
      <c r="N28" s="33">
        <v>9</v>
      </c>
      <c r="O28" s="28">
        <v>845</v>
      </c>
      <c r="P28" s="88" t="s">
        <v>176</v>
      </c>
      <c r="Q28" s="88" t="s">
        <v>123</v>
      </c>
      <c r="R28" s="37" t="s">
        <v>181</v>
      </c>
      <c r="S28" s="20"/>
      <c r="T28" s="3"/>
      <c r="U28" s="3"/>
      <c r="V28" s="3"/>
      <c r="W28" s="3"/>
      <c r="X28" s="10"/>
      <c r="Y28" s="17"/>
      <c r="Z28" s="2"/>
      <c r="AA28" s="2"/>
      <c r="AB28" s="2"/>
      <c r="AC28" s="3"/>
      <c r="AD28" s="37"/>
      <c r="AE28" s="9"/>
      <c r="AF28" s="2"/>
      <c r="AG28" s="2"/>
      <c r="AH28" s="2"/>
      <c r="AI28" s="3"/>
      <c r="AJ28" s="10"/>
      <c r="AK28" s="28">
        <v>2</v>
      </c>
      <c r="AL28" s="3">
        <v>10</v>
      </c>
      <c r="AM28" s="3">
        <v>11</v>
      </c>
      <c r="AN28" s="10">
        <v>19</v>
      </c>
      <c r="AO28" s="28">
        <v>0</v>
      </c>
      <c r="AP28" s="28"/>
      <c r="AQ28" s="3"/>
      <c r="AR28" s="10"/>
      <c r="AS28" s="20">
        <v>0</v>
      </c>
      <c r="AT28" s="28"/>
      <c r="AU28" s="3"/>
      <c r="AV28" s="10"/>
      <c r="AW28" s="20"/>
      <c r="AX28" s="28"/>
      <c r="AY28" s="3"/>
      <c r="AZ28" s="10"/>
      <c r="BA28" s="20"/>
      <c r="BB28" s="28"/>
      <c r="BC28" s="3"/>
      <c r="BD28" s="10"/>
      <c r="BE28" s="23"/>
      <c r="BF28" s="28"/>
      <c r="BG28" s="3"/>
      <c r="BH28" s="10"/>
      <c r="BI28" s="20">
        <v>0</v>
      </c>
      <c r="BJ28" s="28"/>
      <c r="BK28" s="3"/>
      <c r="BL28" s="10"/>
    </row>
    <row r="29" spans="2:64" ht="26.4" x14ac:dyDescent="0.3">
      <c r="B29" s="62">
        <f t="shared" si="0"/>
        <v>0</v>
      </c>
      <c r="C29" s="47">
        <f t="shared" si="1"/>
        <v>0</v>
      </c>
      <c r="D29" s="47">
        <f t="shared" si="2"/>
        <v>0</v>
      </c>
      <c r="E29" s="47">
        <f t="shared" si="3"/>
        <v>0</v>
      </c>
      <c r="F29" s="47">
        <f t="shared" si="4"/>
        <v>0</v>
      </c>
      <c r="G29" s="47">
        <f t="shared" si="5"/>
        <v>72</v>
      </c>
      <c r="H29" s="47">
        <f t="shared" si="6"/>
        <v>0</v>
      </c>
      <c r="I29" s="47">
        <f t="shared" si="7"/>
        <v>0</v>
      </c>
      <c r="J29" s="47">
        <f t="shared" si="8"/>
        <v>0</v>
      </c>
      <c r="K29" s="63">
        <f t="shared" si="9"/>
        <v>0</v>
      </c>
      <c r="L29" s="55">
        <f t="shared" si="10"/>
        <v>8.0156626047296413</v>
      </c>
      <c r="N29" s="33">
        <v>10</v>
      </c>
      <c r="O29" s="27">
        <v>846</v>
      </c>
      <c r="P29" s="87" t="s">
        <v>180</v>
      </c>
      <c r="Q29" s="87"/>
      <c r="R29" s="37" t="s">
        <v>181</v>
      </c>
      <c r="S29" s="20"/>
      <c r="T29" s="3"/>
      <c r="U29" s="3"/>
      <c r="V29" s="3"/>
      <c r="W29" s="3"/>
      <c r="X29" s="10"/>
      <c r="Y29" s="17"/>
      <c r="Z29" s="2"/>
      <c r="AA29" s="2"/>
      <c r="AB29" s="2"/>
      <c r="AC29" s="3"/>
      <c r="AD29" s="37"/>
      <c r="AE29" s="9"/>
      <c r="AF29" s="2"/>
      <c r="AG29" s="2"/>
      <c r="AH29" s="2"/>
      <c r="AI29" s="3"/>
      <c r="AJ29" s="10"/>
      <c r="AK29" s="28">
        <v>0</v>
      </c>
      <c r="AL29" s="3"/>
      <c r="AM29" s="3"/>
      <c r="AN29" s="10"/>
      <c r="AO29" s="28">
        <v>0</v>
      </c>
      <c r="AP29" s="28"/>
      <c r="AQ29" s="3"/>
      <c r="AR29" s="10"/>
      <c r="AS29" s="20">
        <v>8</v>
      </c>
      <c r="AT29" s="28">
        <v>8</v>
      </c>
      <c r="AU29" s="3">
        <v>9</v>
      </c>
      <c r="AV29" s="10">
        <v>17</v>
      </c>
      <c r="AW29" s="20"/>
      <c r="AX29" s="28"/>
      <c r="AY29" s="3"/>
      <c r="AZ29" s="10"/>
      <c r="BA29" s="20"/>
      <c r="BB29" s="28"/>
      <c r="BC29" s="3"/>
      <c r="BD29" s="10"/>
      <c r="BE29" s="23"/>
      <c r="BF29" s="28"/>
      <c r="BG29" s="3"/>
      <c r="BH29" s="10"/>
      <c r="BI29" s="20">
        <v>0</v>
      </c>
      <c r="BJ29" s="28"/>
      <c r="BK29" s="3"/>
      <c r="BL29" s="10"/>
    </row>
    <row r="30" spans="2:64" x14ac:dyDescent="0.3">
      <c r="B30" s="62">
        <f t="shared" si="0"/>
        <v>0</v>
      </c>
      <c r="C30" s="47">
        <f t="shared" si="1"/>
        <v>0</v>
      </c>
      <c r="D30" s="47">
        <f t="shared" si="2"/>
        <v>0</v>
      </c>
      <c r="E30" s="47">
        <f t="shared" si="3"/>
        <v>78</v>
      </c>
      <c r="F30" s="47">
        <f t="shared" si="4"/>
        <v>0</v>
      </c>
      <c r="G30" s="47">
        <f t="shared" si="5"/>
        <v>0</v>
      </c>
      <c r="H30" s="47">
        <f t="shared" si="6"/>
        <v>0</v>
      </c>
      <c r="I30" s="47">
        <f t="shared" si="7"/>
        <v>0</v>
      </c>
      <c r="J30" s="47">
        <f t="shared" si="8"/>
        <v>0</v>
      </c>
      <c r="K30" s="63">
        <f t="shared" si="9"/>
        <v>0</v>
      </c>
      <c r="L30" s="55">
        <f t="shared" si="10"/>
        <v>12.023493907094462</v>
      </c>
      <c r="N30" s="33">
        <v>11</v>
      </c>
      <c r="O30" s="28">
        <v>847</v>
      </c>
      <c r="P30" s="88" t="s">
        <v>176</v>
      </c>
      <c r="Q30" s="88" t="s">
        <v>165</v>
      </c>
      <c r="R30" s="37"/>
      <c r="S30" s="20"/>
      <c r="T30" s="3"/>
      <c r="U30" s="3"/>
      <c r="V30" s="3"/>
      <c r="W30" s="3"/>
      <c r="X30" s="10"/>
      <c r="Y30" s="17"/>
      <c r="Z30" s="2"/>
      <c r="AA30" s="2"/>
      <c r="AB30" s="2"/>
      <c r="AC30" s="3"/>
      <c r="AD30" s="37"/>
      <c r="AE30" s="9"/>
      <c r="AF30" s="2"/>
      <c r="AG30" s="2"/>
      <c r="AH30" s="2"/>
      <c r="AI30" s="3"/>
      <c r="AJ30" s="10"/>
      <c r="AK30" s="28">
        <v>12</v>
      </c>
      <c r="AL30" s="3">
        <v>6</v>
      </c>
      <c r="AM30" s="3">
        <v>6.5</v>
      </c>
      <c r="AN30" s="10">
        <v>17</v>
      </c>
      <c r="AO30" s="28">
        <v>0</v>
      </c>
      <c r="AP30" s="28"/>
      <c r="AQ30" s="3"/>
      <c r="AR30" s="10"/>
      <c r="AS30" s="20">
        <v>0</v>
      </c>
      <c r="AT30" s="28"/>
      <c r="AU30" s="3"/>
      <c r="AV30" s="10"/>
      <c r="AW30" s="20"/>
      <c r="AX30" s="28"/>
      <c r="AY30" s="3"/>
      <c r="AZ30" s="10"/>
      <c r="BA30" s="20"/>
      <c r="BB30" s="28"/>
      <c r="BC30" s="3"/>
      <c r="BD30" s="10"/>
      <c r="BE30" s="23"/>
      <c r="BF30" s="28"/>
      <c r="BG30" s="3"/>
      <c r="BH30" s="10"/>
      <c r="BI30" s="20">
        <v>0</v>
      </c>
      <c r="BJ30" s="28"/>
      <c r="BK30" s="3"/>
      <c r="BL30" s="10"/>
    </row>
    <row r="31" spans="2:64" x14ac:dyDescent="0.3">
      <c r="B31" s="62">
        <f t="shared" si="0"/>
        <v>0</v>
      </c>
      <c r="C31" s="47">
        <f t="shared" si="1"/>
        <v>0</v>
      </c>
      <c r="D31" s="47">
        <f t="shared" si="2"/>
        <v>0</v>
      </c>
      <c r="E31" s="47">
        <f t="shared" si="3"/>
        <v>0</v>
      </c>
      <c r="F31" s="47">
        <f t="shared" si="4"/>
        <v>0</v>
      </c>
      <c r="G31" s="47">
        <f t="shared" si="5"/>
        <v>0</v>
      </c>
      <c r="H31" s="47">
        <f t="shared" si="6"/>
        <v>0</v>
      </c>
      <c r="I31" s="47">
        <f t="shared" si="7"/>
        <v>0</v>
      </c>
      <c r="J31" s="47">
        <f t="shared" si="8"/>
        <v>0</v>
      </c>
      <c r="K31" s="63">
        <f t="shared" si="9"/>
        <v>0</v>
      </c>
      <c r="L31" s="55">
        <f t="shared" si="10"/>
        <v>0</v>
      </c>
      <c r="N31" s="33">
        <v>12</v>
      </c>
      <c r="O31" s="28"/>
      <c r="P31" s="88"/>
      <c r="Q31" s="88"/>
      <c r="R31" s="37"/>
      <c r="S31" s="20"/>
      <c r="T31" s="3"/>
      <c r="U31" s="3"/>
      <c r="V31" s="3"/>
      <c r="W31" s="3"/>
      <c r="X31" s="10"/>
      <c r="Y31" s="17"/>
      <c r="Z31" s="2"/>
      <c r="AA31" s="2"/>
      <c r="AB31" s="2"/>
      <c r="AC31" s="3"/>
      <c r="AD31" s="37"/>
      <c r="AE31" s="9"/>
      <c r="AF31" s="2"/>
      <c r="AG31" s="2"/>
      <c r="AH31" s="2"/>
      <c r="AI31" s="3"/>
      <c r="AJ31" s="10"/>
      <c r="AK31" s="28"/>
      <c r="AL31" s="3"/>
      <c r="AM31" s="3"/>
      <c r="AN31" s="10"/>
      <c r="AO31" s="28"/>
      <c r="AP31" s="28"/>
      <c r="AQ31" s="3"/>
      <c r="AR31" s="10"/>
      <c r="AS31" s="20"/>
      <c r="AT31" s="28"/>
      <c r="AU31" s="3"/>
      <c r="AV31" s="10"/>
      <c r="AW31" s="20"/>
      <c r="AX31" s="28"/>
      <c r="AY31" s="3"/>
      <c r="AZ31" s="10"/>
      <c r="BA31" s="20"/>
      <c r="BB31" s="28"/>
      <c r="BC31" s="3"/>
      <c r="BD31" s="10"/>
      <c r="BE31" s="23"/>
      <c r="BF31" s="28"/>
      <c r="BG31" s="3"/>
      <c r="BH31" s="10"/>
      <c r="BI31" s="20"/>
      <c r="BJ31" s="28"/>
      <c r="BK31" s="3"/>
      <c r="BL31" s="10"/>
    </row>
    <row r="32" spans="2:64" x14ac:dyDescent="0.3">
      <c r="B32" s="62">
        <f t="shared" si="0"/>
        <v>0</v>
      </c>
      <c r="C32" s="47">
        <f t="shared" si="1"/>
        <v>0</v>
      </c>
      <c r="D32" s="47">
        <f t="shared" si="2"/>
        <v>0</v>
      </c>
      <c r="E32" s="47">
        <f t="shared" si="3"/>
        <v>0</v>
      </c>
      <c r="F32" s="47">
        <f t="shared" si="4"/>
        <v>0</v>
      </c>
      <c r="G32" s="47">
        <f t="shared" si="5"/>
        <v>0</v>
      </c>
      <c r="H32" s="47">
        <f t="shared" si="6"/>
        <v>0</v>
      </c>
      <c r="I32" s="47">
        <f t="shared" si="7"/>
        <v>0</v>
      </c>
      <c r="J32" s="47">
        <f t="shared" si="8"/>
        <v>0</v>
      </c>
      <c r="K32" s="63">
        <f t="shared" si="9"/>
        <v>0</v>
      </c>
      <c r="L32" s="55">
        <f t="shared" si="10"/>
        <v>0</v>
      </c>
      <c r="N32" s="33">
        <v>13</v>
      </c>
      <c r="O32" s="28"/>
      <c r="P32" s="88"/>
      <c r="Q32" s="88"/>
      <c r="R32" s="37"/>
      <c r="S32" s="20"/>
      <c r="T32" s="3"/>
      <c r="U32" s="3"/>
      <c r="V32" s="3"/>
      <c r="W32" s="3"/>
      <c r="X32" s="10"/>
      <c r="Y32" s="17"/>
      <c r="Z32" s="2"/>
      <c r="AA32" s="2"/>
      <c r="AB32" s="2"/>
      <c r="AC32" s="3"/>
      <c r="AD32" s="37"/>
      <c r="AE32" s="9"/>
      <c r="AF32" s="2"/>
      <c r="AG32" s="2"/>
      <c r="AH32" s="2"/>
      <c r="AI32" s="3"/>
      <c r="AJ32" s="10"/>
      <c r="AK32" s="28"/>
      <c r="AL32" s="3"/>
      <c r="AM32" s="3"/>
      <c r="AN32" s="10"/>
      <c r="AO32" s="28"/>
      <c r="AP32" s="28"/>
      <c r="AQ32" s="3"/>
      <c r="AR32" s="10"/>
      <c r="AS32" s="20"/>
      <c r="AT32" s="28"/>
      <c r="AU32" s="3"/>
      <c r="AV32" s="10"/>
      <c r="AW32" s="20"/>
      <c r="AX32" s="28"/>
      <c r="AY32" s="3"/>
      <c r="AZ32" s="10"/>
      <c r="BA32" s="20"/>
      <c r="BB32" s="28"/>
      <c r="BC32" s="3"/>
      <c r="BD32" s="10"/>
      <c r="BE32" s="23"/>
      <c r="BF32" s="28"/>
      <c r="BG32" s="3"/>
      <c r="BH32" s="10"/>
      <c r="BI32" s="20"/>
      <c r="BJ32" s="28"/>
      <c r="BK32" s="3"/>
      <c r="BL32" s="10"/>
    </row>
    <row r="33" spans="2:64" x14ac:dyDescent="0.3">
      <c r="B33" s="62">
        <f t="shared" si="0"/>
        <v>0</v>
      </c>
      <c r="C33" s="47">
        <f t="shared" si="1"/>
        <v>0</v>
      </c>
      <c r="D33" s="47">
        <f t="shared" si="2"/>
        <v>0</v>
      </c>
      <c r="E33" s="47">
        <f t="shared" si="3"/>
        <v>0</v>
      </c>
      <c r="F33" s="47">
        <f t="shared" si="4"/>
        <v>0</v>
      </c>
      <c r="G33" s="47">
        <f t="shared" si="5"/>
        <v>0</v>
      </c>
      <c r="H33" s="47">
        <f t="shared" si="6"/>
        <v>0</v>
      </c>
      <c r="I33" s="47">
        <f t="shared" si="7"/>
        <v>0</v>
      </c>
      <c r="J33" s="47">
        <f t="shared" si="8"/>
        <v>0</v>
      </c>
      <c r="K33" s="63">
        <f t="shared" si="9"/>
        <v>0</v>
      </c>
      <c r="L33" s="55">
        <f t="shared" si="10"/>
        <v>0</v>
      </c>
      <c r="N33" s="33">
        <v>14</v>
      </c>
      <c r="O33" s="28"/>
      <c r="P33" s="88"/>
      <c r="Q33" s="88"/>
      <c r="R33" s="37"/>
      <c r="S33" s="20"/>
      <c r="T33" s="3"/>
      <c r="U33" s="3"/>
      <c r="V33" s="3"/>
      <c r="W33" s="3"/>
      <c r="X33" s="10"/>
      <c r="Y33" s="17"/>
      <c r="Z33" s="2"/>
      <c r="AA33" s="2"/>
      <c r="AB33" s="2"/>
      <c r="AC33" s="3"/>
      <c r="AD33" s="37"/>
      <c r="AE33" s="9"/>
      <c r="AF33" s="2"/>
      <c r="AG33" s="2"/>
      <c r="AH33" s="2"/>
      <c r="AI33" s="3"/>
      <c r="AJ33" s="10"/>
      <c r="AK33" s="28"/>
      <c r="AL33" s="3"/>
      <c r="AM33" s="3"/>
      <c r="AN33" s="10"/>
      <c r="AO33" s="28"/>
      <c r="AP33" s="28"/>
      <c r="AQ33" s="3"/>
      <c r="AR33" s="10"/>
      <c r="AS33" s="20"/>
      <c r="AT33" s="28"/>
      <c r="AU33" s="3"/>
      <c r="AV33" s="10"/>
      <c r="AW33" s="20"/>
      <c r="AX33" s="28"/>
      <c r="AY33" s="3"/>
      <c r="AZ33" s="10"/>
      <c r="BA33" s="20"/>
      <c r="BB33" s="28"/>
      <c r="BC33" s="3"/>
      <c r="BD33" s="10"/>
      <c r="BE33" s="23"/>
      <c r="BF33" s="28"/>
      <c r="BG33" s="3"/>
      <c r="BH33" s="10"/>
      <c r="BI33" s="20"/>
      <c r="BJ33" s="28"/>
      <c r="BK33" s="3"/>
      <c r="BL33" s="10"/>
    </row>
    <row r="34" spans="2:64" x14ac:dyDescent="0.3">
      <c r="B34" s="62">
        <f t="shared" si="0"/>
        <v>0</v>
      </c>
      <c r="C34" s="47">
        <f t="shared" si="1"/>
        <v>0</v>
      </c>
      <c r="D34" s="47">
        <f t="shared" si="2"/>
        <v>0</v>
      </c>
      <c r="E34" s="47">
        <f t="shared" si="3"/>
        <v>0</v>
      </c>
      <c r="F34" s="47">
        <f t="shared" si="4"/>
        <v>0</v>
      </c>
      <c r="G34" s="47">
        <f t="shared" si="5"/>
        <v>0</v>
      </c>
      <c r="H34" s="47">
        <f t="shared" si="6"/>
        <v>0</v>
      </c>
      <c r="I34" s="47">
        <f t="shared" si="7"/>
        <v>0</v>
      </c>
      <c r="J34" s="47">
        <f t="shared" si="8"/>
        <v>0</v>
      </c>
      <c r="K34" s="63">
        <f t="shared" si="9"/>
        <v>0</v>
      </c>
      <c r="L34" s="55">
        <f t="shared" si="10"/>
        <v>0</v>
      </c>
      <c r="N34" s="33">
        <v>15</v>
      </c>
      <c r="O34" s="28"/>
      <c r="P34" s="88"/>
      <c r="Q34" s="88"/>
      <c r="R34" s="37"/>
      <c r="S34" s="20"/>
      <c r="T34" s="3"/>
      <c r="U34" s="3"/>
      <c r="V34" s="3"/>
      <c r="W34" s="3"/>
      <c r="X34" s="10"/>
      <c r="Y34" s="17"/>
      <c r="Z34" s="2"/>
      <c r="AA34" s="2"/>
      <c r="AB34" s="2"/>
      <c r="AC34" s="3"/>
      <c r="AD34" s="37"/>
      <c r="AE34" s="9"/>
      <c r="AF34" s="2"/>
      <c r="AG34" s="2"/>
      <c r="AH34" s="2"/>
      <c r="AI34" s="3"/>
      <c r="AJ34" s="10"/>
      <c r="AK34" s="28"/>
      <c r="AL34" s="3"/>
      <c r="AM34" s="3"/>
      <c r="AN34" s="10"/>
      <c r="AO34" s="28"/>
      <c r="AP34" s="28"/>
      <c r="AQ34" s="3"/>
      <c r="AR34" s="10"/>
      <c r="AS34" s="20"/>
      <c r="AT34" s="28"/>
      <c r="AU34" s="3"/>
      <c r="AV34" s="10"/>
      <c r="AW34" s="20"/>
      <c r="AX34" s="28"/>
      <c r="AY34" s="3"/>
      <c r="AZ34" s="10"/>
      <c r="BA34" s="20"/>
      <c r="BB34" s="28"/>
      <c r="BC34" s="3"/>
      <c r="BD34" s="10"/>
      <c r="BE34" s="23"/>
      <c r="BF34" s="28"/>
      <c r="BG34" s="3"/>
      <c r="BH34" s="10"/>
      <c r="BI34" s="20"/>
      <c r="BJ34" s="28"/>
      <c r="BK34" s="3"/>
      <c r="BL34" s="10"/>
    </row>
    <row r="35" spans="2:64" x14ac:dyDescent="0.3">
      <c r="B35" s="62">
        <f t="shared" si="0"/>
        <v>0</v>
      </c>
      <c r="C35" s="47">
        <f t="shared" si="1"/>
        <v>0</v>
      </c>
      <c r="D35" s="47">
        <f t="shared" si="2"/>
        <v>0</v>
      </c>
      <c r="E35" s="47">
        <f t="shared" si="3"/>
        <v>0</v>
      </c>
      <c r="F35" s="47">
        <f t="shared" si="4"/>
        <v>0</v>
      </c>
      <c r="G35" s="47">
        <f t="shared" si="5"/>
        <v>0</v>
      </c>
      <c r="H35" s="47">
        <f t="shared" si="6"/>
        <v>0</v>
      </c>
      <c r="I35" s="47">
        <f t="shared" si="7"/>
        <v>0</v>
      </c>
      <c r="J35" s="47">
        <f t="shared" si="8"/>
        <v>0</v>
      </c>
      <c r="K35" s="63">
        <f t="shared" si="9"/>
        <v>0</v>
      </c>
      <c r="L35" s="55">
        <f t="shared" si="10"/>
        <v>0</v>
      </c>
      <c r="N35" s="33">
        <v>16</v>
      </c>
      <c r="O35" s="28"/>
      <c r="P35" s="88"/>
      <c r="Q35" s="88"/>
      <c r="R35" s="37"/>
      <c r="S35" s="20"/>
      <c r="T35" s="3"/>
      <c r="U35" s="3"/>
      <c r="V35" s="3"/>
      <c r="W35" s="3"/>
      <c r="X35" s="10"/>
      <c r="Y35" s="17"/>
      <c r="Z35" s="2"/>
      <c r="AA35" s="2"/>
      <c r="AB35" s="2"/>
      <c r="AC35" s="3"/>
      <c r="AD35" s="37"/>
      <c r="AE35" s="9"/>
      <c r="AF35" s="2"/>
      <c r="AG35" s="2"/>
      <c r="AH35" s="2"/>
      <c r="AI35" s="3"/>
      <c r="AJ35" s="10"/>
      <c r="AK35" s="28"/>
      <c r="AL35" s="3"/>
      <c r="AM35" s="3"/>
      <c r="AN35" s="10"/>
      <c r="AO35" s="28"/>
      <c r="AP35" s="28"/>
      <c r="AQ35" s="3"/>
      <c r="AR35" s="10"/>
      <c r="AS35" s="20"/>
      <c r="AT35" s="28"/>
      <c r="AU35" s="3"/>
      <c r="AV35" s="10"/>
      <c r="AW35" s="20"/>
      <c r="AX35" s="28"/>
      <c r="AY35" s="3"/>
      <c r="AZ35" s="10"/>
      <c r="BA35" s="20"/>
      <c r="BB35" s="28"/>
      <c r="BC35" s="3"/>
      <c r="BD35" s="10"/>
      <c r="BE35" s="23"/>
      <c r="BF35" s="28"/>
      <c r="BG35" s="3"/>
      <c r="BH35" s="10"/>
      <c r="BI35" s="20"/>
      <c r="BJ35" s="28"/>
      <c r="BK35" s="3"/>
      <c r="BL35" s="10"/>
    </row>
    <row r="36" spans="2:64" x14ac:dyDescent="0.3">
      <c r="B36" s="62">
        <f t="shared" si="0"/>
        <v>0</v>
      </c>
      <c r="C36" s="47">
        <f t="shared" si="1"/>
        <v>0</v>
      </c>
      <c r="D36" s="47">
        <f t="shared" si="2"/>
        <v>0</v>
      </c>
      <c r="E36" s="47">
        <f t="shared" si="3"/>
        <v>0</v>
      </c>
      <c r="F36" s="47">
        <f t="shared" si="4"/>
        <v>0</v>
      </c>
      <c r="G36" s="47">
        <f t="shared" si="5"/>
        <v>0</v>
      </c>
      <c r="H36" s="47">
        <f t="shared" si="6"/>
        <v>0</v>
      </c>
      <c r="I36" s="47">
        <f t="shared" si="7"/>
        <v>0</v>
      </c>
      <c r="J36" s="47">
        <f t="shared" si="8"/>
        <v>0</v>
      </c>
      <c r="K36" s="63">
        <f t="shared" si="9"/>
        <v>0</v>
      </c>
      <c r="L36" s="55">
        <f t="shared" si="10"/>
        <v>0</v>
      </c>
      <c r="N36" s="33">
        <v>17</v>
      </c>
      <c r="O36" s="28"/>
      <c r="P36" s="88"/>
      <c r="Q36" s="88"/>
      <c r="R36" s="37"/>
      <c r="S36" s="20"/>
      <c r="T36" s="3"/>
      <c r="U36" s="3"/>
      <c r="V36" s="3"/>
      <c r="W36" s="3"/>
      <c r="X36" s="10"/>
      <c r="Y36" s="17"/>
      <c r="Z36" s="2"/>
      <c r="AA36" s="2"/>
      <c r="AB36" s="2"/>
      <c r="AC36" s="3"/>
      <c r="AD36" s="37"/>
      <c r="AE36" s="9"/>
      <c r="AF36" s="2"/>
      <c r="AG36" s="2"/>
      <c r="AH36" s="2"/>
      <c r="AI36" s="3"/>
      <c r="AJ36" s="10"/>
      <c r="AK36" s="28"/>
      <c r="AL36" s="3"/>
      <c r="AM36" s="3"/>
      <c r="AN36" s="10"/>
      <c r="AO36" s="28"/>
      <c r="AP36" s="28"/>
      <c r="AQ36" s="3"/>
      <c r="AR36" s="10"/>
      <c r="AS36" s="20"/>
      <c r="AT36" s="28"/>
      <c r="AU36" s="3"/>
      <c r="AV36" s="10"/>
      <c r="AW36" s="20"/>
      <c r="AX36" s="28"/>
      <c r="AY36" s="3"/>
      <c r="AZ36" s="10"/>
      <c r="BA36" s="20"/>
      <c r="BB36" s="28"/>
      <c r="BC36" s="3"/>
      <c r="BD36" s="10"/>
      <c r="BE36" s="23"/>
      <c r="BF36" s="28"/>
      <c r="BG36" s="3"/>
      <c r="BH36" s="10"/>
      <c r="BI36" s="20"/>
      <c r="BJ36" s="28"/>
      <c r="BK36" s="3"/>
      <c r="BL36" s="10"/>
    </row>
    <row r="37" spans="2:64" x14ac:dyDescent="0.3">
      <c r="B37" s="62">
        <f t="shared" si="0"/>
        <v>0</v>
      </c>
      <c r="C37" s="47">
        <f t="shared" si="1"/>
        <v>0</v>
      </c>
      <c r="D37" s="47">
        <f t="shared" si="2"/>
        <v>0</v>
      </c>
      <c r="E37" s="47">
        <f t="shared" si="3"/>
        <v>0</v>
      </c>
      <c r="F37" s="47">
        <f t="shared" si="4"/>
        <v>0</v>
      </c>
      <c r="G37" s="47">
        <f t="shared" si="5"/>
        <v>0</v>
      </c>
      <c r="H37" s="47">
        <f t="shared" si="6"/>
        <v>0</v>
      </c>
      <c r="I37" s="47">
        <f t="shared" si="7"/>
        <v>0</v>
      </c>
      <c r="J37" s="47">
        <f t="shared" si="8"/>
        <v>0</v>
      </c>
      <c r="K37" s="63">
        <f t="shared" si="9"/>
        <v>0</v>
      </c>
      <c r="L37" s="55">
        <f t="shared" si="10"/>
        <v>0</v>
      </c>
      <c r="N37" s="33">
        <v>18</v>
      </c>
      <c r="O37" s="28"/>
      <c r="P37" s="88"/>
      <c r="Q37" s="88"/>
      <c r="R37" s="37"/>
      <c r="S37" s="20"/>
      <c r="T37" s="3"/>
      <c r="U37" s="3"/>
      <c r="V37" s="3"/>
      <c r="W37" s="3"/>
      <c r="X37" s="10"/>
      <c r="Y37" s="17"/>
      <c r="Z37" s="2"/>
      <c r="AA37" s="2"/>
      <c r="AB37" s="2"/>
      <c r="AC37" s="3"/>
      <c r="AD37" s="37"/>
      <c r="AE37" s="9"/>
      <c r="AF37" s="2"/>
      <c r="AG37" s="2"/>
      <c r="AH37" s="2"/>
      <c r="AI37" s="3"/>
      <c r="AJ37" s="10"/>
      <c r="AK37" s="28"/>
      <c r="AL37" s="3"/>
      <c r="AM37" s="3"/>
      <c r="AN37" s="10"/>
      <c r="AO37" s="28"/>
      <c r="AP37" s="28"/>
      <c r="AQ37" s="3"/>
      <c r="AR37" s="10"/>
      <c r="AS37" s="20"/>
      <c r="AT37" s="28"/>
      <c r="AU37" s="3"/>
      <c r="AV37" s="10"/>
      <c r="AW37" s="20"/>
      <c r="AX37" s="28"/>
      <c r="AY37" s="3"/>
      <c r="AZ37" s="10"/>
      <c r="BA37" s="20"/>
      <c r="BB37" s="28"/>
      <c r="BC37" s="3"/>
      <c r="BD37" s="10"/>
      <c r="BE37" s="23"/>
      <c r="BF37" s="28"/>
      <c r="BG37" s="3"/>
      <c r="BH37" s="10"/>
      <c r="BI37" s="20"/>
      <c r="BJ37" s="28"/>
      <c r="BK37" s="3"/>
      <c r="BL37" s="10"/>
    </row>
    <row r="38" spans="2:64" x14ac:dyDescent="0.3">
      <c r="B38" s="62">
        <f t="shared" si="0"/>
        <v>0</v>
      </c>
      <c r="C38" s="47">
        <f t="shared" si="1"/>
        <v>0</v>
      </c>
      <c r="D38" s="47">
        <f t="shared" si="2"/>
        <v>0</v>
      </c>
      <c r="E38" s="47">
        <f t="shared" si="3"/>
        <v>0</v>
      </c>
      <c r="F38" s="47">
        <f t="shared" si="4"/>
        <v>0</v>
      </c>
      <c r="G38" s="47">
        <f t="shared" si="5"/>
        <v>0</v>
      </c>
      <c r="H38" s="47">
        <f t="shared" si="6"/>
        <v>0</v>
      </c>
      <c r="I38" s="47">
        <f t="shared" si="7"/>
        <v>0</v>
      </c>
      <c r="J38" s="47">
        <f t="shared" si="8"/>
        <v>0</v>
      </c>
      <c r="K38" s="63">
        <f t="shared" si="9"/>
        <v>0</v>
      </c>
      <c r="L38" s="55">
        <f t="shared" si="10"/>
        <v>0</v>
      </c>
      <c r="N38" s="33">
        <v>19</v>
      </c>
      <c r="O38" s="28"/>
      <c r="P38" s="88"/>
      <c r="Q38" s="88"/>
      <c r="R38" s="37"/>
      <c r="S38" s="20"/>
      <c r="T38" s="3"/>
      <c r="U38" s="3"/>
      <c r="V38" s="3"/>
      <c r="W38" s="3"/>
      <c r="X38" s="10"/>
      <c r="Y38" s="17"/>
      <c r="Z38" s="2"/>
      <c r="AA38" s="2"/>
      <c r="AB38" s="2"/>
      <c r="AC38" s="3"/>
      <c r="AD38" s="37"/>
      <c r="AE38" s="9"/>
      <c r="AF38" s="2"/>
      <c r="AG38" s="2"/>
      <c r="AH38" s="2"/>
      <c r="AI38" s="3"/>
      <c r="AJ38" s="10"/>
      <c r="AK38" s="28"/>
      <c r="AL38" s="3"/>
      <c r="AM38" s="3"/>
      <c r="AN38" s="10"/>
      <c r="AO38" s="28"/>
      <c r="AP38" s="28"/>
      <c r="AQ38" s="3"/>
      <c r="AR38" s="10"/>
      <c r="AS38" s="20"/>
      <c r="AT38" s="28"/>
      <c r="AU38" s="3"/>
      <c r="AV38" s="10"/>
      <c r="AW38" s="20"/>
      <c r="AX38" s="28"/>
      <c r="AY38" s="3"/>
      <c r="AZ38" s="10"/>
      <c r="BA38" s="20"/>
      <c r="BB38" s="28"/>
      <c r="BC38" s="3"/>
      <c r="BD38" s="10"/>
      <c r="BE38" s="23"/>
      <c r="BF38" s="28"/>
      <c r="BG38" s="3"/>
      <c r="BH38" s="10"/>
      <c r="BI38" s="20"/>
      <c r="BJ38" s="28"/>
      <c r="BK38" s="3"/>
      <c r="BL38" s="10"/>
    </row>
    <row r="39" spans="2:64" x14ac:dyDescent="0.3">
      <c r="B39" s="62">
        <f t="shared" si="0"/>
        <v>0</v>
      </c>
      <c r="C39" s="47">
        <f t="shared" si="1"/>
        <v>0</v>
      </c>
      <c r="D39" s="47">
        <f t="shared" si="2"/>
        <v>0</v>
      </c>
      <c r="E39" s="47">
        <f t="shared" si="3"/>
        <v>0</v>
      </c>
      <c r="F39" s="47">
        <f t="shared" si="4"/>
        <v>0</v>
      </c>
      <c r="G39" s="47">
        <f t="shared" si="5"/>
        <v>0</v>
      </c>
      <c r="H39" s="47">
        <f t="shared" si="6"/>
        <v>0</v>
      </c>
      <c r="I39" s="47">
        <f t="shared" si="7"/>
        <v>0</v>
      </c>
      <c r="J39" s="47">
        <f t="shared" si="8"/>
        <v>0</v>
      </c>
      <c r="K39" s="63">
        <f t="shared" si="9"/>
        <v>0</v>
      </c>
      <c r="L39" s="55">
        <f t="shared" si="10"/>
        <v>0</v>
      </c>
      <c r="N39" s="33">
        <v>20</v>
      </c>
      <c r="O39" s="28"/>
      <c r="P39" s="88"/>
      <c r="Q39" s="88"/>
      <c r="R39" s="37"/>
      <c r="S39" s="20"/>
      <c r="T39" s="3"/>
      <c r="U39" s="3"/>
      <c r="V39" s="3"/>
      <c r="W39" s="3"/>
      <c r="X39" s="10"/>
      <c r="Y39" s="17"/>
      <c r="Z39" s="2"/>
      <c r="AA39" s="2"/>
      <c r="AB39" s="2"/>
      <c r="AC39" s="3"/>
      <c r="AD39" s="37"/>
      <c r="AE39" s="9"/>
      <c r="AF39" s="2"/>
      <c r="AG39" s="2"/>
      <c r="AH39" s="2"/>
      <c r="AI39" s="3"/>
      <c r="AJ39" s="10"/>
      <c r="AK39" s="28"/>
      <c r="AL39" s="3"/>
      <c r="AM39" s="3"/>
      <c r="AN39" s="10"/>
      <c r="AO39" s="28"/>
      <c r="AP39" s="28"/>
      <c r="AQ39" s="3"/>
      <c r="AR39" s="10"/>
      <c r="AS39" s="20"/>
      <c r="AT39" s="28"/>
      <c r="AU39" s="3"/>
      <c r="AV39" s="10"/>
      <c r="AW39" s="20"/>
      <c r="AX39" s="28"/>
      <c r="AY39" s="3"/>
      <c r="AZ39" s="10"/>
      <c r="BA39" s="20"/>
      <c r="BB39" s="28"/>
      <c r="BC39" s="3"/>
      <c r="BD39" s="10"/>
      <c r="BE39" s="23"/>
      <c r="BF39" s="28"/>
      <c r="BG39" s="3"/>
      <c r="BH39" s="10"/>
      <c r="BI39" s="20"/>
      <c r="BJ39" s="28"/>
      <c r="BK39" s="3"/>
      <c r="BL39" s="10"/>
    </row>
    <row r="40" spans="2:64" x14ac:dyDescent="0.3">
      <c r="B40" s="62">
        <f t="shared" si="0"/>
        <v>0</v>
      </c>
      <c r="C40" s="47">
        <f t="shared" si="1"/>
        <v>0</v>
      </c>
      <c r="D40" s="47">
        <f t="shared" si="2"/>
        <v>0</v>
      </c>
      <c r="E40" s="47">
        <f t="shared" si="3"/>
        <v>0</v>
      </c>
      <c r="F40" s="47">
        <f t="shared" si="4"/>
        <v>0</v>
      </c>
      <c r="G40" s="47">
        <f t="shared" si="5"/>
        <v>0</v>
      </c>
      <c r="H40" s="47">
        <f t="shared" si="6"/>
        <v>0</v>
      </c>
      <c r="I40" s="47">
        <f t="shared" si="7"/>
        <v>0</v>
      </c>
      <c r="J40" s="47">
        <f t="shared" si="8"/>
        <v>0</v>
      </c>
      <c r="K40" s="63">
        <f t="shared" si="9"/>
        <v>0</v>
      </c>
      <c r="L40" s="55">
        <f t="shared" si="10"/>
        <v>0</v>
      </c>
      <c r="N40" s="33">
        <v>21</v>
      </c>
      <c r="O40" s="28"/>
      <c r="P40" s="88"/>
      <c r="Q40" s="88"/>
      <c r="R40" s="37"/>
      <c r="S40" s="20"/>
      <c r="T40" s="3"/>
      <c r="U40" s="3"/>
      <c r="V40" s="3"/>
      <c r="W40" s="3"/>
      <c r="X40" s="10"/>
      <c r="Y40" s="17"/>
      <c r="Z40" s="2"/>
      <c r="AA40" s="2"/>
      <c r="AB40" s="2"/>
      <c r="AC40" s="3"/>
      <c r="AD40" s="37"/>
      <c r="AE40" s="9"/>
      <c r="AF40" s="2"/>
      <c r="AG40" s="2"/>
      <c r="AH40" s="2"/>
      <c r="AI40" s="3"/>
      <c r="AJ40" s="10"/>
      <c r="AK40" s="28"/>
      <c r="AL40" s="3"/>
      <c r="AM40" s="3"/>
      <c r="AN40" s="10"/>
      <c r="AO40" s="28"/>
      <c r="AP40" s="28"/>
      <c r="AQ40" s="3"/>
      <c r="AR40" s="10"/>
      <c r="AS40" s="20"/>
      <c r="AT40" s="28"/>
      <c r="AU40" s="3"/>
      <c r="AV40" s="10"/>
      <c r="AW40" s="20"/>
      <c r="AX40" s="28"/>
      <c r="AY40" s="3"/>
      <c r="AZ40" s="10"/>
      <c r="BA40" s="20"/>
      <c r="BB40" s="28"/>
      <c r="BC40" s="3"/>
      <c r="BD40" s="10"/>
      <c r="BE40" s="23"/>
      <c r="BF40" s="28"/>
      <c r="BG40" s="3"/>
      <c r="BH40" s="10"/>
      <c r="BI40" s="20"/>
      <c r="BJ40" s="28"/>
      <c r="BK40" s="3"/>
      <c r="BL40" s="10"/>
    </row>
    <row r="41" spans="2:64" x14ac:dyDescent="0.3">
      <c r="B41" s="62">
        <f t="shared" si="0"/>
        <v>0</v>
      </c>
      <c r="C41" s="47">
        <f t="shared" si="1"/>
        <v>0</v>
      </c>
      <c r="D41" s="47">
        <f t="shared" si="2"/>
        <v>0</v>
      </c>
      <c r="E41" s="47">
        <f t="shared" si="3"/>
        <v>0</v>
      </c>
      <c r="F41" s="47">
        <f t="shared" si="4"/>
        <v>0</v>
      </c>
      <c r="G41" s="47">
        <f t="shared" si="5"/>
        <v>0</v>
      </c>
      <c r="H41" s="47">
        <f t="shared" si="6"/>
        <v>0</v>
      </c>
      <c r="I41" s="47">
        <f t="shared" si="7"/>
        <v>0</v>
      </c>
      <c r="J41" s="47">
        <f t="shared" si="8"/>
        <v>0</v>
      </c>
      <c r="K41" s="63">
        <f t="shared" si="9"/>
        <v>0</v>
      </c>
      <c r="L41" s="55">
        <f t="shared" si="10"/>
        <v>0</v>
      </c>
      <c r="N41" s="33">
        <v>22</v>
      </c>
      <c r="O41" s="28"/>
      <c r="P41" s="88"/>
      <c r="Q41" s="88"/>
      <c r="R41" s="37"/>
      <c r="S41" s="20"/>
      <c r="T41" s="3"/>
      <c r="U41" s="3"/>
      <c r="V41" s="3"/>
      <c r="W41" s="3"/>
      <c r="X41" s="10"/>
      <c r="Y41" s="17"/>
      <c r="Z41" s="2"/>
      <c r="AA41" s="2"/>
      <c r="AB41" s="2"/>
      <c r="AC41" s="3"/>
      <c r="AD41" s="37"/>
      <c r="AE41" s="9"/>
      <c r="AF41" s="2"/>
      <c r="AG41" s="2"/>
      <c r="AH41" s="2"/>
      <c r="AI41" s="3"/>
      <c r="AJ41" s="10"/>
      <c r="AK41" s="28"/>
      <c r="AL41" s="3"/>
      <c r="AM41" s="3"/>
      <c r="AN41" s="10"/>
      <c r="AO41" s="28"/>
      <c r="AP41" s="28"/>
      <c r="AQ41" s="3"/>
      <c r="AR41" s="10"/>
      <c r="AS41" s="20"/>
      <c r="AT41" s="28"/>
      <c r="AU41" s="3"/>
      <c r="AV41" s="10"/>
      <c r="AW41" s="20"/>
      <c r="AX41" s="28"/>
      <c r="AY41" s="3"/>
      <c r="AZ41" s="10"/>
      <c r="BA41" s="20"/>
      <c r="BB41" s="28"/>
      <c r="BC41" s="3"/>
      <c r="BD41" s="10"/>
      <c r="BE41" s="23"/>
      <c r="BF41" s="28"/>
      <c r="BG41" s="3"/>
      <c r="BH41" s="10"/>
      <c r="BI41" s="20"/>
      <c r="BJ41" s="28"/>
      <c r="BK41" s="3"/>
      <c r="BL41" s="10"/>
    </row>
    <row r="42" spans="2:64" x14ac:dyDescent="0.3">
      <c r="B42" s="62">
        <f t="shared" si="0"/>
        <v>0</v>
      </c>
      <c r="C42" s="47">
        <f t="shared" si="1"/>
        <v>0</v>
      </c>
      <c r="D42" s="47">
        <f t="shared" si="2"/>
        <v>0</v>
      </c>
      <c r="E42" s="47">
        <f t="shared" si="3"/>
        <v>0</v>
      </c>
      <c r="F42" s="47">
        <f t="shared" si="4"/>
        <v>0</v>
      </c>
      <c r="G42" s="47">
        <f t="shared" si="5"/>
        <v>0</v>
      </c>
      <c r="H42" s="47">
        <f t="shared" si="6"/>
        <v>0</v>
      </c>
      <c r="I42" s="47">
        <f t="shared" si="7"/>
        <v>0</v>
      </c>
      <c r="J42" s="47">
        <f t="shared" si="8"/>
        <v>0</v>
      </c>
      <c r="K42" s="63">
        <f t="shared" si="9"/>
        <v>0</v>
      </c>
      <c r="L42" s="55">
        <f t="shared" si="10"/>
        <v>0</v>
      </c>
      <c r="N42" s="33">
        <v>23</v>
      </c>
      <c r="O42" s="28"/>
      <c r="P42" s="88"/>
      <c r="Q42" s="88"/>
      <c r="R42" s="37"/>
      <c r="S42" s="20"/>
      <c r="T42" s="3"/>
      <c r="U42" s="3"/>
      <c r="V42" s="3"/>
      <c r="W42" s="3"/>
      <c r="X42" s="10"/>
      <c r="Y42" s="17"/>
      <c r="Z42" s="2"/>
      <c r="AA42" s="2"/>
      <c r="AB42" s="2"/>
      <c r="AC42" s="3"/>
      <c r="AD42" s="37"/>
      <c r="AE42" s="9"/>
      <c r="AF42" s="2"/>
      <c r="AG42" s="2"/>
      <c r="AH42" s="2"/>
      <c r="AI42" s="3"/>
      <c r="AJ42" s="10"/>
      <c r="AK42" s="28"/>
      <c r="AL42" s="3"/>
      <c r="AM42" s="3"/>
      <c r="AN42" s="10"/>
      <c r="AO42" s="28"/>
      <c r="AP42" s="28"/>
      <c r="AQ42" s="3"/>
      <c r="AR42" s="10"/>
      <c r="AS42" s="20"/>
      <c r="AT42" s="28"/>
      <c r="AU42" s="3"/>
      <c r="AV42" s="10"/>
      <c r="AW42" s="20"/>
      <c r="AX42" s="28"/>
      <c r="AY42" s="3"/>
      <c r="AZ42" s="10"/>
      <c r="BA42" s="20"/>
      <c r="BB42" s="28"/>
      <c r="BC42" s="3"/>
      <c r="BD42" s="10"/>
      <c r="BE42" s="23"/>
      <c r="BF42" s="28"/>
      <c r="BG42" s="3"/>
      <c r="BH42" s="10"/>
      <c r="BI42" s="20"/>
      <c r="BJ42" s="28"/>
      <c r="BK42" s="3"/>
      <c r="BL42" s="10"/>
    </row>
    <row r="43" spans="2:64" x14ac:dyDescent="0.3">
      <c r="B43" s="62">
        <f t="shared" si="0"/>
        <v>0</v>
      </c>
      <c r="C43" s="47">
        <f t="shared" si="1"/>
        <v>0</v>
      </c>
      <c r="D43" s="47">
        <f t="shared" si="2"/>
        <v>0</v>
      </c>
      <c r="E43" s="47">
        <f t="shared" si="3"/>
        <v>0</v>
      </c>
      <c r="F43" s="47">
        <f t="shared" si="4"/>
        <v>0</v>
      </c>
      <c r="G43" s="47">
        <f t="shared" si="5"/>
        <v>0</v>
      </c>
      <c r="H43" s="47">
        <f t="shared" si="6"/>
        <v>0</v>
      </c>
      <c r="I43" s="47">
        <f t="shared" si="7"/>
        <v>0</v>
      </c>
      <c r="J43" s="47">
        <f t="shared" si="8"/>
        <v>0</v>
      </c>
      <c r="K43" s="63">
        <f t="shared" si="9"/>
        <v>0</v>
      </c>
      <c r="L43" s="55">
        <f t="shared" si="10"/>
        <v>0</v>
      </c>
      <c r="N43" s="33">
        <v>24</v>
      </c>
      <c r="O43" s="28"/>
      <c r="P43" s="88"/>
      <c r="Q43" s="88"/>
      <c r="R43" s="37"/>
      <c r="S43" s="20"/>
      <c r="T43" s="3"/>
      <c r="U43" s="3"/>
      <c r="V43" s="3"/>
      <c r="W43" s="3"/>
      <c r="X43" s="10"/>
      <c r="Y43" s="17"/>
      <c r="Z43" s="2"/>
      <c r="AA43" s="2"/>
      <c r="AB43" s="2"/>
      <c r="AC43" s="3"/>
      <c r="AD43" s="37"/>
      <c r="AE43" s="9"/>
      <c r="AF43" s="2"/>
      <c r="AG43" s="2"/>
      <c r="AH43" s="2"/>
      <c r="AI43" s="3"/>
      <c r="AJ43" s="10"/>
      <c r="AK43" s="28"/>
      <c r="AL43" s="3"/>
      <c r="AM43" s="3"/>
      <c r="AN43" s="10"/>
      <c r="AO43" s="28"/>
      <c r="AP43" s="28"/>
      <c r="AQ43" s="3"/>
      <c r="AR43" s="10"/>
      <c r="AS43" s="20"/>
      <c r="AT43" s="28"/>
      <c r="AU43" s="3"/>
      <c r="AV43" s="10"/>
      <c r="AW43" s="20"/>
      <c r="AX43" s="28"/>
      <c r="AY43" s="3"/>
      <c r="AZ43" s="10"/>
      <c r="BA43" s="20"/>
      <c r="BB43" s="28"/>
      <c r="BC43" s="3"/>
      <c r="BD43" s="10"/>
      <c r="BE43" s="23"/>
      <c r="BF43" s="28"/>
      <c r="BG43" s="3"/>
      <c r="BH43" s="10"/>
      <c r="BI43" s="20"/>
      <c r="BJ43" s="28"/>
      <c r="BK43" s="3"/>
      <c r="BL43" s="10"/>
    </row>
    <row r="44" spans="2:64" x14ac:dyDescent="0.3">
      <c r="B44" s="62">
        <f t="shared" si="0"/>
        <v>0</v>
      </c>
      <c r="C44" s="47">
        <f t="shared" si="1"/>
        <v>0</v>
      </c>
      <c r="D44" s="47">
        <f t="shared" si="2"/>
        <v>0</v>
      </c>
      <c r="E44" s="47">
        <f t="shared" si="3"/>
        <v>0</v>
      </c>
      <c r="F44" s="47">
        <f t="shared" si="4"/>
        <v>0</v>
      </c>
      <c r="G44" s="47">
        <f t="shared" si="5"/>
        <v>0</v>
      </c>
      <c r="H44" s="47">
        <f t="shared" si="6"/>
        <v>0</v>
      </c>
      <c r="I44" s="47">
        <f t="shared" si="7"/>
        <v>0</v>
      </c>
      <c r="J44" s="47">
        <f t="shared" si="8"/>
        <v>0</v>
      </c>
      <c r="K44" s="63">
        <f t="shared" si="9"/>
        <v>0</v>
      </c>
      <c r="L44" s="55">
        <f t="shared" si="10"/>
        <v>0</v>
      </c>
      <c r="N44" s="33">
        <v>25</v>
      </c>
      <c r="O44" s="28"/>
      <c r="P44" s="88"/>
      <c r="Q44" s="88"/>
      <c r="R44" s="37"/>
      <c r="S44" s="20"/>
      <c r="T44" s="3"/>
      <c r="U44" s="3"/>
      <c r="V44" s="3"/>
      <c r="W44" s="3"/>
      <c r="X44" s="10"/>
      <c r="Y44" s="17"/>
      <c r="Z44" s="2"/>
      <c r="AA44" s="2"/>
      <c r="AB44" s="2"/>
      <c r="AC44" s="3"/>
      <c r="AD44" s="37"/>
      <c r="AE44" s="9"/>
      <c r="AF44" s="2"/>
      <c r="AG44" s="2"/>
      <c r="AH44" s="2"/>
      <c r="AI44" s="3"/>
      <c r="AJ44" s="10"/>
      <c r="AK44" s="28"/>
      <c r="AL44" s="3"/>
      <c r="AM44" s="3"/>
      <c r="AN44" s="10"/>
      <c r="AO44" s="28"/>
      <c r="AP44" s="28"/>
      <c r="AQ44" s="3"/>
      <c r="AR44" s="10"/>
      <c r="AS44" s="20"/>
      <c r="AT44" s="28"/>
      <c r="AU44" s="3"/>
      <c r="AV44" s="10"/>
      <c r="AW44" s="20"/>
      <c r="AX44" s="28"/>
      <c r="AY44" s="3"/>
      <c r="AZ44" s="10"/>
      <c r="BA44" s="20"/>
      <c r="BB44" s="28"/>
      <c r="BC44" s="3"/>
      <c r="BD44" s="10"/>
      <c r="BE44" s="23"/>
      <c r="BF44" s="28"/>
      <c r="BG44" s="3"/>
      <c r="BH44" s="10"/>
      <c r="BI44" s="20"/>
      <c r="BJ44" s="28"/>
      <c r="BK44" s="3"/>
      <c r="BL44" s="10"/>
    </row>
    <row r="45" spans="2:64" x14ac:dyDescent="0.3">
      <c r="B45" s="62">
        <f t="shared" si="0"/>
        <v>0</v>
      </c>
      <c r="C45" s="47">
        <f t="shared" si="1"/>
        <v>0</v>
      </c>
      <c r="D45" s="47">
        <f t="shared" si="2"/>
        <v>0</v>
      </c>
      <c r="E45" s="47">
        <f t="shared" si="3"/>
        <v>0</v>
      </c>
      <c r="F45" s="47">
        <f t="shared" si="4"/>
        <v>0</v>
      </c>
      <c r="G45" s="47">
        <f t="shared" si="5"/>
        <v>0</v>
      </c>
      <c r="H45" s="47">
        <f t="shared" si="6"/>
        <v>0</v>
      </c>
      <c r="I45" s="47">
        <f t="shared" si="7"/>
        <v>0</v>
      </c>
      <c r="J45" s="47">
        <f t="shared" si="8"/>
        <v>0</v>
      </c>
      <c r="K45" s="63">
        <f t="shared" si="9"/>
        <v>0</v>
      </c>
      <c r="L45" s="55">
        <f t="shared" si="10"/>
        <v>0</v>
      </c>
      <c r="N45" s="33">
        <v>26</v>
      </c>
      <c r="O45" s="28"/>
      <c r="P45" s="88"/>
      <c r="Q45" s="88"/>
      <c r="R45" s="37"/>
      <c r="S45" s="20"/>
      <c r="T45" s="3"/>
      <c r="U45" s="3"/>
      <c r="V45" s="3"/>
      <c r="W45" s="3"/>
      <c r="X45" s="10"/>
      <c r="Y45" s="17"/>
      <c r="Z45" s="2"/>
      <c r="AA45" s="2"/>
      <c r="AB45" s="2"/>
      <c r="AC45" s="3"/>
      <c r="AD45" s="37"/>
      <c r="AE45" s="9"/>
      <c r="AF45" s="2"/>
      <c r="AG45" s="2"/>
      <c r="AH45" s="2"/>
      <c r="AI45" s="3"/>
      <c r="AJ45" s="10"/>
      <c r="AK45" s="28"/>
      <c r="AL45" s="3"/>
      <c r="AM45" s="3"/>
      <c r="AN45" s="10"/>
      <c r="AO45" s="28"/>
      <c r="AP45" s="28"/>
      <c r="AQ45" s="3"/>
      <c r="AR45" s="10"/>
      <c r="AS45" s="20"/>
      <c r="AT45" s="28"/>
      <c r="AU45" s="3"/>
      <c r="AV45" s="10"/>
      <c r="AW45" s="20"/>
      <c r="AX45" s="28"/>
      <c r="AY45" s="3"/>
      <c r="AZ45" s="10"/>
      <c r="BA45" s="20"/>
      <c r="BB45" s="28"/>
      <c r="BC45" s="3"/>
      <c r="BD45" s="10"/>
      <c r="BE45" s="23"/>
      <c r="BF45" s="28"/>
      <c r="BG45" s="3"/>
      <c r="BH45" s="10"/>
      <c r="BI45" s="20"/>
      <c r="BJ45" s="28"/>
      <c r="BK45" s="3"/>
      <c r="BL45" s="10"/>
    </row>
    <row r="46" spans="2:64" x14ac:dyDescent="0.3">
      <c r="B46" s="62">
        <f t="shared" si="0"/>
        <v>0</v>
      </c>
      <c r="C46" s="47">
        <f t="shared" si="1"/>
        <v>0</v>
      </c>
      <c r="D46" s="47">
        <f t="shared" si="2"/>
        <v>0</v>
      </c>
      <c r="E46" s="47">
        <f t="shared" si="3"/>
        <v>0</v>
      </c>
      <c r="F46" s="47">
        <f t="shared" si="4"/>
        <v>0</v>
      </c>
      <c r="G46" s="47">
        <f t="shared" si="5"/>
        <v>0</v>
      </c>
      <c r="H46" s="47">
        <f t="shared" si="6"/>
        <v>0</v>
      </c>
      <c r="I46" s="47">
        <f t="shared" si="7"/>
        <v>0</v>
      </c>
      <c r="J46" s="47">
        <f t="shared" si="8"/>
        <v>0</v>
      </c>
      <c r="K46" s="63">
        <f t="shared" si="9"/>
        <v>0</v>
      </c>
      <c r="L46" s="55">
        <f t="shared" si="10"/>
        <v>0</v>
      </c>
      <c r="N46" s="33">
        <v>27</v>
      </c>
      <c r="O46" s="28"/>
      <c r="P46" s="88"/>
      <c r="Q46" s="88"/>
      <c r="R46" s="37"/>
      <c r="S46" s="20"/>
      <c r="T46" s="3"/>
      <c r="U46" s="3"/>
      <c r="V46" s="3"/>
      <c r="W46" s="3"/>
      <c r="X46" s="10"/>
      <c r="Y46" s="17"/>
      <c r="Z46" s="2"/>
      <c r="AA46" s="2"/>
      <c r="AB46" s="2"/>
      <c r="AC46" s="3"/>
      <c r="AD46" s="37"/>
      <c r="AE46" s="9"/>
      <c r="AF46" s="2"/>
      <c r="AG46" s="2"/>
      <c r="AH46" s="2"/>
      <c r="AI46" s="3"/>
      <c r="AJ46" s="10"/>
      <c r="AK46" s="28"/>
      <c r="AL46" s="3"/>
      <c r="AM46" s="3"/>
      <c r="AN46" s="10"/>
      <c r="AO46" s="28"/>
      <c r="AP46" s="28"/>
      <c r="AQ46" s="3"/>
      <c r="AR46" s="10"/>
      <c r="AS46" s="20"/>
      <c r="AT46" s="28"/>
      <c r="AU46" s="3"/>
      <c r="AV46" s="10"/>
      <c r="AW46" s="20"/>
      <c r="AX46" s="28"/>
      <c r="AY46" s="3"/>
      <c r="AZ46" s="10"/>
      <c r="BA46" s="20"/>
      <c r="BB46" s="28"/>
      <c r="BC46" s="3"/>
      <c r="BD46" s="10"/>
      <c r="BE46" s="23"/>
      <c r="BF46" s="28"/>
      <c r="BG46" s="3"/>
      <c r="BH46" s="10"/>
      <c r="BI46" s="20"/>
      <c r="BJ46" s="28"/>
      <c r="BK46" s="3"/>
      <c r="BL46" s="10"/>
    </row>
    <row r="47" spans="2:64" x14ac:dyDescent="0.3">
      <c r="B47" s="62">
        <f t="shared" si="0"/>
        <v>0</v>
      </c>
      <c r="C47" s="47">
        <f t="shared" si="1"/>
        <v>0</v>
      </c>
      <c r="D47" s="47">
        <f t="shared" si="2"/>
        <v>0</v>
      </c>
      <c r="E47" s="47">
        <f t="shared" si="3"/>
        <v>0</v>
      </c>
      <c r="F47" s="47">
        <f t="shared" si="4"/>
        <v>0</v>
      </c>
      <c r="G47" s="47">
        <f t="shared" si="5"/>
        <v>0</v>
      </c>
      <c r="H47" s="47">
        <f t="shared" si="6"/>
        <v>0</v>
      </c>
      <c r="I47" s="47">
        <f t="shared" si="7"/>
        <v>0</v>
      </c>
      <c r="J47" s="47">
        <f t="shared" si="8"/>
        <v>0</v>
      </c>
      <c r="K47" s="63">
        <f t="shared" si="9"/>
        <v>0</v>
      </c>
      <c r="L47" s="55">
        <f t="shared" si="10"/>
        <v>0</v>
      </c>
      <c r="N47" s="33">
        <v>28</v>
      </c>
      <c r="O47" s="28"/>
      <c r="P47" s="88"/>
      <c r="Q47" s="88"/>
      <c r="R47" s="37"/>
      <c r="S47" s="20"/>
      <c r="T47" s="3"/>
      <c r="U47" s="3"/>
      <c r="V47" s="3"/>
      <c r="W47" s="3"/>
      <c r="X47" s="10"/>
      <c r="Y47" s="17"/>
      <c r="Z47" s="2"/>
      <c r="AA47" s="2"/>
      <c r="AB47" s="2"/>
      <c r="AC47" s="3"/>
      <c r="AD47" s="37"/>
      <c r="AE47" s="9"/>
      <c r="AF47" s="2"/>
      <c r="AG47" s="2"/>
      <c r="AH47" s="2"/>
      <c r="AI47" s="3"/>
      <c r="AJ47" s="10"/>
      <c r="AK47" s="28"/>
      <c r="AL47" s="3"/>
      <c r="AM47" s="3"/>
      <c r="AN47" s="10"/>
      <c r="AO47" s="28"/>
      <c r="AP47" s="28"/>
      <c r="AQ47" s="3"/>
      <c r="AR47" s="10"/>
      <c r="AS47" s="20"/>
      <c r="AT47" s="28"/>
      <c r="AU47" s="3"/>
      <c r="AV47" s="10"/>
      <c r="AW47" s="20"/>
      <c r="AX47" s="28"/>
      <c r="AY47" s="3"/>
      <c r="AZ47" s="10"/>
      <c r="BA47" s="20"/>
      <c r="BB47" s="28"/>
      <c r="BC47" s="3"/>
      <c r="BD47" s="10"/>
      <c r="BE47" s="23"/>
      <c r="BF47" s="28"/>
      <c r="BG47" s="3"/>
      <c r="BH47" s="10"/>
      <c r="BI47" s="20"/>
      <c r="BJ47" s="28"/>
      <c r="BK47" s="3"/>
      <c r="BL47" s="10"/>
    </row>
    <row r="48" spans="2:64" x14ac:dyDescent="0.3">
      <c r="B48" s="62">
        <f t="shared" si="0"/>
        <v>0</v>
      </c>
      <c r="C48" s="47">
        <f t="shared" si="1"/>
        <v>0</v>
      </c>
      <c r="D48" s="47">
        <f t="shared" si="2"/>
        <v>0</v>
      </c>
      <c r="E48" s="47">
        <f t="shared" si="3"/>
        <v>0</v>
      </c>
      <c r="F48" s="47">
        <f t="shared" si="4"/>
        <v>0</v>
      </c>
      <c r="G48" s="47">
        <f t="shared" si="5"/>
        <v>0</v>
      </c>
      <c r="H48" s="47">
        <f t="shared" si="6"/>
        <v>0</v>
      </c>
      <c r="I48" s="47">
        <f t="shared" si="7"/>
        <v>0</v>
      </c>
      <c r="J48" s="47">
        <f t="shared" si="8"/>
        <v>0</v>
      </c>
      <c r="K48" s="63">
        <f t="shared" si="9"/>
        <v>0</v>
      </c>
      <c r="L48" s="55">
        <f t="shared" si="10"/>
        <v>0</v>
      </c>
      <c r="N48" s="33">
        <v>29</v>
      </c>
      <c r="O48" s="28"/>
      <c r="P48" s="88"/>
      <c r="Q48" s="88"/>
      <c r="R48" s="37"/>
      <c r="S48" s="20"/>
      <c r="T48" s="3"/>
      <c r="U48" s="3"/>
      <c r="V48" s="3"/>
      <c r="W48" s="3"/>
      <c r="X48" s="10"/>
      <c r="Y48" s="17"/>
      <c r="Z48" s="2"/>
      <c r="AA48" s="2"/>
      <c r="AB48" s="2"/>
      <c r="AC48" s="3"/>
      <c r="AD48" s="37"/>
      <c r="AE48" s="9"/>
      <c r="AF48" s="2"/>
      <c r="AG48" s="2"/>
      <c r="AH48" s="2"/>
      <c r="AI48" s="3"/>
      <c r="AJ48" s="10"/>
      <c r="AK48" s="28"/>
      <c r="AL48" s="3"/>
      <c r="AM48" s="3"/>
      <c r="AN48" s="10"/>
      <c r="AO48" s="28"/>
      <c r="AP48" s="28"/>
      <c r="AQ48" s="3"/>
      <c r="AR48" s="10"/>
      <c r="AS48" s="20"/>
      <c r="AT48" s="28"/>
      <c r="AU48" s="3"/>
      <c r="AV48" s="10"/>
      <c r="AW48" s="20"/>
      <c r="AX48" s="28"/>
      <c r="AY48" s="3"/>
      <c r="AZ48" s="10"/>
      <c r="BA48" s="20"/>
      <c r="BB48" s="28"/>
      <c r="BC48" s="3"/>
      <c r="BD48" s="10"/>
      <c r="BE48" s="23"/>
      <c r="BF48" s="28"/>
      <c r="BG48" s="3"/>
      <c r="BH48" s="10"/>
      <c r="BI48" s="20"/>
      <c r="BJ48" s="28"/>
      <c r="BK48" s="3"/>
      <c r="BL48" s="10"/>
    </row>
    <row r="49" spans="2:64" x14ac:dyDescent="0.3">
      <c r="B49" s="62">
        <f t="shared" si="0"/>
        <v>0</v>
      </c>
      <c r="C49" s="47">
        <f t="shared" si="1"/>
        <v>0</v>
      </c>
      <c r="D49" s="47">
        <f t="shared" si="2"/>
        <v>0</v>
      </c>
      <c r="E49" s="47">
        <f t="shared" si="3"/>
        <v>0</v>
      </c>
      <c r="F49" s="47">
        <f t="shared" si="4"/>
        <v>0</v>
      </c>
      <c r="G49" s="47">
        <f t="shared" si="5"/>
        <v>0</v>
      </c>
      <c r="H49" s="47">
        <f t="shared" si="6"/>
        <v>0</v>
      </c>
      <c r="I49" s="47">
        <f t="shared" si="7"/>
        <v>0</v>
      </c>
      <c r="J49" s="47">
        <f t="shared" si="8"/>
        <v>0</v>
      </c>
      <c r="K49" s="63">
        <f t="shared" si="9"/>
        <v>0</v>
      </c>
      <c r="L49" s="55">
        <f t="shared" si="10"/>
        <v>0</v>
      </c>
      <c r="N49" s="33">
        <v>30</v>
      </c>
      <c r="O49" s="28"/>
      <c r="P49" s="88"/>
      <c r="Q49" s="88"/>
      <c r="R49" s="37"/>
      <c r="S49" s="20"/>
      <c r="T49" s="3"/>
      <c r="U49" s="3"/>
      <c r="V49" s="3"/>
      <c r="W49" s="3"/>
      <c r="X49" s="10"/>
      <c r="Y49" s="17"/>
      <c r="Z49" s="2"/>
      <c r="AA49" s="2"/>
      <c r="AB49" s="2"/>
      <c r="AC49" s="3"/>
      <c r="AD49" s="37"/>
      <c r="AE49" s="9"/>
      <c r="AF49" s="2"/>
      <c r="AG49" s="2"/>
      <c r="AH49" s="2"/>
      <c r="AI49" s="3"/>
      <c r="AJ49" s="10"/>
      <c r="AK49" s="28"/>
      <c r="AL49" s="3"/>
      <c r="AM49" s="3"/>
      <c r="AN49" s="10"/>
      <c r="AO49" s="28"/>
      <c r="AP49" s="28"/>
      <c r="AQ49" s="3"/>
      <c r="AR49" s="10"/>
      <c r="AS49" s="20"/>
      <c r="AT49" s="28"/>
      <c r="AU49" s="3"/>
      <c r="AV49" s="10"/>
      <c r="AW49" s="20"/>
      <c r="AX49" s="28"/>
      <c r="AY49" s="3"/>
      <c r="AZ49" s="10"/>
      <c r="BA49" s="20"/>
      <c r="BB49" s="28"/>
      <c r="BC49" s="3"/>
      <c r="BD49" s="10"/>
      <c r="BE49" s="23"/>
      <c r="BF49" s="28"/>
      <c r="BG49" s="3"/>
      <c r="BH49" s="10"/>
      <c r="BI49" s="20"/>
      <c r="BJ49" s="28"/>
      <c r="BK49" s="3"/>
      <c r="BL49" s="10"/>
    </row>
    <row r="50" spans="2:64" x14ac:dyDescent="0.3">
      <c r="B50" s="62">
        <f t="shared" si="0"/>
        <v>0</v>
      </c>
      <c r="C50" s="47">
        <f t="shared" si="1"/>
        <v>0</v>
      </c>
      <c r="D50" s="47">
        <f t="shared" si="2"/>
        <v>0</v>
      </c>
      <c r="E50" s="47">
        <f t="shared" si="3"/>
        <v>0</v>
      </c>
      <c r="F50" s="47">
        <f t="shared" si="4"/>
        <v>0</v>
      </c>
      <c r="G50" s="47">
        <f t="shared" si="5"/>
        <v>0</v>
      </c>
      <c r="H50" s="47">
        <f t="shared" si="6"/>
        <v>0</v>
      </c>
      <c r="I50" s="47">
        <f t="shared" si="7"/>
        <v>0</v>
      </c>
      <c r="J50" s="47">
        <f t="shared" si="8"/>
        <v>0</v>
      </c>
      <c r="K50" s="63">
        <f t="shared" si="9"/>
        <v>0</v>
      </c>
      <c r="L50" s="55">
        <f t="shared" si="10"/>
        <v>0</v>
      </c>
      <c r="N50" s="33">
        <v>31</v>
      </c>
      <c r="O50" s="28"/>
      <c r="P50" s="88"/>
      <c r="Q50" s="88"/>
      <c r="R50" s="37"/>
      <c r="S50" s="20"/>
      <c r="T50" s="3"/>
      <c r="U50" s="3"/>
      <c r="V50" s="3"/>
      <c r="W50" s="3"/>
      <c r="X50" s="10"/>
      <c r="Y50" s="17"/>
      <c r="Z50" s="2"/>
      <c r="AA50" s="2"/>
      <c r="AB50" s="2"/>
      <c r="AC50" s="3"/>
      <c r="AD50" s="37"/>
      <c r="AE50" s="9"/>
      <c r="AF50" s="2"/>
      <c r="AG50" s="2"/>
      <c r="AH50" s="2"/>
      <c r="AI50" s="3"/>
      <c r="AJ50" s="10"/>
      <c r="AK50" s="28"/>
      <c r="AL50" s="3"/>
      <c r="AM50" s="3"/>
      <c r="AN50" s="10"/>
      <c r="AO50" s="28"/>
      <c r="AP50" s="28"/>
      <c r="AQ50" s="3"/>
      <c r="AR50" s="10"/>
      <c r="AS50" s="20"/>
      <c r="AT50" s="28"/>
      <c r="AU50" s="3"/>
      <c r="AV50" s="10"/>
      <c r="AW50" s="20"/>
      <c r="AX50" s="28"/>
      <c r="AY50" s="3"/>
      <c r="AZ50" s="10"/>
      <c r="BA50" s="20"/>
      <c r="BB50" s="28"/>
      <c r="BC50" s="3"/>
      <c r="BD50" s="10"/>
      <c r="BE50" s="23"/>
      <c r="BF50" s="28"/>
      <c r="BG50" s="3"/>
      <c r="BH50" s="10"/>
      <c r="BI50" s="20"/>
      <c r="BJ50" s="28"/>
      <c r="BK50" s="3"/>
      <c r="BL50" s="10"/>
    </row>
    <row r="51" spans="2:64" ht="15" thickBot="1" x14ac:dyDescent="0.35">
      <c r="B51" s="64">
        <f t="shared" si="0"/>
        <v>0</v>
      </c>
      <c r="C51" s="65">
        <f t="shared" si="1"/>
        <v>0</v>
      </c>
      <c r="D51" s="65">
        <f t="shared" si="2"/>
        <v>0</v>
      </c>
      <c r="E51" s="65">
        <f t="shared" si="3"/>
        <v>0</v>
      </c>
      <c r="F51" s="65">
        <f t="shared" si="4"/>
        <v>0</v>
      </c>
      <c r="G51" s="65">
        <f t="shared" si="5"/>
        <v>0</v>
      </c>
      <c r="H51" s="65">
        <f t="shared" si="6"/>
        <v>0</v>
      </c>
      <c r="I51" s="65">
        <f t="shared" si="7"/>
        <v>0</v>
      </c>
      <c r="J51" s="65">
        <f t="shared" si="8"/>
        <v>0</v>
      </c>
      <c r="K51" s="66">
        <f t="shared" si="9"/>
        <v>0</v>
      </c>
      <c r="L51" s="55">
        <f t="shared" si="10"/>
        <v>0</v>
      </c>
      <c r="N51" s="33">
        <v>32</v>
      </c>
      <c r="O51" s="28"/>
      <c r="P51" s="88"/>
      <c r="Q51" s="88"/>
      <c r="R51" s="37"/>
      <c r="S51" s="20"/>
      <c r="T51" s="3"/>
      <c r="U51" s="3"/>
      <c r="V51" s="3"/>
      <c r="W51" s="3"/>
      <c r="X51" s="10"/>
      <c r="Y51" s="17"/>
      <c r="Z51" s="2"/>
      <c r="AA51" s="2"/>
      <c r="AB51" s="2"/>
      <c r="AC51" s="3"/>
      <c r="AD51" s="37"/>
      <c r="AE51" s="9"/>
      <c r="AF51" s="2"/>
      <c r="AG51" s="2"/>
      <c r="AH51" s="2"/>
      <c r="AI51" s="3"/>
      <c r="AJ51" s="10"/>
      <c r="AK51" s="28"/>
      <c r="AL51" s="3"/>
      <c r="AM51" s="3"/>
      <c r="AN51" s="10"/>
      <c r="AO51" s="28"/>
      <c r="AP51" s="28"/>
      <c r="AQ51" s="3"/>
      <c r="AR51" s="10"/>
      <c r="AS51" s="20"/>
      <c r="AT51" s="28"/>
      <c r="AU51" s="3"/>
      <c r="AV51" s="10"/>
      <c r="AW51" s="20"/>
      <c r="AX51" s="28"/>
      <c r="AY51" s="3"/>
      <c r="AZ51" s="10"/>
      <c r="BA51" s="20"/>
      <c r="BB51" s="28"/>
      <c r="BC51" s="3"/>
      <c r="BD51" s="10"/>
      <c r="BE51" s="23"/>
      <c r="BF51" s="28"/>
      <c r="BG51" s="3"/>
      <c r="BH51" s="10"/>
      <c r="BI51" s="20"/>
      <c r="BJ51" s="28"/>
      <c r="BK51" s="3"/>
      <c r="BL51" s="10"/>
    </row>
    <row r="52" spans="2:64" x14ac:dyDescent="0.3">
      <c r="N52" s="34" t="s">
        <v>25</v>
      </c>
      <c r="O52" s="29"/>
      <c r="P52" s="89"/>
      <c r="Q52" s="89"/>
      <c r="R52" s="38"/>
      <c r="S52" s="18">
        <f>AVERAGE(S20:S51)</f>
        <v>9.9999999999999995E-7</v>
      </c>
      <c r="T52" s="4">
        <f>AVERAGE(T20:T51)</f>
        <v>9.9999999999999995E-7</v>
      </c>
      <c r="U52" s="4">
        <f>AVERAGE(U20:U51)</f>
        <v>9.9999999999999995E-7</v>
      </c>
      <c r="V52" s="4" t="e">
        <f>AVERAGE(V20:V51)</f>
        <v>#DIV/0!</v>
      </c>
      <c r="W52" s="4">
        <f>(SUM(D20:D51)+SUM(T20:T51)+SUM(S20:S51)*0.35)/SUM(S20:U51)</f>
        <v>0.45</v>
      </c>
      <c r="X52" s="48" t="e">
        <f>AVERAGE(X20:X51)</f>
        <v>#DIV/0!</v>
      </c>
      <c r="Y52" s="58">
        <f>AVERAGE(Y20:Y51)</f>
        <v>9.9999999999999995E-7</v>
      </c>
      <c r="Z52" s="56">
        <f>AVERAGE(Z20:Z51)</f>
        <v>9.9999999999999995E-7</v>
      </c>
      <c r="AA52" s="56">
        <f>AVERAGE(AA20:AA51)</f>
        <v>9.9999999999999995E-7</v>
      </c>
      <c r="AB52" s="56" t="e">
        <f>AVERAGE(AB20:AB51)</f>
        <v>#DIV/0!</v>
      </c>
      <c r="AC52" s="56">
        <f>(SUM(B20:B51)+SUM(Z20:Z51)+SUM(Y20:Y51)*0.35)/SUM(Y20:AA51)</f>
        <v>0.45</v>
      </c>
      <c r="AD52" s="76" t="e">
        <f>AVERAGE(AD20:AD51)</f>
        <v>#DIV/0!</v>
      </c>
      <c r="AE52" s="79">
        <f>AVERAGE(AE20:AE51)</f>
        <v>9.9999999999999995E-7</v>
      </c>
      <c r="AF52" s="56">
        <f>AVERAGE(AF20:AF51)</f>
        <v>9.9999999999999995E-7</v>
      </c>
      <c r="AG52" s="56">
        <f>AVERAGE(AG20:AG51)</f>
        <v>9.9999999999999995E-7</v>
      </c>
      <c r="AH52" s="56" t="e">
        <f>AVERAGE(AH20:AH51)</f>
        <v>#DIV/0!</v>
      </c>
      <c r="AI52" s="56">
        <f>(SUM(C20:C51)+SUM(AF20:AF51)+SUM(AE20:AE51)*0.35)/SUM(AE20:AG51)</f>
        <v>0.45</v>
      </c>
      <c r="AJ52" s="57" t="e">
        <f>AVERAGE(AJ20:AJ51)</f>
        <v>#DIV/0!</v>
      </c>
      <c r="AK52" s="58">
        <f>AVERAGE(AK20:AK51)</f>
        <v>5.3636363636363633</v>
      </c>
      <c r="AL52" s="56">
        <f>AVERAGE(AL20:AL51)</f>
        <v>7.45</v>
      </c>
      <c r="AM52" s="56">
        <f>SUM(E20:E51)/SUM(AK20:AK51)</f>
        <v>8.8305084745762716</v>
      </c>
      <c r="AN52" s="57">
        <f>AVERAGE(AN20:AN51)</f>
        <v>16.100000000000001</v>
      </c>
      <c r="AO52" s="58">
        <f>AVERAGE(AO20:AO51)</f>
        <v>1.6363637272727274</v>
      </c>
      <c r="AP52" s="56">
        <f>AVERAGE(AP20:AP51)</f>
        <v>5.2</v>
      </c>
      <c r="AQ52" s="56">
        <f>SUM(F20:F51)/SUM(AO20:AO51)</f>
        <v>9.9444438919753395</v>
      </c>
      <c r="AR52" s="57">
        <f>AVERAGE(AR20:AR51)</f>
        <v>13.8</v>
      </c>
      <c r="AS52" s="58">
        <f>AVERAGE(AS20:AS51)</f>
        <v>4.7272727272727275</v>
      </c>
      <c r="AT52" s="56">
        <f>AVERAGE(AT20:AT51)</f>
        <v>3.5714285714285716</v>
      </c>
      <c r="AU52" s="56">
        <f>SUM(G20:G51)/SUM(AS20:AS51)</f>
        <v>5.5961538461538458</v>
      </c>
      <c r="AV52" s="57">
        <f>AVERAGE(AV20:AV51)</f>
        <v>14</v>
      </c>
      <c r="AW52" s="58">
        <f>AVERAGE(AW20:AW51)</f>
        <v>9.9999999999999995E-7</v>
      </c>
      <c r="AX52" s="56" t="e">
        <f>AVERAGE(AX20:AX51)</f>
        <v>#DIV/0!</v>
      </c>
      <c r="AY52" s="56">
        <f>SUM(H20:H51)/SUM(AW20:AW51)</f>
        <v>0</v>
      </c>
      <c r="AZ52" s="57" t="e">
        <f>AVERAGE(AZ20:AZ51)</f>
        <v>#DIV/0!</v>
      </c>
      <c r="BA52" s="58">
        <f>AVERAGE(BA20:BA51)</f>
        <v>9.9999999999999995E-7</v>
      </c>
      <c r="BB52" s="56" t="e">
        <f>AVERAGE(BB20:BB51)</f>
        <v>#DIV/0!</v>
      </c>
      <c r="BC52" s="56">
        <f>SUM(I20:I51)/SUM(BA20:BA51)</f>
        <v>0</v>
      </c>
      <c r="BD52" s="57" t="e">
        <f>AVERAGE(BD20:BD51)</f>
        <v>#DIV/0!</v>
      </c>
      <c r="BE52" s="58">
        <f>AVERAGE(BE20:BE51)</f>
        <v>9.9999999999999995E-7</v>
      </c>
      <c r="BF52" s="56" t="e">
        <f>AVERAGE(BF20:BF51)</f>
        <v>#DIV/0!</v>
      </c>
      <c r="BG52" s="56">
        <f>SUM(J20:J51)/SUM(BE20:BE51)</f>
        <v>0</v>
      </c>
      <c r="BH52" s="57" t="e">
        <f>AVERAGE(BH20:BH51)</f>
        <v>#DIV/0!</v>
      </c>
      <c r="BI52" s="58">
        <f>AVERAGE(BI20:BI51)</f>
        <v>0.18181827272727275</v>
      </c>
      <c r="BJ52" s="56">
        <f>AVERAGE(BJ20:BJ51)</f>
        <v>5</v>
      </c>
      <c r="BK52" s="56">
        <f>SUM(K20:K51)/SUM(BI20:BI51)</f>
        <v>6.9999965000017497</v>
      </c>
      <c r="BL52" s="57">
        <f>AVERAGE(BL20:BL51)</f>
        <v>15</v>
      </c>
    </row>
    <row r="53" spans="2:64" x14ac:dyDescent="0.3">
      <c r="N53" s="34" t="s">
        <v>30</v>
      </c>
      <c r="O53" s="29"/>
      <c r="P53" s="89"/>
      <c r="Q53" s="89"/>
      <c r="R53" s="38"/>
      <c r="S53" s="18"/>
      <c r="T53" s="4"/>
      <c r="U53" s="4"/>
      <c r="V53" s="4"/>
      <c r="W53" s="5">
        <f>SUM(D20:D51)/SUM(U20:U51)</f>
        <v>0</v>
      </c>
      <c r="X53" s="38"/>
      <c r="Y53" s="58"/>
      <c r="Z53" s="56"/>
      <c r="AA53" s="56"/>
      <c r="AB53" s="56"/>
      <c r="AC53" s="77">
        <f>SUM(B20:B51)/SUM(AA20:AA51)</f>
        <v>0</v>
      </c>
      <c r="AD53" s="78"/>
      <c r="AE53" s="79"/>
      <c r="AF53" s="56"/>
      <c r="AG53" s="56"/>
      <c r="AH53" s="56"/>
      <c r="AI53" s="77">
        <f>SUM(C20:C51)/SUM(AG20:AG51)</f>
        <v>0</v>
      </c>
      <c r="AJ53" s="80"/>
      <c r="AK53" s="29"/>
      <c r="AL53" s="5"/>
      <c r="AM53" s="5"/>
      <c r="AN53" s="12"/>
      <c r="AO53" s="29"/>
      <c r="AP53" s="29"/>
      <c r="AQ53" s="5"/>
      <c r="AR53" s="12"/>
      <c r="AS53" s="21"/>
      <c r="AT53" s="29"/>
      <c r="AU53" s="5"/>
      <c r="AV53" s="12"/>
      <c r="AW53" s="21"/>
      <c r="AX53" s="29"/>
      <c r="AY53" s="5"/>
      <c r="AZ53" s="12"/>
      <c r="BA53" s="21"/>
      <c r="BB53" s="29"/>
      <c r="BC53" s="5"/>
      <c r="BD53" s="12"/>
      <c r="BE53" s="21"/>
      <c r="BF53" s="29"/>
      <c r="BG53" s="5"/>
      <c r="BH53" s="12"/>
      <c r="BI53" s="21"/>
      <c r="BJ53" s="29"/>
      <c r="BK53" s="5"/>
      <c r="BL53" s="12"/>
    </row>
    <row r="54" spans="2:64" x14ac:dyDescent="0.3">
      <c r="N54" s="34" t="s">
        <v>11</v>
      </c>
      <c r="O54" s="29"/>
      <c r="P54" s="89"/>
      <c r="Q54" s="89"/>
      <c r="R54" s="38"/>
      <c r="S54" s="21"/>
      <c r="T54" s="5"/>
      <c r="U54" s="5"/>
      <c r="V54" s="5"/>
      <c r="W54" s="5"/>
      <c r="X54" s="12"/>
      <c r="Y54" s="18"/>
      <c r="Z54" s="4"/>
      <c r="AA54" s="4"/>
      <c r="AB54" s="4"/>
      <c r="AC54" s="5"/>
      <c r="AD54" s="38"/>
      <c r="AE54" s="11"/>
      <c r="AF54" s="4"/>
      <c r="AG54" s="4"/>
      <c r="AH54" s="4"/>
      <c r="AI54" s="5"/>
      <c r="AJ54" s="12"/>
      <c r="AK54" s="29"/>
      <c r="AL54" s="5"/>
      <c r="AM54" s="5"/>
      <c r="AN54" s="12"/>
      <c r="AO54" s="29"/>
      <c r="AP54" s="29"/>
      <c r="AQ54" s="5"/>
      <c r="AR54" s="12"/>
      <c r="AS54" s="21"/>
      <c r="AT54" s="29"/>
      <c r="AU54" s="5"/>
      <c r="AV54" s="12"/>
      <c r="AW54" s="21"/>
      <c r="AX54" s="29"/>
      <c r="AY54" s="5"/>
      <c r="AZ54" s="12"/>
      <c r="BA54" s="21"/>
      <c r="BB54" s="29"/>
      <c r="BC54" s="5"/>
      <c r="BD54" s="12"/>
      <c r="BE54" s="21"/>
      <c r="BF54" s="29"/>
      <c r="BG54" s="5"/>
      <c r="BH54" s="12"/>
      <c r="BI54" s="21"/>
      <c r="BJ54" s="29"/>
      <c r="BK54" s="5"/>
      <c r="BL54" s="12"/>
    </row>
    <row r="55" spans="2:64" ht="15" thickBot="1" x14ac:dyDescent="0.35">
      <c r="N55" s="35" t="s">
        <v>12</v>
      </c>
      <c r="O55" s="30"/>
      <c r="P55" s="90"/>
      <c r="Q55" s="90"/>
      <c r="R55" s="39"/>
      <c r="S55" s="22"/>
      <c r="T55" s="15"/>
      <c r="U55" s="15"/>
      <c r="V55" s="15"/>
      <c r="W55" s="15"/>
      <c r="X55" s="16"/>
      <c r="Y55" s="19"/>
      <c r="Z55" s="14"/>
      <c r="AA55" s="14"/>
      <c r="AB55" s="14"/>
      <c r="AC55" s="15"/>
      <c r="AD55" s="39"/>
      <c r="AE55" s="13"/>
      <c r="AF55" s="14"/>
      <c r="AG55" s="14"/>
      <c r="AH55" s="14"/>
      <c r="AI55" s="15"/>
      <c r="AJ55" s="16"/>
      <c r="AK55" s="30"/>
      <c r="AL55" s="15"/>
      <c r="AM55" s="15"/>
      <c r="AN55" s="16"/>
      <c r="AO55" s="30"/>
      <c r="AP55" s="30"/>
      <c r="AQ55" s="15"/>
      <c r="AR55" s="16"/>
      <c r="AS55" s="22"/>
      <c r="AT55" s="30"/>
      <c r="AU55" s="15"/>
      <c r="AV55" s="16"/>
      <c r="AW55" s="22"/>
      <c r="AX55" s="30"/>
      <c r="AY55" s="15"/>
      <c r="AZ55" s="16"/>
      <c r="BA55" s="22"/>
      <c r="BB55" s="30"/>
      <c r="BC55" s="15"/>
      <c r="BD55" s="16"/>
      <c r="BE55" s="22"/>
      <c r="BF55" s="30"/>
      <c r="BG55" s="15"/>
      <c r="BH55" s="16"/>
      <c r="BI55" s="22"/>
      <c r="BJ55" s="30"/>
      <c r="BK55" s="15"/>
      <c r="BL55" s="16"/>
    </row>
    <row r="60" spans="2:64" ht="15" thickBot="1" x14ac:dyDescent="0.35">
      <c r="U60">
        <f>T13</f>
        <v>0</v>
      </c>
      <c r="V60" t="s">
        <v>33</v>
      </c>
    </row>
    <row r="61" spans="2:64" ht="15" thickBot="1" x14ac:dyDescent="0.35">
      <c r="B61" s="59" t="s">
        <v>44</v>
      </c>
      <c r="C61" s="60"/>
      <c r="D61" s="61"/>
      <c r="E61" s="47"/>
      <c r="F61" s="47"/>
      <c r="I61" s="47"/>
      <c r="J61" s="47"/>
      <c r="K61" s="47"/>
      <c r="O61" t="s">
        <v>161</v>
      </c>
    </row>
    <row r="62" spans="2:64" ht="15" thickBot="1" x14ac:dyDescent="0.35">
      <c r="B62" s="73" t="str">
        <f>V62</f>
        <v>D, см</v>
      </c>
      <c r="C62" s="74" t="str">
        <f>W62</f>
        <v>h, м</v>
      </c>
      <c r="D62" s="75" t="str">
        <f>X62</f>
        <v>A, лет</v>
      </c>
      <c r="E62" s="47"/>
      <c r="F62" s="47"/>
      <c r="I62" s="47"/>
      <c r="J62" s="47"/>
      <c r="K62" s="47"/>
      <c r="O62" s="115"/>
      <c r="P62" s="116"/>
      <c r="Q62" s="116"/>
      <c r="R62" s="116"/>
      <c r="S62" s="116"/>
      <c r="T62" s="116"/>
      <c r="U62" s="116" t="s">
        <v>24</v>
      </c>
      <c r="V62" s="116" t="str">
        <f>AB19</f>
        <v>D, см</v>
      </c>
      <c r="W62" s="116" t="str">
        <f>AC19</f>
        <v>h, м</v>
      </c>
      <c r="X62" s="117" t="str">
        <f>AD19</f>
        <v>A, лет</v>
      </c>
    </row>
    <row r="63" spans="2:64" x14ac:dyDescent="0.3">
      <c r="B63" s="81" t="e">
        <f>V63*U63</f>
        <v>#DIV/0!</v>
      </c>
      <c r="C63" s="82">
        <f>W63*U63</f>
        <v>1.352643064548127E-6</v>
      </c>
      <c r="D63" s="83" t="e">
        <f>X63*U63</f>
        <v>#DIV/0!</v>
      </c>
      <c r="E63" s="47"/>
      <c r="F63" s="85"/>
      <c r="H63" s="47"/>
      <c r="I63" s="47"/>
      <c r="J63" s="47"/>
      <c r="K63" s="47"/>
      <c r="O63" s="138">
        <f t="shared" ref="O63:O72" si="11">U63/$U$75*10</f>
        <v>2.5190813926953696E-6</v>
      </c>
      <c r="P63" s="139"/>
      <c r="Q63" s="139"/>
      <c r="R63" s="47" t="str">
        <f>S18</f>
        <v>Сосна</v>
      </c>
      <c r="S63" s="47"/>
      <c r="T63" s="47"/>
      <c r="U63" s="123">
        <f>SUM(S52:U52)/(AE16*AE16*3.15/10000*1000)</f>
        <v>3.0058734767736153E-6</v>
      </c>
      <c r="V63" s="139" t="e">
        <f>V52</f>
        <v>#DIV/0!</v>
      </c>
      <c r="W63" s="139">
        <f>W52</f>
        <v>0.45</v>
      </c>
      <c r="X63" s="140" t="e">
        <f>X52</f>
        <v>#DIV/0!</v>
      </c>
      <c r="Y63" s="55"/>
    </row>
    <row r="64" spans="2:64" x14ac:dyDescent="0.3">
      <c r="B64" s="81" t="e">
        <f t="shared" ref="B64:B72" si="12">V64*U64</f>
        <v>#DIV/0!</v>
      </c>
      <c r="C64" s="82">
        <f t="shared" ref="C64:C72" si="13">W64*U64</f>
        <v>1.352643064548127E-6</v>
      </c>
      <c r="D64" s="83" t="e">
        <f t="shared" ref="D64:D72" si="14">X64*U64</f>
        <v>#DIV/0!</v>
      </c>
      <c r="E64" s="47"/>
      <c r="F64" s="85"/>
      <c r="H64" s="47"/>
      <c r="I64" s="47"/>
      <c r="J64" s="47"/>
      <c r="K64" s="47"/>
      <c r="O64" s="138">
        <f t="shared" si="11"/>
        <v>2.5190813926953696E-6</v>
      </c>
      <c r="P64" s="139"/>
      <c r="Q64" s="139"/>
      <c r="R64" s="47" t="str">
        <f>Y18</f>
        <v>Ель из подроста</v>
      </c>
      <c r="S64" s="47"/>
      <c r="T64" s="47"/>
      <c r="U64" s="123">
        <f>SUM(Y52:AA52)/(AE16*AE16*3.15/10000*1000)</f>
        <v>3.0058734767736153E-6</v>
      </c>
      <c r="V64" s="139" t="e">
        <f>AB52</f>
        <v>#DIV/0!</v>
      </c>
      <c r="W64" s="139">
        <f>AC52</f>
        <v>0.45</v>
      </c>
      <c r="X64" s="140" t="e">
        <f>AD52</f>
        <v>#DIV/0!</v>
      </c>
      <c r="Y64" s="55"/>
    </row>
    <row r="65" spans="2:25" x14ac:dyDescent="0.3">
      <c r="B65" s="81" t="e">
        <f t="shared" si="12"/>
        <v>#DIV/0!</v>
      </c>
      <c r="C65" s="82">
        <f t="shared" si="13"/>
        <v>1.352643064548127E-6</v>
      </c>
      <c r="D65" s="83" t="e">
        <f t="shared" si="14"/>
        <v>#DIV/0!</v>
      </c>
      <c r="E65" s="47"/>
      <c r="F65" s="47"/>
      <c r="G65" s="47"/>
      <c r="H65" s="47"/>
      <c r="I65" s="47"/>
      <c r="J65" s="47"/>
      <c r="K65" s="47"/>
      <c r="O65" s="138">
        <f t="shared" si="11"/>
        <v>2.5190813926953696E-6</v>
      </c>
      <c r="P65" s="139"/>
      <c r="Q65" s="139"/>
      <c r="R65" s="47" t="str">
        <f>AE18</f>
        <v>ЕЛЬ лесные культуры</v>
      </c>
      <c r="S65" s="47"/>
      <c r="T65" s="47"/>
      <c r="U65" s="123">
        <f>SUM(AE52:AG52)/(AE16*AE16*3.15/10000*1000)</f>
        <v>3.0058734767736153E-6</v>
      </c>
      <c r="V65" s="139" t="e">
        <f>AH52</f>
        <v>#DIV/0!</v>
      </c>
      <c r="W65" s="139">
        <f>AI52</f>
        <v>0.45</v>
      </c>
      <c r="X65" s="140" t="e">
        <f>AJ52</f>
        <v>#DIV/0!</v>
      </c>
      <c r="Y65" s="55"/>
    </row>
    <row r="66" spans="2:25" x14ac:dyDescent="0.3">
      <c r="B66" s="81">
        <f t="shared" si="12"/>
        <v>40.03732383987402</v>
      </c>
      <c r="C66" s="82">
        <f t="shared" si="13"/>
        <v>47.456366103001628</v>
      </c>
      <c r="D66" s="83">
        <f t="shared" si="14"/>
        <v>86.523612593553253</v>
      </c>
      <c r="E66" s="47"/>
      <c r="F66" s="47"/>
      <c r="G66" s="47"/>
      <c r="H66" s="47"/>
      <c r="I66" s="47"/>
      <c r="J66" s="47"/>
      <c r="K66" s="47"/>
      <c r="O66" s="138">
        <f t="shared" si="11"/>
        <v>4.5038121869402064</v>
      </c>
      <c r="P66" s="139"/>
      <c r="Q66" s="139"/>
      <c r="R66" s="47" t="str">
        <f>AK18</f>
        <v>Берёза</v>
      </c>
      <c r="S66" s="47"/>
      <c r="T66" s="47"/>
      <c r="U66" s="123">
        <f>AK52/(AE16*AE16*3.15/10000*1000)</f>
        <v>5.374137428171009</v>
      </c>
      <c r="V66" s="139">
        <f>AL52</f>
        <v>7.45</v>
      </c>
      <c r="W66" s="139">
        <f>AM52</f>
        <v>8.8305084745762716</v>
      </c>
      <c r="X66" s="140">
        <f>AN52</f>
        <v>16.100000000000001</v>
      </c>
      <c r="Y66" s="55"/>
    </row>
    <row r="67" spans="2:25" x14ac:dyDescent="0.3">
      <c r="B67" s="81">
        <f t="shared" si="12"/>
        <v>8.5257506986834084</v>
      </c>
      <c r="C67" s="82">
        <f t="shared" si="13"/>
        <v>16.304586434620521</v>
      </c>
      <c r="D67" s="83">
        <f t="shared" si="14"/>
        <v>22.626030700352125</v>
      </c>
      <c r="E67" s="47"/>
      <c r="F67" s="47"/>
      <c r="G67" s="47"/>
      <c r="H67" s="47"/>
      <c r="I67" s="47"/>
      <c r="J67" s="47"/>
      <c r="K67" s="47"/>
      <c r="O67" s="138">
        <f t="shared" si="11"/>
        <v>1.3740444723514562</v>
      </c>
      <c r="P67" s="139"/>
      <c r="Q67" s="139"/>
      <c r="R67" s="47" t="str">
        <f>AO18</f>
        <v>Осина</v>
      </c>
      <c r="S67" s="47"/>
      <c r="T67" s="47"/>
      <c r="U67" s="123">
        <f>AO52/(AE16*AE16*3.15/10000*1000)</f>
        <v>1.6395674420545017</v>
      </c>
      <c r="V67" s="139">
        <f>AP52</f>
        <v>5.2</v>
      </c>
      <c r="W67" s="139">
        <f>AQ52</f>
        <v>9.9444438919753395</v>
      </c>
      <c r="X67" s="140">
        <f>AR52</f>
        <v>13.8</v>
      </c>
      <c r="Y67" s="55"/>
    </row>
    <row r="68" spans="2:25" x14ac:dyDescent="0.3">
      <c r="B68" s="81">
        <f t="shared" si="12"/>
        <v>16.916171081409956</v>
      </c>
      <c r="C68" s="82">
        <f t="shared" si="13"/>
        <v>26.506338840640062</v>
      </c>
      <c r="D68" s="83">
        <f t="shared" si="14"/>
        <v>66.311390639127026</v>
      </c>
      <c r="E68" s="47"/>
      <c r="F68" s="47"/>
      <c r="G68" s="47"/>
      <c r="H68" s="47"/>
      <c r="I68" s="47"/>
      <c r="J68" s="47"/>
      <c r="K68" s="47"/>
      <c r="O68" s="138">
        <f t="shared" si="11"/>
        <v>3.9694615884896738</v>
      </c>
      <c r="P68" s="139"/>
      <c r="Q68" s="139"/>
      <c r="R68" s="47" t="str">
        <f>AS18</f>
        <v>Ольха серая</v>
      </c>
      <c r="S68" s="47"/>
      <c r="T68" s="47"/>
      <c r="U68" s="123">
        <f>AS52/(AE16*AE16*3.15/10000*1000)</f>
        <v>4.736527902794788</v>
      </c>
      <c r="V68" s="139">
        <f>AT52</f>
        <v>3.5714285714285716</v>
      </c>
      <c r="W68" s="139">
        <f>AU52</f>
        <v>5.5961538461538458</v>
      </c>
      <c r="X68" s="140">
        <f>AV52</f>
        <v>14</v>
      </c>
      <c r="Y68" s="55"/>
    </row>
    <row r="69" spans="2:25" x14ac:dyDescent="0.3">
      <c r="B69" s="81" t="e">
        <f t="shared" si="12"/>
        <v>#DIV/0!</v>
      </c>
      <c r="C69" s="82">
        <f t="shared" si="13"/>
        <v>0</v>
      </c>
      <c r="D69" s="83" t="e">
        <f t="shared" si="14"/>
        <v>#DIV/0!</v>
      </c>
      <c r="E69" s="47"/>
      <c r="F69" s="47"/>
      <c r="G69" s="47"/>
      <c r="H69" s="47"/>
      <c r="I69" s="47"/>
      <c r="J69" s="47"/>
      <c r="K69" s="47"/>
      <c r="O69" s="138">
        <f t="shared" si="11"/>
        <v>8.3969379756512305E-7</v>
      </c>
      <c r="P69" s="139"/>
      <c r="Q69" s="139"/>
      <c r="R69" s="47" t="str">
        <f>AW18</f>
        <v>Ива</v>
      </c>
      <c r="S69" s="47"/>
      <c r="T69" s="47"/>
      <c r="U69" s="123">
        <f>AW52/(AE16*AE16*3.15/10000*1000)</f>
        <v>1.001957825591205E-6</v>
      </c>
      <c r="V69" s="139" t="e">
        <f>AX52</f>
        <v>#DIV/0!</v>
      </c>
      <c r="W69" s="139">
        <f>AY52</f>
        <v>0</v>
      </c>
      <c r="X69" s="140" t="e">
        <f>AZ52</f>
        <v>#DIV/0!</v>
      </c>
      <c r="Y69" s="55"/>
    </row>
    <row r="70" spans="2:25" x14ac:dyDescent="0.3">
      <c r="B70" s="81" t="e">
        <f t="shared" si="12"/>
        <v>#DIV/0!</v>
      </c>
      <c r="C70" s="82">
        <f t="shared" si="13"/>
        <v>0</v>
      </c>
      <c r="D70" s="83" t="e">
        <f t="shared" si="14"/>
        <v>#DIV/0!</v>
      </c>
      <c r="E70" s="47"/>
      <c r="F70" s="47"/>
      <c r="G70" s="47"/>
      <c r="H70" s="47"/>
      <c r="I70" s="47"/>
      <c r="J70" s="47"/>
      <c r="K70" s="47"/>
      <c r="O70" s="138">
        <f t="shared" si="11"/>
        <v>8.3969379756512305E-7</v>
      </c>
      <c r="P70" s="139"/>
      <c r="Q70" s="139"/>
      <c r="R70" s="47" t="str">
        <f>BA18</f>
        <v>Чёрёмуха</v>
      </c>
      <c r="S70" s="47"/>
      <c r="T70" s="47"/>
      <c r="U70" s="123">
        <f>BA52/(AE16*AE16*3.15/10000*1000)</f>
        <v>1.001957825591205E-6</v>
      </c>
      <c r="V70" s="139" t="e">
        <f>BB52</f>
        <v>#DIV/0!</v>
      </c>
      <c r="W70" s="139">
        <f>BC52</f>
        <v>0</v>
      </c>
      <c r="X70" s="140" t="e">
        <f>BD52</f>
        <v>#DIV/0!</v>
      </c>
      <c r="Y70" s="55"/>
    </row>
    <row r="71" spans="2:25" x14ac:dyDescent="0.3">
      <c r="B71" s="81" t="e">
        <f t="shared" si="12"/>
        <v>#DIV/0!</v>
      </c>
      <c r="C71" s="82">
        <f t="shared" si="13"/>
        <v>0</v>
      </c>
      <c r="D71" s="83" t="e">
        <f t="shared" si="14"/>
        <v>#DIV/0!</v>
      </c>
      <c r="E71" s="47"/>
      <c r="F71" s="47"/>
      <c r="G71" s="47"/>
      <c r="H71" s="47"/>
      <c r="I71" s="47"/>
      <c r="J71" s="47"/>
      <c r="K71" s="47"/>
      <c r="O71" s="138">
        <f t="shared" si="11"/>
        <v>8.3969379756512305E-7</v>
      </c>
      <c r="P71" s="139"/>
      <c r="Q71" s="139"/>
      <c r="R71" s="47" t="str">
        <f>BE18</f>
        <v>Дуб</v>
      </c>
      <c r="S71" s="47"/>
      <c r="T71" s="47"/>
      <c r="U71" s="123">
        <f>BE52/(AE16*AE16*3.15/10000*1000)</f>
        <v>1.001957825591205E-6</v>
      </c>
      <c r="V71" s="139" t="e">
        <f>BF52</f>
        <v>#DIV/0!</v>
      </c>
      <c r="W71" s="139">
        <f>BG52</f>
        <v>0</v>
      </c>
      <c r="X71" s="140" t="e">
        <f>BH52</f>
        <v>#DIV/0!</v>
      </c>
      <c r="Y71" s="55"/>
    </row>
    <row r="72" spans="2:25" x14ac:dyDescent="0.3">
      <c r="B72" s="81">
        <f t="shared" si="12"/>
        <v>0.91087120597283455</v>
      </c>
      <c r="C72" s="82">
        <f t="shared" si="13"/>
        <v>1.2752190507524428</v>
      </c>
      <c r="D72" s="83">
        <f t="shared" si="14"/>
        <v>2.7326136179185037</v>
      </c>
      <c r="E72" s="47"/>
      <c r="F72" s="47"/>
      <c r="G72" s="47"/>
      <c r="H72" s="47"/>
      <c r="I72" s="47"/>
      <c r="J72" s="47"/>
      <c r="K72" s="47"/>
      <c r="O72" s="138">
        <f t="shared" si="11"/>
        <v>0.15267167589309491</v>
      </c>
      <c r="P72" s="139"/>
      <c r="Q72" s="139"/>
      <c r="R72" s="47" t="str">
        <f>BI18</f>
        <v>Рябина</v>
      </c>
      <c r="S72" s="47"/>
      <c r="T72" s="47"/>
      <c r="U72" s="123">
        <f>BI52/(AE16*AE16*3.15/10000*1000)</f>
        <v>0.1821742411945669</v>
      </c>
      <c r="V72" s="139">
        <f>BJ52</f>
        <v>5</v>
      </c>
      <c r="W72" s="139">
        <f>BK52</f>
        <v>6.9999965000017497</v>
      </c>
      <c r="X72" s="140">
        <f>BL52</f>
        <v>15</v>
      </c>
      <c r="Y72" s="55"/>
    </row>
    <row r="73" spans="2:25" x14ac:dyDescent="0.3">
      <c r="B73" s="62">
        <f>AC72*AA72</f>
        <v>0</v>
      </c>
      <c r="C73" s="71">
        <f>AI72*AG72</f>
        <v>0</v>
      </c>
      <c r="D73" s="63"/>
      <c r="E73" s="47"/>
      <c r="F73" s="47"/>
      <c r="G73" s="47"/>
      <c r="H73" s="47"/>
      <c r="I73" s="47"/>
      <c r="J73" s="47"/>
      <c r="K73" s="47"/>
      <c r="O73" s="118"/>
      <c r="P73" s="47"/>
      <c r="Q73" s="47"/>
      <c r="R73" s="47"/>
      <c r="S73" s="47"/>
      <c r="T73" s="47"/>
      <c r="U73" s="141"/>
      <c r="V73" s="141"/>
      <c r="W73" s="141"/>
      <c r="X73" s="140"/>
      <c r="Y73" s="55"/>
    </row>
    <row r="74" spans="2:25" x14ac:dyDescent="0.3">
      <c r="B74" s="62">
        <f>AC73*AA73</f>
        <v>0</v>
      </c>
      <c r="C74" s="71">
        <f>AI73*AG73</f>
        <v>0</v>
      </c>
      <c r="D74" s="63">
        <f>W73*U73</f>
        <v>0</v>
      </c>
      <c r="E74" s="47"/>
      <c r="F74" s="47"/>
      <c r="G74" s="47"/>
      <c r="H74" s="47"/>
      <c r="I74" s="47"/>
      <c r="J74" s="47"/>
      <c r="K74" s="47"/>
      <c r="O74" s="118"/>
      <c r="P74" s="47"/>
      <c r="Q74" s="47"/>
      <c r="R74" s="47"/>
      <c r="S74" s="47"/>
      <c r="T74" s="47"/>
      <c r="U74" s="141"/>
      <c r="V74" s="141"/>
      <c r="W74" s="141"/>
      <c r="X74" s="140"/>
      <c r="Y74" s="55"/>
    </row>
    <row r="75" spans="2:25" x14ac:dyDescent="0.3">
      <c r="B75" s="62">
        <f>AC74*AA74</f>
        <v>0</v>
      </c>
      <c r="C75" s="71">
        <f>AI74*AG74</f>
        <v>0</v>
      </c>
      <c r="D75" s="63">
        <f>W74*U74</f>
        <v>0</v>
      </c>
      <c r="E75" s="47"/>
      <c r="F75" s="47"/>
      <c r="G75" s="47"/>
      <c r="H75" s="47"/>
      <c r="I75" s="47"/>
      <c r="J75" s="47"/>
      <c r="K75" s="47"/>
      <c r="O75" s="142">
        <f>SUM(O63:O72)</f>
        <v>10</v>
      </c>
      <c r="P75" s="143"/>
      <c r="Q75" s="143"/>
      <c r="R75" s="45" t="s">
        <v>27</v>
      </c>
      <c r="S75" s="45"/>
      <c r="T75" s="45"/>
      <c r="U75" s="144">
        <f>SUM(U63:U72)</f>
        <v>11.932419037708771</v>
      </c>
      <c r="V75" s="144" t="e">
        <f>SUM(B63:B72)/$U$75</f>
        <v>#DIV/0!</v>
      </c>
      <c r="W75" s="144">
        <f>SUM(C63:C72)/$U$75</f>
        <v>7.6717482178300687</v>
      </c>
      <c r="X75" s="145" t="e">
        <f>SUM(D63:D72)/$U$75</f>
        <v>#DIV/0!</v>
      </c>
      <c r="Y75" s="55"/>
    </row>
    <row r="76" spans="2:25" x14ac:dyDescent="0.3">
      <c r="B76" s="62">
        <f>AC75*AA75</f>
        <v>0</v>
      </c>
      <c r="C76" s="71">
        <f>AI75*AG75</f>
        <v>0</v>
      </c>
      <c r="D76" s="63"/>
      <c r="E76" s="47"/>
      <c r="F76" s="47"/>
      <c r="G76" s="47"/>
      <c r="H76" s="47"/>
      <c r="I76" s="47"/>
      <c r="J76" s="47"/>
      <c r="K76" s="47"/>
    </row>
    <row r="77" spans="2:25" ht="15" thickBot="1" x14ac:dyDescent="0.35">
      <c r="B77" s="64">
        <f>AC93*AA93</f>
        <v>0</v>
      </c>
      <c r="C77" s="72">
        <f>AI93*AG93</f>
        <v>0</v>
      </c>
      <c r="D77" s="66">
        <f>W93*U93</f>
        <v>0</v>
      </c>
      <c r="E77" s="47"/>
      <c r="F77" s="47"/>
      <c r="G77" s="47"/>
      <c r="H77" s="47"/>
      <c r="I77" s="47"/>
      <c r="J77" s="47"/>
      <c r="K77" s="47"/>
    </row>
  </sheetData>
  <mergeCells count="11">
    <mergeCell ref="AS18:AV18"/>
    <mergeCell ref="AW18:AZ18"/>
    <mergeCell ref="BA18:BD18"/>
    <mergeCell ref="BE18:BH18"/>
    <mergeCell ref="BI18:BL18"/>
    <mergeCell ref="AO18:AR18"/>
    <mergeCell ref="O18:R18"/>
    <mergeCell ref="S18:X18"/>
    <mergeCell ref="Y18:AD18"/>
    <mergeCell ref="AE18:AJ18"/>
    <mergeCell ref="AK18:AN18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BL77"/>
  <sheetViews>
    <sheetView zoomScale="80" zoomScaleNormal="80" workbookViewId="0">
      <pane xSplit="18" ySplit="19" topLeftCell="S20" activePane="bottomRight" state="frozen"/>
      <selection pane="topRight" activeCell="Q1" sqref="Q1"/>
      <selection pane="bottomLeft" activeCell="A11" sqref="A11"/>
      <selection pane="bottomRight" activeCell="Z15" sqref="Z15"/>
    </sheetView>
  </sheetViews>
  <sheetFormatPr defaultRowHeight="14.4" x14ac:dyDescent="0.3"/>
  <cols>
    <col min="2" max="2" width="16.109375" hidden="1" customWidth="1"/>
    <col min="3" max="3" width="17.5546875" hidden="1" customWidth="1"/>
    <col min="4" max="11" width="12.88671875" hidden="1" customWidth="1"/>
    <col min="18" max="18" width="11" customWidth="1"/>
    <col min="21" max="21" width="9" customWidth="1"/>
    <col min="34" max="56" width="9.88671875" bestFit="1" customWidth="1"/>
  </cols>
  <sheetData>
    <row r="1" spans="14:39" ht="15" thickBot="1" x14ac:dyDescent="0.35"/>
    <row r="2" spans="14:39" x14ac:dyDescent="0.3">
      <c r="V2" s="59"/>
      <c r="W2" s="67" t="s">
        <v>38</v>
      </c>
      <c r="X2" s="67"/>
      <c r="Y2" s="60"/>
      <c r="Z2" s="60"/>
      <c r="AA2" s="60"/>
      <c r="AB2" s="60"/>
      <c r="AC2" s="60"/>
      <c r="AD2" s="60"/>
      <c r="AE2" s="60">
        <v>8</v>
      </c>
      <c r="AF2" s="60" t="s">
        <v>142</v>
      </c>
      <c r="AG2" s="60"/>
      <c r="AH2" s="60"/>
      <c r="AI2" s="60"/>
      <c r="AJ2" s="60"/>
      <c r="AK2" s="60"/>
      <c r="AL2" s="60"/>
      <c r="AM2" s="61"/>
    </row>
    <row r="3" spans="14:39" x14ac:dyDescent="0.3">
      <c r="V3" s="62">
        <v>1</v>
      </c>
      <c r="W3" s="47" t="s">
        <v>158</v>
      </c>
      <c r="X3" s="47"/>
      <c r="Y3" s="47"/>
      <c r="Z3" s="47"/>
      <c r="AA3" s="47"/>
      <c r="AB3" s="47"/>
      <c r="AC3" s="47"/>
      <c r="AD3" s="47"/>
      <c r="AE3" s="47">
        <v>9</v>
      </c>
      <c r="AF3" s="47" t="s">
        <v>156</v>
      </c>
      <c r="AG3" s="47"/>
      <c r="AH3" s="47"/>
      <c r="AI3" s="47"/>
      <c r="AJ3" s="47"/>
      <c r="AK3" s="47"/>
      <c r="AL3" s="47"/>
      <c r="AM3" s="63"/>
    </row>
    <row r="4" spans="14:39" x14ac:dyDescent="0.3">
      <c r="V4" s="62">
        <v>2</v>
      </c>
      <c r="W4" s="47" t="s">
        <v>159</v>
      </c>
      <c r="X4" s="47"/>
      <c r="Y4" s="47"/>
      <c r="Z4" s="47"/>
      <c r="AA4" s="47"/>
      <c r="AB4" s="47"/>
      <c r="AC4" s="47"/>
      <c r="AD4" s="47"/>
      <c r="AE4" s="47">
        <v>10</v>
      </c>
      <c r="AF4" s="47" t="s">
        <v>157</v>
      </c>
      <c r="AG4" s="47"/>
      <c r="AH4" s="47"/>
      <c r="AI4" s="47"/>
      <c r="AJ4" s="47"/>
      <c r="AK4" s="47"/>
      <c r="AL4" s="47"/>
      <c r="AM4" s="63"/>
    </row>
    <row r="5" spans="14:39" x14ac:dyDescent="0.3">
      <c r="V5" s="62">
        <v>3</v>
      </c>
      <c r="W5" s="47" t="s">
        <v>34</v>
      </c>
      <c r="X5" s="47"/>
      <c r="Y5" s="47"/>
      <c r="Z5" s="47"/>
      <c r="AA5" s="47"/>
      <c r="AB5" s="47"/>
      <c r="AC5" s="47"/>
      <c r="AD5" s="47"/>
      <c r="AE5" s="47">
        <v>11</v>
      </c>
      <c r="AF5" s="47" t="s">
        <v>39</v>
      </c>
      <c r="AG5" s="47"/>
      <c r="AH5" s="47"/>
      <c r="AI5" s="47"/>
      <c r="AJ5" s="47"/>
      <c r="AK5" s="47"/>
      <c r="AL5" s="47"/>
      <c r="AM5" s="63"/>
    </row>
    <row r="6" spans="14:39" x14ac:dyDescent="0.3">
      <c r="V6" s="62">
        <v>4</v>
      </c>
      <c r="W6" s="47" t="s">
        <v>35</v>
      </c>
      <c r="X6" s="47"/>
      <c r="Y6" s="47"/>
      <c r="Z6" s="47"/>
      <c r="AA6" s="47"/>
      <c r="AB6" s="47"/>
      <c r="AC6" s="47"/>
      <c r="AD6" s="47"/>
      <c r="AE6" s="47">
        <v>12</v>
      </c>
      <c r="AF6" s="47" t="s">
        <v>40</v>
      </c>
      <c r="AG6" s="47"/>
      <c r="AH6" s="47"/>
      <c r="AI6" s="47"/>
      <c r="AJ6" s="47"/>
      <c r="AK6" s="47"/>
      <c r="AL6" s="47"/>
      <c r="AM6" s="63"/>
    </row>
    <row r="7" spans="14:39" x14ac:dyDescent="0.3">
      <c r="V7" s="62">
        <v>5</v>
      </c>
      <c r="W7" s="47" t="s">
        <v>36</v>
      </c>
      <c r="X7" s="47"/>
      <c r="Y7" s="47"/>
      <c r="Z7" s="47"/>
      <c r="AA7" s="47"/>
      <c r="AB7" s="47"/>
      <c r="AC7" s="47"/>
      <c r="AD7" s="47"/>
      <c r="AE7" s="47">
        <v>13</v>
      </c>
      <c r="AF7" s="47" t="s">
        <v>41</v>
      </c>
      <c r="AG7" s="47"/>
      <c r="AH7" s="47"/>
      <c r="AI7" s="47"/>
      <c r="AJ7" s="47"/>
      <c r="AK7" s="47"/>
      <c r="AL7" s="47"/>
      <c r="AM7" s="63"/>
    </row>
    <row r="8" spans="14:39" x14ac:dyDescent="0.3">
      <c r="V8" s="62">
        <v>6</v>
      </c>
      <c r="W8" s="47" t="s">
        <v>141</v>
      </c>
      <c r="X8" s="47"/>
      <c r="Y8" s="47"/>
      <c r="Z8" s="47"/>
      <c r="AA8" s="47"/>
      <c r="AB8" s="47"/>
      <c r="AC8" s="47"/>
      <c r="AD8" s="47"/>
      <c r="AE8" s="47">
        <v>14</v>
      </c>
      <c r="AF8" s="47"/>
      <c r="AG8" s="47"/>
      <c r="AH8" s="47"/>
      <c r="AI8" s="47"/>
      <c r="AJ8" s="47"/>
      <c r="AK8" s="47"/>
      <c r="AL8" s="47"/>
      <c r="AM8" s="63"/>
    </row>
    <row r="9" spans="14:39" ht="15" thickBot="1" x14ac:dyDescent="0.35">
      <c r="V9" s="64">
        <v>7</v>
      </c>
      <c r="W9" s="65" t="s">
        <v>37</v>
      </c>
      <c r="X9" s="65"/>
      <c r="Y9" s="65"/>
      <c r="Z9" s="65"/>
      <c r="AA9" s="65"/>
      <c r="AB9" s="65"/>
      <c r="AC9" s="65"/>
      <c r="AD9" s="65"/>
      <c r="AE9" s="65">
        <v>15</v>
      </c>
      <c r="AF9" s="65"/>
      <c r="AG9" s="65"/>
      <c r="AH9" s="65"/>
      <c r="AI9" s="65"/>
      <c r="AJ9" s="65"/>
      <c r="AK9" s="65"/>
      <c r="AL9" s="65"/>
      <c r="AM9" s="66"/>
    </row>
    <row r="13" spans="14:39" x14ac:dyDescent="0.3">
      <c r="N13" t="s">
        <v>32</v>
      </c>
      <c r="T13" s="45"/>
    </row>
    <row r="16" spans="14:39" x14ac:dyDescent="0.3">
      <c r="N16" s="46" t="s">
        <v>13</v>
      </c>
      <c r="S16">
        <v>1</v>
      </c>
      <c r="U16" s="45" t="s">
        <v>14</v>
      </c>
      <c r="V16" s="45">
        <v>163</v>
      </c>
      <c r="W16" s="45"/>
      <c r="X16" s="45" t="s">
        <v>15</v>
      </c>
      <c r="Y16" s="45">
        <v>3</v>
      </c>
      <c r="Z16" s="45" t="s">
        <v>16</v>
      </c>
      <c r="AA16" s="45"/>
      <c r="AB16" s="47"/>
      <c r="AC16" s="85" t="s">
        <v>45</v>
      </c>
      <c r="AE16" s="45">
        <v>1.78</v>
      </c>
      <c r="AG16" s="44" t="s">
        <v>28</v>
      </c>
      <c r="AI16" s="44"/>
    </row>
    <row r="17" spans="2:64" ht="15" thickBot="1" x14ac:dyDescent="0.35"/>
    <row r="18" spans="2:64" ht="15.6" thickTop="1" thickBot="1" x14ac:dyDescent="0.35">
      <c r="B18" s="59" t="s">
        <v>31</v>
      </c>
      <c r="C18" s="60"/>
      <c r="D18" s="60"/>
      <c r="E18" s="60"/>
      <c r="F18" s="60"/>
      <c r="G18" s="60"/>
      <c r="H18" s="60"/>
      <c r="I18" s="60"/>
      <c r="J18" s="60"/>
      <c r="K18" s="61"/>
      <c r="N18" s="1" t="s">
        <v>0</v>
      </c>
      <c r="O18" s="202" t="s">
        <v>1</v>
      </c>
      <c r="P18" s="194"/>
      <c r="Q18" s="194"/>
      <c r="R18" s="195"/>
      <c r="S18" s="193" t="s">
        <v>43</v>
      </c>
      <c r="T18" s="194"/>
      <c r="U18" s="194"/>
      <c r="V18" s="194"/>
      <c r="W18" s="194"/>
      <c r="X18" s="195"/>
      <c r="Y18" s="203" t="s">
        <v>17</v>
      </c>
      <c r="Z18" s="204"/>
      <c r="AA18" s="204"/>
      <c r="AB18" s="204"/>
      <c r="AC18" s="204"/>
      <c r="AD18" s="205"/>
      <c r="AE18" s="206" t="s">
        <v>18</v>
      </c>
      <c r="AF18" s="207"/>
      <c r="AG18" s="207"/>
      <c r="AH18" s="207"/>
      <c r="AI18" s="207"/>
      <c r="AJ18" s="208"/>
      <c r="AK18" s="193" t="s">
        <v>19</v>
      </c>
      <c r="AL18" s="194"/>
      <c r="AM18" s="194"/>
      <c r="AN18" s="195"/>
      <c r="AO18" s="193" t="s">
        <v>20</v>
      </c>
      <c r="AP18" s="194"/>
      <c r="AQ18" s="194"/>
      <c r="AR18" s="195"/>
      <c r="AS18" s="193" t="s">
        <v>21</v>
      </c>
      <c r="AT18" s="194"/>
      <c r="AU18" s="194"/>
      <c r="AV18" s="195"/>
      <c r="AW18" s="193" t="s">
        <v>26</v>
      </c>
      <c r="AX18" s="194"/>
      <c r="AY18" s="194"/>
      <c r="AZ18" s="195"/>
      <c r="BA18" s="193" t="s">
        <v>22</v>
      </c>
      <c r="BB18" s="194"/>
      <c r="BC18" s="194"/>
      <c r="BD18" s="195"/>
      <c r="BE18" s="193" t="s">
        <v>29</v>
      </c>
      <c r="BF18" s="194"/>
      <c r="BG18" s="194"/>
      <c r="BH18" s="195"/>
      <c r="BI18" s="193" t="s">
        <v>42</v>
      </c>
      <c r="BJ18" s="194"/>
      <c r="BK18" s="194"/>
      <c r="BL18" s="195"/>
    </row>
    <row r="19" spans="2:64" ht="21" thickBot="1" x14ac:dyDescent="0.35">
      <c r="B19" s="64" t="str">
        <f>Y18</f>
        <v>Ель из подроста</v>
      </c>
      <c r="C19" s="65" t="str">
        <f>AE18</f>
        <v>ЕЛЬ лесные культуры</v>
      </c>
      <c r="D19" s="65" t="str">
        <f>S18</f>
        <v>Сосна</v>
      </c>
      <c r="E19" s="65" t="str">
        <f>AK18</f>
        <v>Берёза</v>
      </c>
      <c r="F19" s="65" t="str">
        <f>AO18</f>
        <v>Осина</v>
      </c>
      <c r="G19" s="65" t="str">
        <f>AS18</f>
        <v>Ольха серая</v>
      </c>
      <c r="H19" s="65" t="str">
        <f>AW18</f>
        <v>Ива</v>
      </c>
      <c r="I19" s="65" t="str">
        <f>BA18</f>
        <v>Чёрёмуха</v>
      </c>
      <c r="J19" s="65" t="str">
        <f>BE18</f>
        <v>Дуб</v>
      </c>
      <c r="K19" s="66" t="str">
        <f>BI18</f>
        <v>Рябина</v>
      </c>
      <c r="L19" t="s">
        <v>46</v>
      </c>
      <c r="N19" s="31" t="s">
        <v>2</v>
      </c>
      <c r="O19" s="25" t="s">
        <v>3</v>
      </c>
      <c r="P19" s="86" t="s">
        <v>48</v>
      </c>
      <c r="Q19" s="86" t="s">
        <v>47</v>
      </c>
      <c r="R19" s="68" t="s">
        <v>4</v>
      </c>
      <c r="S19" s="41" t="s">
        <v>5</v>
      </c>
      <c r="T19" s="42" t="s">
        <v>6</v>
      </c>
      <c r="U19" s="42" t="s">
        <v>7</v>
      </c>
      <c r="V19" s="42" t="s">
        <v>23</v>
      </c>
      <c r="W19" s="43" t="s">
        <v>8</v>
      </c>
      <c r="X19" s="26" t="s">
        <v>9</v>
      </c>
      <c r="Y19" s="70" t="s">
        <v>5</v>
      </c>
      <c r="Z19" s="42" t="s">
        <v>6</v>
      </c>
      <c r="AA19" s="42" t="s">
        <v>7</v>
      </c>
      <c r="AB19" s="42" t="s">
        <v>23</v>
      </c>
      <c r="AC19" s="43" t="s">
        <v>8</v>
      </c>
      <c r="AD19" s="26" t="s">
        <v>9</v>
      </c>
      <c r="AE19" s="53" t="s">
        <v>5</v>
      </c>
      <c r="AF19" s="50" t="s">
        <v>6</v>
      </c>
      <c r="AG19" s="50" t="s">
        <v>7</v>
      </c>
      <c r="AH19" s="50" t="s">
        <v>23</v>
      </c>
      <c r="AI19" s="51" t="s">
        <v>8</v>
      </c>
      <c r="AJ19" s="54" t="s">
        <v>9</v>
      </c>
      <c r="AK19" s="49" t="s">
        <v>10</v>
      </c>
      <c r="AL19" s="50" t="s">
        <v>23</v>
      </c>
      <c r="AM19" s="51" t="s">
        <v>8</v>
      </c>
      <c r="AN19" s="52" t="s">
        <v>9</v>
      </c>
      <c r="AO19" s="25" t="s">
        <v>10</v>
      </c>
      <c r="AP19" s="42" t="s">
        <v>23</v>
      </c>
      <c r="AQ19" s="43" t="s">
        <v>8</v>
      </c>
      <c r="AR19" s="26" t="s">
        <v>9</v>
      </c>
      <c r="AS19" s="25" t="s">
        <v>10</v>
      </c>
      <c r="AT19" s="42" t="s">
        <v>23</v>
      </c>
      <c r="AU19" s="43" t="s">
        <v>8</v>
      </c>
      <c r="AV19" s="26" t="s">
        <v>9</v>
      </c>
      <c r="AW19" s="25" t="s">
        <v>10</v>
      </c>
      <c r="AX19" s="42" t="s">
        <v>23</v>
      </c>
      <c r="AY19" s="43" t="s">
        <v>8</v>
      </c>
      <c r="AZ19" s="26" t="s">
        <v>9</v>
      </c>
      <c r="BA19" s="25" t="s">
        <v>10</v>
      </c>
      <c r="BB19" s="42" t="s">
        <v>23</v>
      </c>
      <c r="BC19" s="43" t="s">
        <v>8</v>
      </c>
      <c r="BD19" s="26" t="s">
        <v>9</v>
      </c>
      <c r="BE19" s="25" t="s">
        <v>10</v>
      </c>
      <c r="BF19" s="42" t="s">
        <v>23</v>
      </c>
      <c r="BG19" s="43" t="s">
        <v>8</v>
      </c>
      <c r="BH19" s="26" t="s">
        <v>9</v>
      </c>
      <c r="BI19" s="25" t="s">
        <v>10</v>
      </c>
      <c r="BJ19" s="42" t="s">
        <v>23</v>
      </c>
      <c r="BK19" s="43" t="s">
        <v>8</v>
      </c>
      <c r="BL19" s="26" t="s">
        <v>9</v>
      </c>
    </row>
    <row r="20" spans="2:64" x14ac:dyDescent="0.3">
      <c r="B20" s="62">
        <f>AC20*AA20</f>
        <v>0</v>
      </c>
      <c r="C20" s="47">
        <f>AI20*AG20</f>
        <v>0</v>
      </c>
      <c r="D20" s="47">
        <f>W20*U20</f>
        <v>0</v>
      </c>
      <c r="E20" s="47">
        <f>AK20*AM20</f>
        <v>209</v>
      </c>
      <c r="F20" s="47">
        <f>AO20*AQ20</f>
        <v>0</v>
      </c>
      <c r="G20" s="47">
        <f>AS20*AU20</f>
        <v>6</v>
      </c>
      <c r="H20" s="47">
        <f>AW20*AY20</f>
        <v>0</v>
      </c>
      <c r="I20" s="47">
        <f>BA20*BC20</f>
        <v>0</v>
      </c>
      <c r="J20" s="47">
        <f>BE20*BG20</f>
        <v>0</v>
      </c>
      <c r="K20" s="63">
        <f>BI20*BK20</f>
        <v>0</v>
      </c>
      <c r="L20" s="55">
        <f>SUM(S20:U20,Y20:AA20,AE20:AG20,AK20,AO20,AS20,AW20,BA20,BE20,BI20)/($AE$16*$AE$16*3.15/10000*1000)</f>
        <v>23.045044016007278</v>
      </c>
      <c r="N20" s="32">
        <v>1</v>
      </c>
      <c r="O20" s="27">
        <v>856</v>
      </c>
      <c r="P20" s="87" t="s">
        <v>63</v>
      </c>
      <c r="Q20" s="87" t="s">
        <v>165</v>
      </c>
      <c r="R20" s="69"/>
      <c r="S20" s="40">
        <v>9.9999999999999995E-7</v>
      </c>
      <c r="T20" s="40">
        <v>9.9999999999999995E-7</v>
      </c>
      <c r="U20" s="40">
        <v>9.9999999999999995E-7</v>
      </c>
      <c r="V20" s="40"/>
      <c r="W20" s="40"/>
      <c r="X20" s="24"/>
      <c r="Y20" s="40">
        <v>9.9999999999999995E-7</v>
      </c>
      <c r="Z20" s="40">
        <v>9.9999999999999995E-7</v>
      </c>
      <c r="AA20" s="40">
        <v>9.9999999999999995E-7</v>
      </c>
      <c r="AB20" s="6"/>
      <c r="AC20" s="7"/>
      <c r="AD20" s="36"/>
      <c r="AE20" s="40">
        <v>9.9999999999999995E-7</v>
      </c>
      <c r="AF20" s="40">
        <v>9.9999999999999995E-7</v>
      </c>
      <c r="AG20" s="40">
        <v>9.9999999999999995E-7</v>
      </c>
      <c r="AH20" s="6"/>
      <c r="AI20" s="7"/>
      <c r="AJ20" s="8"/>
      <c r="AK20" s="40">
        <v>22</v>
      </c>
      <c r="AL20" s="7">
        <v>7</v>
      </c>
      <c r="AM20" s="7">
        <v>9.5</v>
      </c>
      <c r="AN20" s="8">
        <v>18</v>
      </c>
      <c r="AO20" s="40">
        <v>9.9999999999999995E-7</v>
      </c>
      <c r="AP20" s="27"/>
      <c r="AQ20" s="40"/>
      <c r="AR20" s="24"/>
      <c r="AS20" s="40">
        <v>1</v>
      </c>
      <c r="AT20" s="27">
        <v>2.5</v>
      </c>
      <c r="AU20" s="40">
        <v>6</v>
      </c>
      <c r="AV20" s="24">
        <v>15</v>
      </c>
      <c r="AW20" s="40">
        <v>9.9999999999999995E-7</v>
      </c>
      <c r="AX20" s="27"/>
      <c r="AY20" s="40"/>
      <c r="AZ20" s="24"/>
      <c r="BA20" s="40">
        <v>9.9999999999999995E-7</v>
      </c>
      <c r="BB20" s="27"/>
      <c r="BC20" s="40"/>
      <c r="BD20" s="24"/>
      <c r="BE20" s="40">
        <v>9.9999999999999995E-7</v>
      </c>
      <c r="BF20" s="27"/>
      <c r="BG20" s="40"/>
      <c r="BH20" s="24"/>
      <c r="BI20" s="40">
        <v>9.9999999999999995E-7</v>
      </c>
      <c r="BJ20" s="27"/>
      <c r="BK20" s="40"/>
      <c r="BL20" s="24"/>
    </row>
    <row r="21" spans="2:64" x14ac:dyDescent="0.3">
      <c r="B21" s="62">
        <f t="shared" ref="B21:B51" si="0">AC21*AA21</f>
        <v>0</v>
      </c>
      <c r="C21" s="47">
        <f t="shared" ref="C21:C51" si="1">AI21*AG21</f>
        <v>10</v>
      </c>
      <c r="D21" s="47">
        <f t="shared" ref="D21:D51" si="2">W21*U21</f>
        <v>0</v>
      </c>
      <c r="E21" s="47">
        <f t="shared" ref="E21:E51" si="3">AK21*AM21</f>
        <v>108</v>
      </c>
      <c r="F21" s="47">
        <f t="shared" ref="F21:F51" si="4">AO21*AQ21</f>
        <v>82.5</v>
      </c>
      <c r="G21" s="47">
        <f t="shared" ref="G21:G51" si="5">AS21*AU21</f>
        <v>0</v>
      </c>
      <c r="H21" s="47">
        <f t="shared" ref="H21:H51" si="6">AW21*AY21</f>
        <v>0</v>
      </c>
      <c r="I21" s="47">
        <f t="shared" ref="I21:I51" si="7">BA21*BC21</f>
        <v>0</v>
      </c>
      <c r="J21" s="47">
        <f t="shared" ref="J21:J51" si="8">BE21*BG21</f>
        <v>0</v>
      </c>
      <c r="K21" s="63">
        <f t="shared" ref="K21:K51" si="9">BI21*BK21</f>
        <v>0</v>
      </c>
      <c r="L21" s="55">
        <f t="shared" ref="L21:L51" si="10">SUM(S21:U21,Y21:AA21,AE21:AG21,AK21,AO21,AS21,AW21,BA21,BE21,BI21)/($AE$16*$AE$16*3.15/10000*1000)</f>
        <v>25.048945639780129</v>
      </c>
      <c r="N21" s="33">
        <v>2</v>
      </c>
      <c r="O21" s="28">
        <v>857</v>
      </c>
      <c r="P21" s="88" t="s">
        <v>63</v>
      </c>
      <c r="Q21" s="88" t="s">
        <v>177</v>
      </c>
      <c r="R21" s="37"/>
      <c r="S21" s="20"/>
      <c r="T21" s="3"/>
      <c r="U21" s="3"/>
      <c r="V21" s="3"/>
      <c r="W21" s="3"/>
      <c r="X21" s="10"/>
      <c r="Y21" s="17"/>
      <c r="Z21" s="2"/>
      <c r="AA21" s="2"/>
      <c r="AB21" s="2"/>
      <c r="AC21" s="3"/>
      <c r="AD21" s="37"/>
      <c r="AE21" s="9">
        <v>0</v>
      </c>
      <c r="AF21" s="2">
        <v>0</v>
      </c>
      <c r="AG21" s="2">
        <v>2</v>
      </c>
      <c r="AH21" s="2">
        <v>5</v>
      </c>
      <c r="AI21" s="3">
        <v>5</v>
      </c>
      <c r="AJ21" s="10">
        <v>17</v>
      </c>
      <c r="AK21" s="28">
        <v>12</v>
      </c>
      <c r="AL21" s="3">
        <v>8</v>
      </c>
      <c r="AM21" s="3">
        <v>9</v>
      </c>
      <c r="AN21" s="10">
        <v>19</v>
      </c>
      <c r="AO21" s="28">
        <v>11</v>
      </c>
      <c r="AP21" s="28">
        <v>4.5</v>
      </c>
      <c r="AQ21" s="3">
        <v>7.5</v>
      </c>
      <c r="AR21" s="10">
        <v>17</v>
      </c>
      <c r="AS21" s="20">
        <v>0</v>
      </c>
      <c r="AT21" s="28"/>
      <c r="AU21" s="3"/>
      <c r="AV21" s="10"/>
      <c r="AW21" s="20">
        <v>0</v>
      </c>
      <c r="AX21" s="28"/>
      <c r="AY21" s="3"/>
      <c r="AZ21" s="10"/>
      <c r="BA21" s="20"/>
      <c r="BB21" s="28"/>
      <c r="BC21" s="3"/>
      <c r="BD21" s="10"/>
      <c r="BE21" s="23"/>
      <c r="BF21" s="28"/>
      <c r="BG21" s="3"/>
      <c r="BH21" s="10"/>
      <c r="BI21" s="23"/>
      <c r="BJ21" s="28"/>
      <c r="BK21" s="3"/>
      <c r="BL21" s="10"/>
    </row>
    <row r="22" spans="2:64" x14ac:dyDescent="0.3">
      <c r="B22" s="62">
        <f t="shared" si="0"/>
        <v>0</v>
      </c>
      <c r="C22" s="47">
        <f t="shared" si="1"/>
        <v>5</v>
      </c>
      <c r="D22" s="47">
        <f t="shared" si="2"/>
        <v>0</v>
      </c>
      <c r="E22" s="47">
        <f t="shared" si="3"/>
        <v>0</v>
      </c>
      <c r="F22" s="47">
        <f t="shared" si="4"/>
        <v>0</v>
      </c>
      <c r="G22" s="47">
        <f t="shared" si="5"/>
        <v>0</v>
      </c>
      <c r="H22" s="47">
        <f t="shared" si="6"/>
        <v>0</v>
      </c>
      <c r="I22" s="47">
        <f t="shared" si="7"/>
        <v>0</v>
      </c>
      <c r="J22" s="47">
        <f t="shared" si="8"/>
        <v>0</v>
      </c>
      <c r="K22" s="63">
        <f t="shared" si="9"/>
        <v>11</v>
      </c>
      <c r="L22" s="55">
        <f t="shared" si="10"/>
        <v>26.050903465371334</v>
      </c>
      <c r="N22" s="33">
        <v>3</v>
      </c>
      <c r="O22" s="28">
        <v>858</v>
      </c>
      <c r="P22" s="88" t="s">
        <v>63</v>
      </c>
      <c r="Q22" s="88" t="s">
        <v>166</v>
      </c>
      <c r="R22" s="37"/>
      <c r="S22" s="20"/>
      <c r="T22" s="3"/>
      <c r="U22" s="3"/>
      <c r="V22" s="3"/>
      <c r="W22" s="3"/>
      <c r="X22" s="10"/>
      <c r="Y22" s="17"/>
      <c r="Z22" s="2"/>
      <c r="AA22" s="2"/>
      <c r="AB22" s="2"/>
      <c r="AC22" s="3"/>
      <c r="AD22" s="37"/>
      <c r="AE22" s="9">
        <v>2</v>
      </c>
      <c r="AF22" s="2">
        <v>20</v>
      </c>
      <c r="AG22" s="2">
        <v>2</v>
      </c>
      <c r="AH22" s="2">
        <v>2.5</v>
      </c>
      <c r="AI22" s="3">
        <v>2.5</v>
      </c>
      <c r="AJ22" s="10">
        <v>17</v>
      </c>
      <c r="AK22" s="28">
        <v>0</v>
      </c>
      <c r="AL22" s="3"/>
      <c r="AM22" s="3"/>
      <c r="AN22" s="10"/>
      <c r="AO22" s="28">
        <v>0</v>
      </c>
      <c r="AP22" s="28"/>
      <c r="AQ22" s="3"/>
      <c r="AR22" s="10"/>
      <c r="AS22" s="20">
        <v>0</v>
      </c>
      <c r="AT22" s="28"/>
      <c r="AU22" s="3"/>
      <c r="AV22" s="10"/>
      <c r="AW22" s="20">
        <v>0</v>
      </c>
      <c r="AX22" s="28"/>
      <c r="AY22" s="3"/>
      <c r="AZ22" s="10"/>
      <c r="BA22" s="20"/>
      <c r="BB22" s="28"/>
      <c r="BC22" s="3"/>
      <c r="BD22" s="10"/>
      <c r="BE22" s="23"/>
      <c r="BF22" s="28"/>
      <c r="BG22" s="3"/>
      <c r="BH22" s="10"/>
      <c r="BI22" s="23">
        <v>2</v>
      </c>
      <c r="BJ22" s="28"/>
      <c r="BK22" s="3">
        <v>5.5</v>
      </c>
      <c r="BL22" s="10">
        <v>13</v>
      </c>
    </row>
    <row r="23" spans="2:64" x14ac:dyDescent="0.3">
      <c r="B23" s="62">
        <f t="shared" si="0"/>
        <v>0</v>
      </c>
      <c r="C23" s="47">
        <f t="shared" si="1"/>
        <v>49.5</v>
      </c>
      <c r="D23" s="47">
        <f t="shared" si="2"/>
        <v>0</v>
      </c>
      <c r="E23" s="47">
        <f t="shared" si="3"/>
        <v>24</v>
      </c>
      <c r="F23" s="47">
        <f t="shared" si="4"/>
        <v>0</v>
      </c>
      <c r="G23" s="47">
        <f t="shared" si="5"/>
        <v>0</v>
      </c>
      <c r="H23" s="47">
        <f t="shared" si="6"/>
        <v>5.4</v>
      </c>
      <c r="I23" s="47">
        <f t="shared" si="7"/>
        <v>0</v>
      </c>
      <c r="J23" s="47">
        <f t="shared" si="8"/>
        <v>0</v>
      </c>
      <c r="K23" s="63">
        <f t="shared" si="9"/>
        <v>0</v>
      </c>
      <c r="L23" s="55">
        <f t="shared" si="10"/>
        <v>18.035240860641693</v>
      </c>
      <c r="N23" s="33">
        <v>4</v>
      </c>
      <c r="O23" s="27">
        <v>859</v>
      </c>
      <c r="P23" s="87" t="s">
        <v>63</v>
      </c>
      <c r="Q23" s="87" t="s">
        <v>166</v>
      </c>
      <c r="R23" s="37"/>
      <c r="S23" s="20"/>
      <c r="T23" s="3"/>
      <c r="U23" s="3"/>
      <c r="V23" s="3"/>
      <c r="W23" s="3"/>
      <c r="X23" s="10"/>
      <c r="Y23" s="17"/>
      <c r="Z23" s="2"/>
      <c r="AA23" s="2"/>
      <c r="AB23" s="2"/>
      <c r="AC23" s="3"/>
      <c r="AD23" s="37"/>
      <c r="AE23" s="9">
        <v>0</v>
      </c>
      <c r="AF23" s="2">
        <v>2</v>
      </c>
      <c r="AG23" s="2">
        <v>11</v>
      </c>
      <c r="AH23" s="2">
        <v>4.5</v>
      </c>
      <c r="AI23" s="3">
        <v>4.5</v>
      </c>
      <c r="AJ23" s="10">
        <v>18</v>
      </c>
      <c r="AK23" s="28">
        <v>3</v>
      </c>
      <c r="AL23" s="3">
        <v>5</v>
      </c>
      <c r="AM23" s="3">
        <v>8</v>
      </c>
      <c r="AN23" s="10">
        <v>18</v>
      </c>
      <c r="AO23" s="28">
        <v>0</v>
      </c>
      <c r="AP23" s="28"/>
      <c r="AQ23" s="3"/>
      <c r="AR23" s="10"/>
      <c r="AS23" s="20">
        <v>0</v>
      </c>
      <c r="AT23" s="28"/>
      <c r="AU23" s="3"/>
      <c r="AV23" s="10"/>
      <c r="AW23" s="20">
        <v>2</v>
      </c>
      <c r="AX23" s="28">
        <v>0.5</v>
      </c>
      <c r="AY23" s="3">
        <v>2.7</v>
      </c>
      <c r="AZ23" s="10">
        <v>13</v>
      </c>
      <c r="BA23" s="20"/>
      <c r="BB23" s="28"/>
      <c r="BC23" s="3"/>
      <c r="BD23" s="10"/>
      <c r="BE23" s="23"/>
      <c r="BF23" s="28"/>
      <c r="BG23" s="3"/>
      <c r="BH23" s="10"/>
      <c r="BI23" s="23"/>
      <c r="BJ23" s="28"/>
      <c r="BK23" s="3"/>
      <c r="BL23" s="10"/>
    </row>
    <row r="24" spans="2:64" x14ac:dyDescent="0.3">
      <c r="B24" s="62">
        <f t="shared" si="0"/>
        <v>0</v>
      </c>
      <c r="C24" s="47">
        <f t="shared" si="1"/>
        <v>4</v>
      </c>
      <c r="D24" s="47">
        <f t="shared" si="2"/>
        <v>0</v>
      </c>
      <c r="E24" s="47">
        <f t="shared" si="3"/>
        <v>9.8000000000000007</v>
      </c>
      <c r="F24" s="47">
        <f t="shared" si="4"/>
        <v>105</v>
      </c>
      <c r="G24" s="47">
        <f t="shared" si="5"/>
        <v>0</v>
      </c>
      <c r="H24" s="47">
        <f t="shared" si="6"/>
        <v>0</v>
      </c>
      <c r="I24" s="47">
        <f t="shared" si="7"/>
        <v>0</v>
      </c>
      <c r="J24" s="47">
        <f t="shared" si="8"/>
        <v>0</v>
      </c>
      <c r="K24" s="63">
        <f t="shared" si="9"/>
        <v>0</v>
      </c>
      <c r="L24" s="55">
        <f t="shared" si="10"/>
        <v>17.033283035050488</v>
      </c>
      <c r="N24" s="33">
        <v>5</v>
      </c>
      <c r="O24" s="28">
        <v>860</v>
      </c>
      <c r="P24" s="88" t="s">
        <v>63</v>
      </c>
      <c r="Q24" s="88" t="s">
        <v>183</v>
      </c>
      <c r="R24" s="37"/>
      <c r="S24" s="20"/>
      <c r="T24" s="3"/>
      <c r="U24" s="3"/>
      <c r="V24" s="3"/>
      <c r="W24" s="3"/>
      <c r="X24" s="10"/>
      <c r="Y24" s="17"/>
      <c r="Z24" s="2"/>
      <c r="AA24" s="2"/>
      <c r="AB24" s="2"/>
      <c r="AC24" s="3"/>
      <c r="AD24" s="37"/>
      <c r="AE24" s="9">
        <v>0</v>
      </c>
      <c r="AF24" s="2">
        <v>0</v>
      </c>
      <c r="AG24" s="2">
        <v>1</v>
      </c>
      <c r="AH24" s="2">
        <v>4</v>
      </c>
      <c r="AI24" s="3">
        <v>4</v>
      </c>
      <c r="AJ24" s="10">
        <v>18</v>
      </c>
      <c r="AK24" s="28">
        <v>2</v>
      </c>
      <c r="AL24" s="3">
        <v>2.5</v>
      </c>
      <c r="AM24" s="3">
        <v>4.9000000000000004</v>
      </c>
      <c r="AN24" s="10">
        <v>17</v>
      </c>
      <c r="AO24" s="28">
        <v>14</v>
      </c>
      <c r="AP24" s="28">
        <v>6</v>
      </c>
      <c r="AQ24" s="3">
        <v>7.5</v>
      </c>
      <c r="AR24" s="10">
        <v>18</v>
      </c>
      <c r="AS24" s="20">
        <v>0</v>
      </c>
      <c r="AT24" s="28"/>
      <c r="AU24" s="3"/>
      <c r="AV24" s="10"/>
      <c r="AW24" s="20">
        <v>0</v>
      </c>
      <c r="AX24" s="28"/>
      <c r="AY24" s="3"/>
      <c r="AZ24" s="10"/>
      <c r="BA24" s="20"/>
      <c r="BB24" s="28"/>
      <c r="BC24" s="3"/>
      <c r="BD24" s="10"/>
      <c r="BE24" s="23"/>
      <c r="BF24" s="28"/>
      <c r="BG24" s="3"/>
      <c r="BH24" s="10"/>
      <c r="BI24" s="20"/>
      <c r="BJ24" s="28"/>
      <c r="BK24" s="3"/>
      <c r="BL24" s="10"/>
    </row>
    <row r="25" spans="2:64" x14ac:dyDescent="0.3">
      <c r="B25" s="62">
        <f t="shared" si="0"/>
        <v>0</v>
      </c>
      <c r="C25" s="47">
        <f t="shared" si="1"/>
        <v>0.5</v>
      </c>
      <c r="D25" s="47">
        <f t="shared" si="2"/>
        <v>0</v>
      </c>
      <c r="E25" s="47">
        <f t="shared" si="3"/>
        <v>42.5</v>
      </c>
      <c r="F25" s="47">
        <f t="shared" si="4"/>
        <v>36</v>
      </c>
      <c r="G25" s="47">
        <f t="shared" si="5"/>
        <v>0</v>
      </c>
      <c r="H25" s="47">
        <f t="shared" si="6"/>
        <v>0</v>
      </c>
      <c r="I25" s="47">
        <f t="shared" si="7"/>
        <v>0</v>
      </c>
      <c r="J25" s="47">
        <f t="shared" si="8"/>
        <v>0</v>
      </c>
      <c r="K25" s="63">
        <f t="shared" si="9"/>
        <v>0</v>
      </c>
      <c r="L25" s="55">
        <f t="shared" si="10"/>
        <v>15.029367383868077</v>
      </c>
      <c r="N25" s="33">
        <v>6</v>
      </c>
      <c r="O25" s="28">
        <v>861</v>
      </c>
      <c r="P25" s="88" t="s">
        <v>63</v>
      </c>
      <c r="Q25" s="88" t="s">
        <v>182</v>
      </c>
      <c r="R25" s="37"/>
      <c r="S25" s="20"/>
      <c r="T25" s="3"/>
      <c r="U25" s="3"/>
      <c r="V25" s="3"/>
      <c r="W25" s="3"/>
      <c r="X25" s="10"/>
      <c r="Y25" s="17"/>
      <c r="Z25" s="2"/>
      <c r="AA25" s="2"/>
      <c r="AB25" s="2"/>
      <c r="AC25" s="3"/>
      <c r="AD25" s="37"/>
      <c r="AE25" s="9">
        <v>2</v>
      </c>
      <c r="AF25" s="2">
        <v>1</v>
      </c>
      <c r="AG25" s="2">
        <v>1</v>
      </c>
      <c r="AH25" s="2">
        <v>0.5</v>
      </c>
      <c r="AI25" s="3">
        <v>0.5</v>
      </c>
      <c r="AJ25" s="10">
        <v>15</v>
      </c>
      <c r="AK25" s="28">
        <v>5</v>
      </c>
      <c r="AL25" s="3">
        <v>6</v>
      </c>
      <c r="AM25" s="3">
        <v>8.5</v>
      </c>
      <c r="AN25" s="10">
        <v>18</v>
      </c>
      <c r="AO25" s="28">
        <v>6</v>
      </c>
      <c r="AP25" s="28">
        <v>5</v>
      </c>
      <c r="AQ25" s="3">
        <v>6</v>
      </c>
      <c r="AR25" s="10">
        <v>17</v>
      </c>
      <c r="AS25" s="20">
        <v>0</v>
      </c>
      <c r="AT25" s="28"/>
      <c r="AU25" s="3"/>
      <c r="AV25" s="10"/>
      <c r="AW25" s="20">
        <v>0</v>
      </c>
      <c r="AX25" s="28"/>
      <c r="AY25" s="3"/>
      <c r="AZ25" s="10"/>
      <c r="BA25" s="20"/>
      <c r="BB25" s="28"/>
      <c r="BC25" s="3"/>
      <c r="BD25" s="10"/>
      <c r="BE25" s="23"/>
      <c r="BF25" s="28"/>
      <c r="BG25" s="3"/>
      <c r="BH25" s="10"/>
      <c r="BI25" s="20"/>
      <c r="BJ25" s="28"/>
      <c r="BK25" s="3"/>
      <c r="BL25" s="10"/>
    </row>
    <row r="26" spans="2:64" x14ac:dyDescent="0.3">
      <c r="B26" s="62">
        <f t="shared" si="0"/>
        <v>0</v>
      </c>
      <c r="C26" s="47">
        <f t="shared" si="1"/>
        <v>13.5</v>
      </c>
      <c r="D26" s="47">
        <f t="shared" si="2"/>
        <v>0</v>
      </c>
      <c r="E26" s="47">
        <f t="shared" si="3"/>
        <v>171</v>
      </c>
      <c r="F26" s="47">
        <f t="shared" si="4"/>
        <v>42.5</v>
      </c>
      <c r="G26" s="47">
        <f t="shared" si="5"/>
        <v>6</v>
      </c>
      <c r="H26" s="47">
        <f t="shared" si="6"/>
        <v>0</v>
      </c>
      <c r="I26" s="47">
        <f t="shared" si="7"/>
        <v>0</v>
      </c>
      <c r="J26" s="47">
        <f t="shared" si="8"/>
        <v>0</v>
      </c>
      <c r="K26" s="63">
        <f t="shared" si="9"/>
        <v>0</v>
      </c>
      <c r="L26" s="55">
        <f t="shared" si="10"/>
        <v>34.066566070100976</v>
      </c>
      <c r="N26" s="33">
        <v>7</v>
      </c>
      <c r="O26" s="27">
        <v>862</v>
      </c>
      <c r="P26" s="87" t="s">
        <v>63</v>
      </c>
      <c r="Q26" s="87" t="s">
        <v>177</v>
      </c>
      <c r="R26" s="37"/>
      <c r="S26" s="20"/>
      <c r="T26" s="3"/>
      <c r="U26" s="3"/>
      <c r="V26" s="3"/>
      <c r="W26" s="3"/>
      <c r="X26" s="10"/>
      <c r="Y26" s="17"/>
      <c r="Z26" s="2"/>
      <c r="AA26" s="2"/>
      <c r="AB26" s="2"/>
      <c r="AC26" s="3"/>
      <c r="AD26" s="37"/>
      <c r="AE26" s="9">
        <v>0</v>
      </c>
      <c r="AF26" s="2">
        <v>0</v>
      </c>
      <c r="AG26" s="2">
        <v>9</v>
      </c>
      <c r="AH26" s="2">
        <v>1.5</v>
      </c>
      <c r="AI26" s="3">
        <v>1.5</v>
      </c>
      <c r="AJ26" s="10">
        <v>17</v>
      </c>
      <c r="AK26" s="28">
        <v>19</v>
      </c>
      <c r="AL26" s="3">
        <v>4.5</v>
      </c>
      <c r="AM26" s="3">
        <v>9</v>
      </c>
      <c r="AN26" s="10">
        <v>17</v>
      </c>
      <c r="AO26" s="28">
        <v>5</v>
      </c>
      <c r="AP26" s="28">
        <v>6</v>
      </c>
      <c r="AQ26" s="3">
        <v>8.5</v>
      </c>
      <c r="AR26" s="10">
        <v>15</v>
      </c>
      <c r="AS26" s="20">
        <v>1</v>
      </c>
      <c r="AT26" s="28">
        <v>2.5</v>
      </c>
      <c r="AU26" s="3">
        <v>6</v>
      </c>
      <c r="AV26" s="10">
        <v>15</v>
      </c>
      <c r="AW26" s="20">
        <v>0</v>
      </c>
      <c r="AX26" s="28"/>
      <c r="AY26" s="3"/>
      <c r="AZ26" s="10"/>
      <c r="BA26" s="20"/>
      <c r="BB26" s="28"/>
      <c r="BC26" s="3"/>
      <c r="BD26" s="10"/>
      <c r="BE26" s="23"/>
      <c r="BF26" s="28"/>
      <c r="BG26" s="3"/>
      <c r="BH26" s="10"/>
      <c r="BI26" s="20"/>
      <c r="BJ26" s="28"/>
      <c r="BK26" s="3"/>
      <c r="BL26" s="10"/>
    </row>
    <row r="27" spans="2:64" x14ac:dyDescent="0.3">
      <c r="B27" s="62">
        <f t="shared" si="0"/>
        <v>0</v>
      </c>
      <c r="C27" s="47">
        <f t="shared" si="1"/>
        <v>0</v>
      </c>
      <c r="D27" s="47">
        <f t="shared" si="2"/>
        <v>0</v>
      </c>
      <c r="E27" s="47">
        <f t="shared" si="3"/>
        <v>90</v>
      </c>
      <c r="F27" s="47">
        <f t="shared" si="4"/>
        <v>33</v>
      </c>
      <c r="G27" s="47">
        <f t="shared" si="5"/>
        <v>38.5</v>
      </c>
      <c r="H27" s="47">
        <f t="shared" si="6"/>
        <v>0</v>
      </c>
      <c r="I27" s="47">
        <f t="shared" si="7"/>
        <v>0</v>
      </c>
      <c r="J27" s="47">
        <f t="shared" si="8"/>
        <v>0</v>
      </c>
      <c r="K27" s="63">
        <f t="shared" si="9"/>
        <v>0</v>
      </c>
      <c r="L27" s="55">
        <f t="shared" si="10"/>
        <v>27.052861290962539</v>
      </c>
      <c r="N27" s="33">
        <v>8</v>
      </c>
      <c r="O27" s="28">
        <v>863</v>
      </c>
      <c r="P27" s="88" t="s">
        <v>63</v>
      </c>
      <c r="Q27" s="88" t="s">
        <v>165</v>
      </c>
      <c r="R27" s="37"/>
      <c r="S27" s="20"/>
      <c r="T27" s="3"/>
      <c r="U27" s="3"/>
      <c r="V27" s="3"/>
      <c r="W27" s="3"/>
      <c r="X27" s="10"/>
      <c r="Y27" s="17"/>
      <c r="Z27" s="2"/>
      <c r="AA27" s="2"/>
      <c r="AB27" s="2"/>
      <c r="AC27" s="3"/>
      <c r="AD27" s="37"/>
      <c r="AE27" s="9">
        <v>0</v>
      </c>
      <c r="AF27" s="2">
        <v>0</v>
      </c>
      <c r="AG27" s="2">
        <v>0</v>
      </c>
      <c r="AH27" s="2"/>
      <c r="AI27" s="3"/>
      <c r="AJ27" s="10"/>
      <c r="AK27" s="28">
        <v>10</v>
      </c>
      <c r="AL27" s="3">
        <v>9.5</v>
      </c>
      <c r="AM27" s="3">
        <v>9</v>
      </c>
      <c r="AN27" s="10">
        <v>18</v>
      </c>
      <c r="AO27" s="28">
        <v>6</v>
      </c>
      <c r="AP27" s="28">
        <v>4</v>
      </c>
      <c r="AQ27" s="3">
        <v>5.5</v>
      </c>
      <c r="AR27" s="10">
        <v>17</v>
      </c>
      <c r="AS27" s="20">
        <v>11</v>
      </c>
      <c r="AT27" s="28">
        <v>2</v>
      </c>
      <c r="AU27" s="3">
        <v>3.5</v>
      </c>
      <c r="AV27" s="10">
        <v>16</v>
      </c>
      <c r="AW27" s="20">
        <v>0</v>
      </c>
      <c r="AX27" s="28"/>
      <c r="AY27" s="3"/>
      <c r="AZ27" s="10"/>
      <c r="BA27" s="20"/>
      <c r="BB27" s="28"/>
      <c r="BC27" s="3"/>
      <c r="BD27" s="10"/>
      <c r="BE27" s="23"/>
      <c r="BF27" s="28"/>
      <c r="BG27" s="3"/>
      <c r="BH27" s="10"/>
      <c r="BI27" s="20"/>
      <c r="BJ27" s="28"/>
      <c r="BK27" s="3"/>
      <c r="BL27" s="10"/>
    </row>
    <row r="28" spans="2:64" x14ac:dyDescent="0.3">
      <c r="B28" s="62">
        <f t="shared" si="0"/>
        <v>0</v>
      </c>
      <c r="C28" s="47">
        <f t="shared" si="1"/>
        <v>7.5</v>
      </c>
      <c r="D28" s="47">
        <f t="shared" si="2"/>
        <v>0</v>
      </c>
      <c r="E28" s="47">
        <f t="shared" si="3"/>
        <v>0</v>
      </c>
      <c r="F28" s="47">
        <f t="shared" si="4"/>
        <v>0</v>
      </c>
      <c r="G28" s="47">
        <f t="shared" si="5"/>
        <v>10</v>
      </c>
      <c r="H28" s="47">
        <f t="shared" si="6"/>
        <v>0</v>
      </c>
      <c r="I28" s="47">
        <f t="shared" si="7"/>
        <v>0</v>
      </c>
      <c r="J28" s="47">
        <f t="shared" si="8"/>
        <v>0</v>
      </c>
      <c r="K28" s="63">
        <f t="shared" si="9"/>
        <v>0</v>
      </c>
      <c r="L28" s="55">
        <f t="shared" si="10"/>
        <v>19.037198686232898</v>
      </c>
      <c r="N28" s="33">
        <v>9</v>
      </c>
      <c r="O28" s="28">
        <v>864</v>
      </c>
      <c r="P28" s="88" t="s">
        <v>63</v>
      </c>
      <c r="Q28" s="88" t="s">
        <v>166</v>
      </c>
      <c r="R28" s="37"/>
      <c r="S28" s="20"/>
      <c r="T28" s="3"/>
      <c r="U28" s="3"/>
      <c r="V28" s="3"/>
      <c r="W28" s="3"/>
      <c r="X28" s="10"/>
      <c r="Y28" s="17"/>
      <c r="Z28" s="2"/>
      <c r="AA28" s="2"/>
      <c r="AB28" s="2"/>
      <c r="AC28" s="3"/>
      <c r="AD28" s="37"/>
      <c r="AE28" s="9">
        <v>3</v>
      </c>
      <c r="AF28" s="2">
        <v>7</v>
      </c>
      <c r="AG28" s="2">
        <v>5</v>
      </c>
      <c r="AH28" s="2">
        <v>1.5</v>
      </c>
      <c r="AI28" s="3">
        <v>1.5</v>
      </c>
      <c r="AJ28" s="10">
        <v>16</v>
      </c>
      <c r="AK28" s="28">
        <v>0</v>
      </c>
      <c r="AL28" s="3"/>
      <c r="AM28" s="3"/>
      <c r="AN28" s="10"/>
      <c r="AO28" s="28">
        <v>0</v>
      </c>
      <c r="AP28" s="28"/>
      <c r="AQ28" s="3"/>
      <c r="AR28" s="10"/>
      <c r="AS28" s="20">
        <v>4</v>
      </c>
      <c r="AT28" s="28">
        <v>1</v>
      </c>
      <c r="AU28" s="3">
        <v>2.5</v>
      </c>
      <c r="AV28" s="10">
        <v>17</v>
      </c>
      <c r="AW28" s="20">
        <v>0</v>
      </c>
      <c r="AX28" s="28"/>
      <c r="AY28" s="3"/>
      <c r="AZ28" s="10"/>
      <c r="BA28" s="20"/>
      <c r="BB28" s="28"/>
      <c r="BC28" s="3"/>
      <c r="BD28" s="10"/>
      <c r="BE28" s="23"/>
      <c r="BF28" s="28"/>
      <c r="BG28" s="3"/>
      <c r="BH28" s="10"/>
      <c r="BI28" s="20"/>
      <c r="BJ28" s="28"/>
      <c r="BK28" s="3"/>
      <c r="BL28" s="10"/>
    </row>
    <row r="29" spans="2:64" x14ac:dyDescent="0.3">
      <c r="B29" s="62">
        <f t="shared" si="0"/>
        <v>0</v>
      </c>
      <c r="C29" s="47">
        <f t="shared" si="1"/>
        <v>6</v>
      </c>
      <c r="D29" s="47">
        <f t="shared" si="2"/>
        <v>0</v>
      </c>
      <c r="E29" s="47">
        <f t="shared" si="3"/>
        <v>5.4</v>
      </c>
      <c r="F29" s="47">
        <f t="shared" si="4"/>
        <v>0</v>
      </c>
      <c r="G29" s="47">
        <f t="shared" si="5"/>
        <v>35.1</v>
      </c>
      <c r="H29" s="47">
        <f t="shared" si="6"/>
        <v>0</v>
      </c>
      <c r="I29" s="47">
        <f t="shared" si="7"/>
        <v>0</v>
      </c>
      <c r="J29" s="47">
        <f t="shared" si="8"/>
        <v>0</v>
      </c>
      <c r="K29" s="63">
        <f t="shared" si="9"/>
        <v>0</v>
      </c>
      <c r="L29" s="55">
        <f t="shared" si="10"/>
        <v>24.046987814188924</v>
      </c>
      <c r="N29" s="33">
        <v>10</v>
      </c>
      <c r="O29" s="27">
        <v>865</v>
      </c>
      <c r="P29" s="87" t="s">
        <v>63</v>
      </c>
      <c r="Q29" s="87" t="s">
        <v>166</v>
      </c>
      <c r="R29" s="37"/>
      <c r="S29" s="20"/>
      <c r="T29" s="3"/>
      <c r="U29" s="3"/>
      <c r="V29" s="3"/>
      <c r="W29" s="3"/>
      <c r="X29" s="10"/>
      <c r="Y29" s="17"/>
      <c r="Z29" s="2"/>
      <c r="AA29" s="2"/>
      <c r="AB29" s="2"/>
      <c r="AC29" s="3"/>
      <c r="AD29" s="37"/>
      <c r="AE29" s="9">
        <v>2</v>
      </c>
      <c r="AF29" s="2">
        <v>3</v>
      </c>
      <c r="AG29" s="2">
        <v>4</v>
      </c>
      <c r="AH29" s="2">
        <v>1.5</v>
      </c>
      <c r="AI29" s="3">
        <v>1.5</v>
      </c>
      <c r="AJ29" s="10">
        <v>17</v>
      </c>
      <c r="AK29" s="28">
        <v>2</v>
      </c>
      <c r="AL29" s="3">
        <v>2</v>
      </c>
      <c r="AM29" s="3">
        <v>2.7</v>
      </c>
      <c r="AN29" s="10">
        <v>17</v>
      </c>
      <c r="AO29" s="28">
        <v>0</v>
      </c>
      <c r="AP29" s="28"/>
      <c r="AQ29" s="3"/>
      <c r="AR29" s="10"/>
      <c r="AS29" s="20">
        <v>13</v>
      </c>
      <c r="AT29" s="28">
        <v>1.5</v>
      </c>
      <c r="AU29" s="3">
        <v>2.7</v>
      </c>
      <c r="AV29" s="10">
        <v>17</v>
      </c>
      <c r="AW29" s="20">
        <v>0</v>
      </c>
      <c r="AX29" s="28"/>
      <c r="AY29" s="3"/>
      <c r="AZ29" s="10"/>
      <c r="BA29" s="20"/>
      <c r="BB29" s="28"/>
      <c r="BC29" s="3"/>
      <c r="BD29" s="10"/>
      <c r="BE29" s="23"/>
      <c r="BF29" s="28"/>
      <c r="BG29" s="3"/>
      <c r="BH29" s="10"/>
      <c r="BI29" s="20"/>
      <c r="BJ29" s="28"/>
      <c r="BK29" s="3"/>
      <c r="BL29" s="10"/>
    </row>
    <row r="30" spans="2:64" x14ac:dyDescent="0.3">
      <c r="B30" s="62">
        <f t="shared" si="0"/>
        <v>0</v>
      </c>
      <c r="C30" s="47">
        <f t="shared" si="1"/>
        <v>0</v>
      </c>
      <c r="D30" s="47">
        <f t="shared" si="2"/>
        <v>0</v>
      </c>
      <c r="E30" s="47">
        <f t="shared" si="3"/>
        <v>0</v>
      </c>
      <c r="F30" s="47">
        <f t="shared" si="4"/>
        <v>0</v>
      </c>
      <c r="G30" s="47">
        <f t="shared" si="5"/>
        <v>0</v>
      </c>
      <c r="H30" s="47">
        <f t="shared" si="6"/>
        <v>0</v>
      </c>
      <c r="I30" s="47">
        <f t="shared" si="7"/>
        <v>0</v>
      </c>
      <c r="J30" s="47">
        <f t="shared" si="8"/>
        <v>0</v>
      </c>
      <c r="K30" s="63">
        <f t="shared" si="9"/>
        <v>0</v>
      </c>
      <c r="L30" s="55">
        <f t="shared" si="10"/>
        <v>0</v>
      </c>
      <c r="N30" s="33">
        <v>11</v>
      </c>
      <c r="O30" s="28"/>
      <c r="P30" s="88"/>
      <c r="Q30" s="88"/>
      <c r="R30" s="37"/>
      <c r="S30" s="20"/>
      <c r="T30" s="3"/>
      <c r="U30" s="3"/>
      <c r="V30" s="3"/>
      <c r="W30" s="3"/>
      <c r="X30" s="10"/>
      <c r="Y30" s="17"/>
      <c r="Z30" s="2"/>
      <c r="AA30" s="2"/>
      <c r="AB30" s="2"/>
      <c r="AC30" s="3"/>
      <c r="AD30" s="37"/>
      <c r="AE30" s="9"/>
      <c r="AF30" s="2"/>
      <c r="AG30" s="2"/>
      <c r="AH30" s="2"/>
      <c r="AI30" s="3"/>
      <c r="AJ30" s="10"/>
      <c r="AK30" s="28"/>
      <c r="AL30" s="3"/>
      <c r="AM30" s="3"/>
      <c r="AN30" s="10"/>
      <c r="AO30" s="28"/>
      <c r="AP30" s="28"/>
      <c r="AQ30" s="3"/>
      <c r="AR30" s="10"/>
      <c r="AS30" s="20"/>
      <c r="AT30" s="28"/>
      <c r="AU30" s="3"/>
      <c r="AV30" s="10"/>
      <c r="AW30" s="20"/>
      <c r="AX30" s="28"/>
      <c r="AY30" s="3"/>
      <c r="AZ30" s="10"/>
      <c r="BA30" s="20"/>
      <c r="BB30" s="28"/>
      <c r="BC30" s="3"/>
      <c r="BD30" s="10"/>
      <c r="BE30" s="23"/>
      <c r="BF30" s="28"/>
      <c r="BG30" s="3"/>
      <c r="BH30" s="10"/>
      <c r="BI30" s="20"/>
      <c r="BJ30" s="28"/>
      <c r="BK30" s="3"/>
      <c r="BL30" s="10"/>
    </row>
    <row r="31" spans="2:64" x14ac:dyDescent="0.3">
      <c r="B31" s="62">
        <f t="shared" si="0"/>
        <v>0</v>
      </c>
      <c r="C31" s="47">
        <f t="shared" si="1"/>
        <v>0</v>
      </c>
      <c r="D31" s="47">
        <f t="shared" si="2"/>
        <v>0</v>
      </c>
      <c r="E31" s="47">
        <f t="shared" si="3"/>
        <v>0</v>
      </c>
      <c r="F31" s="47">
        <f t="shared" si="4"/>
        <v>0</v>
      </c>
      <c r="G31" s="47">
        <f t="shared" si="5"/>
        <v>0</v>
      </c>
      <c r="H31" s="47">
        <f t="shared" si="6"/>
        <v>0</v>
      </c>
      <c r="I31" s="47">
        <f t="shared" si="7"/>
        <v>0</v>
      </c>
      <c r="J31" s="47">
        <f t="shared" si="8"/>
        <v>0</v>
      </c>
      <c r="K31" s="63">
        <f t="shared" si="9"/>
        <v>0</v>
      </c>
      <c r="L31" s="55">
        <f t="shared" si="10"/>
        <v>0</v>
      </c>
      <c r="N31" s="33">
        <v>12</v>
      </c>
      <c r="O31" s="28"/>
      <c r="P31" s="88"/>
      <c r="Q31" s="88"/>
      <c r="R31" s="37"/>
      <c r="S31" s="20"/>
      <c r="T31" s="3"/>
      <c r="U31" s="3"/>
      <c r="V31" s="3"/>
      <c r="W31" s="3"/>
      <c r="X31" s="10"/>
      <c r="Y31" s="17"/>
      <c r="Z31" s="2"/>
      <c r="AA31" s="2"/>
      <c r="AB31" s="2"/>
      <c r="AC31" s="3"/>
      <c r="AD31" s="37"/>
      <c r="AE31" s="9"/>
      <c r="AF31" s="2"/>
      <c r="AG31" s="2"/>
      <c r="AH31" s="2"/>
      <c r="AI31" s="3"/>
      <c r="AJ31" s="10"/>
      <c r="AK31" s="28"/>
      <c r="AL31" s="3"/>
      <c r="AM31" s="3"/>
      <c r="AN31" s="10"/>
      <c r="AO31" s="28"/>
      <c r="AP31" s="28"/>
      <c r="AQ31" s="3"/>
      <c r="AR31" s="10"/>
      <c r="AS31" s="20"/>
      <c r="AT31" s="28"/>
      <c r="AU31" s="3"/>
      <c r="AV31" s="10"/>
      <c r="AW31" s="20"/>
      <c r="AX31" s="28"/>
      <c r="AY31" s="3"/>
      <c r="AZ31" s="10"/>
      <c r="BA31" s="20"/>
      <c r="BB31" s="28"/>
      <c r="BC31" s="3"/>
      <c r="BD31" s="10"/>
      <c r="BE31" s="23"/>
      <c r="BF31" s="28"/>
      <c r="BG31" s="3"/>
      <c r="BH31" s="10"/>
      <c r="BI31" s="20"/>
      <c r="BJ31" s="28"/>
      <c r="BK31" s="3"/>
      <c r="BL31" s="10"/>
    </row>
    <row r="32" spans="2:64" x14ac:dyDescent="0.3">
      <c r="B32" s="62">
        <f t="shared" si="0"/>
        <v>0</v>
      </c>
      <c r="C32" s="47">
        <f t="shared" si="1"/>
        <v>0</v>
      </c>
      <c r="D32" s="47">
        <f t="shared" si="2"/>
        <v>0</v>
      </c>
      <c r="E32" s="47">
        <f t="shared" si="3"/>
        <v>0</v>
      </c>
      <c r="F32" s="47">
        <f t="shared" si="4"/>
        <v>0</v>
      </c>
      <c r="G32" s="47">
        <f t="shared" si="5"/>
        <v>0</v>
      </c>
      <c r="H32" s="47">
        <f t="shared" si="6"/>
        <v>0</v>
      </c>
      <c r="I32" s="47">
        <f t="shared" si="7"/>
        <v>0</v>
      </c>
      <c r="J32" s="47">
        <f t="shared" si="8"/>
        <v>0</v>
      </c>
      <c r="K32" s="63">
        <f t="shared" si="9"/>
        <v>0</v>
      </c>
      <c r="L32" s="55">
        <f t="shared" si="10"/>
        <v>0</v>
      </c>
      <c r="N32" s="33">
        <v>13</v>
      </c>
      <c r="O32" s="28"/>
      <c r="P32" s="88"/>
      <c r="Q32" s="88"/>
      <c r="R32" s="37"/>
      <c r="S32" s="20"/>
      <c r="T32" s="3"/>
      <c r="U32" s="3"/>
      <c r="V32" s="3"/>
      <c r="W32" s="3"/>
      <c r="X32" s="10"/>
      <c r="Y32" s="17"/>
      <c r="Z32" s="2"/>
      <c r="AA32" s="2"/>
      <c r="AB32" s="2"/>
      <c r="AC32" s="3"/>
      <c r="AD32" s="37"/>
      <c r="AE32" s="9"/>
      <c r="AF32" s="2"/>
      <c r="AG32" s="2"/>
      <c r="AH32" s="2"/>
      <c r="AI32" s="3"/>
      <c r="AJ32" s="10"/>
      <c r="AK32" s="28"/>
      <c r="AL32" s="3"/>
      <c r="AM32" s="3"/>
      <c r="AN32" s="10"/>
      <c r="AO32" s="28"/>
      <c r="AP32" s="28"/>
      <c r="AQ32" s="3"/>
      <c r="AR32" s="10"/>
      <c r="AS32" s="20"/>
      <c r="AT32" s="28"/>
      <c r="AU32" s="3"/>
      <c r="AV32" s="10"/>
      <c r="AW32" s="20"/>
      <c r="AX32" s="28"/>
      <c r="AY32" s="3"/>
      <c r="AZ32" s="10"/>
      <c r="BA32" s="20"/>
      <c r="BB32" s="28"/>
      <c r="BC32" s="3"/>
      <c r="BD32" s="10"/>
      <c r="BE32" s="23"/>
      <c r="BF32" s="28"/>
      <c r="BG32" s="3"/>
      <c r="BH32" s="10"/>
      <c r="BI32" s="20"/>
      <c r="BJ32" s="28"/>
      <c r="BK32" s="3"/>
      <c r="BL32" s="10"/>
    </row>
    <row r="33" spans="2:64" x14ac:dyDescent="0.3">
      <c r="B33" s="62">
        <f t="shared" si="0"/>
        <v>0</v>
      </c>
      <c r="C33" s="47">
        <f t="shared" si="1"/>
        <v>0</v>
      </c>
      <c r="D33" s="47">
        <f t="shared" si="2"/>
        <v>0</v>
      </c>
      <c r="E33" s="47">
        <f t="shared" si="3"/>
        <v>0</v>
      </c>
      <c r="F33" s="47">
        <f t="shared" si="4"/>
        <v>0</v>
      </c>
      <c r="G33" s="47">
        <f t="shared" si="5"/>
        <v>0</v>
      </c>
      <c r="H33" s="47">
        <f t="shared" si="6"/>
        <v>0</v>
      </c>
      <c r="I33" s="47">
        <f t="shared" si="7"/>
        <v>0</v>
      </c>
      <c r="J33" s="47">
        <f t="shared" si="8"/>
        <v>0</v>
      </c>
      <c r="K33" s="63">
        <f t="shared" si="9"/>
        <v>0</v>
      </c>
      <c r="L33" s="55">
        <f t="shared" si="10"/>
        <v>0</v>
      </c>
      <c r="N33" s="33">
        <v>14</v>
      </c>
      <c r="O33" s="28"/>
      <c r="P33" s="88"/>
      <c r="Q33" s="88"/>
      <c r="R33" s="37"/>
      <c r="S33" s="20"/>
      <c r="T33" s="3"/>
      <c r="U33" s="3"/>
      <c r="V33" s="3"/>
      <c r="W33" s="3"/>
      <c r="X33" s="10"/>
      <c r="Y33" s="17"/>
      <c r="Z33" s="2"/>
      <c r="AA33" s="2"/>
      <c r="AB33" s="2"/>
      <c r="AC33" s="3"/>
      <c r="AD33" s="37"/>
      <c r="AE33" s="9"/>
      <c r="AF33" s="2"/>
      <c r="AG33" s="2"/>
      <c r="AH33" s="2"/>
      <c r="AI33" s="3"/>
      <c r="AJ33" s="10"/>
      <c r="AK33" s="28"/>
      <c r="AL33" s="3"/>
      <c r="AM33" s="3"/>
      <c r="AN33" s="10"/>
      <c r="AO33" s="28"/>
      <c r="AP33" s="28"/>
      <c r="AQ33" s="3"/>
      <c r="AR33" s="10"/>
      <c r="AS33" s="20"/>
      <c r="AT33" s="28"/>
      <c r="AU33" s="3"/>
      <c r="AV33" s="10"/>
      <c r="AW33" s="20"/>
      <c r="AX33" s="28"/>
      <c r="AY33" s="3"/>
      <c r="AZ33" s="10"/>
      <c r="BA33" s="20"/>
      <c r="BB33" s="28"/>
      <c r="BC33" s="3"/>
      <c r="BD33" s="10"/>
      <c r="BE33" s="23"/>
      <c r="BF33" s="28"/>
      <c r="BG33" s="3"/>
      <c r="BH33" s="10"/>
      <c r="BI33" s="20"/>
      <c r="BJ33" s="28"/>
      <c r="BK33" s="3"/>
      <c r="BL33" s="10"/>
    </row>
    <row r="34" spans="2:64" x14ac:dyDescent="0.3">
      <c r="B34" s="62">
        <f t="shared" si="0"/>
        <v>0</v>
      </c>
      <c r="C34" s="47">
        <f t="shared" si="1"/>
        <v>0</v>
      </c>
      <c r="D34" s="47">
        <f t="shared" si="2"/>
        <v>0</v>
      </c>
      <c r="E34" s="47">
        <f t="shared" si="3"/>
        <v>0</v>
      </c>
      <c r="F34" s="47">
        <f t="shared" si="4"/>
        <v>0</v>
      </c>
      <c r="G34" s="47">
        <f t="shared" si="5"/>
        <v>0</v>
      </c>
      <c r="H34" s="47">
        <f t="shared" si="6"/>
        <v>0</v>
      </c>
      <c r="I34" s="47">
        <f t="shared" si="7"/>
        <v>0</v>
      </c>
      <c r="J34" s="47">
        <f t="shared" si="8"/>
        <v>0</v>
      </c>
      <c r="K34" s="63">
        <f t="shared" si="9"/>
        <v>0</v>
      </c>
      <c r="L34" s="55">
        <f t="shared" si="10"/>
        <v>0</v>
      </c>
      <c r="N34" s="33">
        <v>15</v>
      </c>
      <c r="O34" s="28"/>
      <c r="P34" s="88"/>
      <c r="Q34" s="88"/>
      <c r="R34" s="37"/>
      <c r="S34" s="20"/>
      <c r="T34" s="3"/>
      <c r="U34" s="3"/>
      <c r="V34" s="3"/>
      <c r="W34" s="3"/>
      <c r="X34" s="10"/>
      <c r="Y34" s="17"/>
      <c r="Z34" s="2"/>
      <c r="AA34" s="2"/>
      <c r="AB34" s="2"/>
      <c r="AC34" s="3"/>
      <c r="AD34" s="37"/>
      <c r="AE34" s="9"/>
      <c r="AF34" s="2"/>
      <c r="AG34" s="2"/>
      <c r="AH34" s="2"/>
      <c r="AI34" s="3"/>
      <c r="AJ34" s="10"/>
      <c r="AK34" s="28"/>
      <c r="AL34" s="3"/>
      <c r="AM34" s="3"/>
      <c r="AN34" s="10"/>
      <c r="AO34" s="28"/>
      <c r="AP34" s="28"/>
      <c r="AQ34" s="3"/>
      <c r="AR34" s="10"/>
      <c r="AS34" s="20"/>
      <c r="AT34" s="28"/>
      <c r="AU34" s="3"/>
      <c r="AV34" s="10"/>
      <c r="AW34" s="20"/>
      <c r="AX34" s="28"/>
      <c r="AY34" s="3"/>
      <c r="AZ34" s="10"/>
      <c r="BA34" s="20"/>
      <c r="BB34" s="28"/>
      <c r="BC34" s="3"/>
      <c r="BD34" s="10"/>
      <c r="BE34" s="23"/>
      <c r="BF34" s="28"/>
      <c r="BG34" s="3"/>
      <c r="BH34" s="10"/>
      <c r="BI34" s="20"/>
      <c r="BJ34" s="28"/>
      <c r="BK34" s="3"/>
      <c r="BL34" s="10"/>
    </row>
    <row r="35" spans="2:64" x14ac:dyDescent="0.3">
      <c r="B35" s="62">
        <f t="shared" si="0"/>
        <v>0</v>
      </c>
      <c r="C35" s="47">
        <f t="shared" si="1"/>
        <v>0</v>
      </c>
      <c r="D35" s="47">
        <f t="shared" si="2"/>
        <v>0</v>
      </c>
      <c r="E35" s="47">
        <f t="shared" si="3"/>
        <v>0</v>
      </c>
      <c r="F35" s="47">
        <f t="shared" si="4"/>
        <v>0</v>
      </c>
      <c r="G35" s="47">
        <f t="shared" si="5"/>
        <v>0</v>
      </c>
      <c r="H35" s="47">
        <f t="shared" si="6"/>
        <v>0</v>
      </c>
      <c r="I35" s="47">
        <f t="shared" si="7"/>
        <v>0</v>
      </c>
      <c r="J35" s="47">
        <f t="shared" si="8"/>
        <v>0</v>
      </c>
      <c r="K35" s="63">
        <f t="shared" si="9"/>
        <v>0</v>
      </c>
      <c r="L35" s="55">
        <f t="shared" si="10"/>
        <v>0</v>
      </c>
      <c r="N35" s="33">
        <v>16</v>
      </c>
      <c r="O35" s="28"/>
      <c r="P35" s="88"/>
      <c r="Q35" s="88"/>
      <c r="R35" s="37"/>
      <c r="S35" s="20"/>
      <c r="T35" s="3"/>
      <c r="U35" s="3"/>
      <c r="V35" s="3"/>
      <c r="W35" s="3"/>
      <c r="X35" s="10"/>
      <c r="Y35" s="17"/>
      <c r="Z35" s="2"/>
      <c r="AA35" s="2"/>
      <c r="AB35" s="2"/>
      <c r="AC35" s="3"/>
      <c r="AD35" s="37"/>
      <c r="AE35" s="9"/>
      <c r="AF35" s="2"/>
      <c r="AG35" s="2"/>
      <c r="AH35" s="2"/>
      <c r="AI35" s="3"/>
      <c r="AJ35" s="10"/>
      <c r="AK35" s="28"/>
      <c r="AL35" s="3"/>
      <c r="AM35" s="3"/>
      <c r="AN35" s="10"/>
      <c r="AO35" s="28"/>
      <c r="AP35" s="28"/>
      <c r="AQ35" s="3"/>
      <c r="AR35" s="10"/>
      <c r="AS35" s="20"/>
      <c r="AT35" s="28"/>
      <c r="AU35" s="3"/>
      <c r="AV35" s="10"/>
      <c r="AW35" s="20"/>
      <c r="AX35" s="28"/>
      <c r="AY35" s="3"/>
      <c r="AZ35" s="10"/>
      <c r="BA35" s="20"/>
      <c r="BB35" s="28"/>
      <c r="BC35" s="3"/>
      <c r="BD35" s="10"/>
      <c r="BE35" s="23"/>
      <c r="BF35" s="28"/>
      <c r="BG35" s="3"/>
      <c r="BH35" s="10"/>
      <c r="BI35" s="20"/>
      <c r="BJ35" s="28"/>
      <c r="BK35" s="3"/>
      <c r="BL35" s="10"/>
    </row>
    <row r="36" spans="2:64" x14ac:dyDescent="0.3">
      <c r="B36" s="62">
        <f t="shared" si="0"/>
        <v>0</v>
      </c>
      <c r="C36" s="47">
        <f t="shared" si="1"/>
        <v>0</v>
      </c>
      <c r="D36" s="47">
        <f t="shared" si="2"/>
        <v>0</v>
      </c>
      <c r="E36" s="47">
        <f t="shared" si="3"/>
        <v>0</v>
      </c>
      <c r="F36" s="47">
        <f t="shared" si="4"/>
        <v>0</v>
      </c>
      <c r="G36" s="47">
        <f t="shared" si="5"/>
        <v>0</v>
      </c>
      <c r="H36" s="47">
        <f t="shared" si="6"/>
        <v>0</v>
      </c>
      <c r="I36" s="47">
        <f t="shared" si="7"/>
        <v>0</v>
      </c>
      <c r="J36" s="47">
        <f t="shared" si="8"/>
        <v>0</v>
      </c>
      <c r="K36" s="63">
        <f t="shared" si="9"/>
        <v>0</v>
      </c>
      <c r="L36" s="55">
        <f t="shared" si="10"/>
        <v>0</v>
      </c>
      <c r="N36" s="33">
        <v>17</v>
      </c>
      <c r="O36" s="28"/>
      <c r="P36" s="88"/>
      <c r="Q36" s="88"/>
      <c r="R36" s="37"/>
      <c r="S36" s="20"/>
      <c r="T36" s="3"/>
      <c r="U36" s="3"/>
      <c r="V36" s="3"/>
      <c r="W36" s="3"/>
      <c r="X36" s="10"/>
      <c r="Y36" s="17"/>
      <c r="Z36" s="2"/>
      <c r="AA36" s="2"/>
      <c r="AB36" s="2"/>
      <c r="AC36" s="3"/>
      <c r="AD36" s="37"/>
      <c r="AE36" s="9"/>
      <c r="AF36" s="2"/>
      <c r="AG36" s="2"/>
      <c r="AH36" s="2"/>
      <c r="AI36" s="3"/>
      <c r="AJ36" s="10"/>
      <c r="AK36" s="28"/>
      <c r="AL36" s="3"/>
      <c r="AM36" s="3"/>
      <c r="AN36" s="10"/>
      <c r="AO36" s="28"/>
      <c r="AP36" s="28"/>
      <c r="AQ36" s="3"/>
      <c r="AR36" s="10"/>
      <c r="AS36" s="20"/>
      <c r="AT36" s="28"/>
      <c r="AU36" s="3"/>
      <c r="AV36" s="10"/>
      <c r="AW36" s="20"/>
      <c r="AX36" s="28"/>
      <c r="AY36" s="3"/>
      <c r="AZ36" s="10"/>
      <c r="BA36" s="20"/>
      <c r="BB36" s="28"/>
      <c r="BC36" s="3"/>
      <c r="BD36" s="10"/>
      <c r="BE36" s="23"/>
      <c r="BF36" s="28"/>
      <c r="BG36" s="3"/>
      <c r="BH36" s="10"/>
      <c r="BI36" s="20"/>
      <c r="BJ36" s="28"/>
      <c r="BK36" s="3"/>
      <c r="BL36" s="10"/>
    </row>
    <row r="37" spans="2:64" x14ac:dyDescent="0.3">
      <c r="B37" s="62">
        <f t="shared" si="0"/>
        <v>0</v>
      </c>
      <c r="C37" s="47">
        <f t="shared" si="1"/>
        <v>0</v>
      </c>
      <c r="D37" s="47">
        <f t="shared" si="2"/>
        <v>0</v>
      </c>
      <c r="E37" s="47">
        <f t="shared" si="3"/>
        <v>0</v>
      </c>
      <c r="F37" s="47">
        <f t="shared" si="4"/>
        <v>0</v>
      </c>
      <c r="G37" s="47">
        <f t="shared" si="5"/>
        <v>0</v>
      </c>
      <c r="H37" s="47">
        <f t="shared" si="6"/>
        <v>0</v>
      </c>
      <c r="I37" s="47">
        <f t="shared" si="7"/>
        <v>0</v>
      </c>
      <c r="J37" s="47">
        <f t="shared" si="8"/>
        <v>0</v>
      </c>
      <c r="K37" s="63">
        <f t="shared" si="9"/>
        <v>0</v>
      </c>
      <c r="L37" s="55">
        <f t="shared" si="10"/>
        <v>0</v>
      </c>
      <c r="N37" s="33">
        <v>18</v>
      </c>
      <c r="O37" s="28"/>
      <c r="P37" s="88"/>
      <c r="Q37" s="88"/>
      <c r="R37" s="37"/>
      <c r="S37" s="20"/>
      <c r="T37" s="3"/>
      <c r="U37" s="3"/>
      <c r="V37" s="3"/>
      <c r="W37" s="3"/>
      <c r="X37" s="10"/>
      <c r="Y37" s="17"/>
      <c r="Z37" s="2"/>
      <c r="AA37" s="2"/>
      <c r="AB37" s="2"/>
      <c r="AC37" s="3"/>
      <c r="AD37" s="37"/>
      <c r="AE37" s="9"/>
      <c r="AF37" s="2"/>
      <c r="AG37" s="2"/>
      <c r="AH37" s="2"/>
      <c r="AI37" s="3"/>
      <c r="AJ37" s="10"/>
      <c r="AK37" s="28"/>
      <c r="AL37" s="3"/>
      <c r="AM37" s="3"/>
      <c r="AN37" s="10"/>
      <c r="AO37" s="28"/>
      <c r="AP37" s="28"/>
      <c r="AQ37" s="3"/>
      <c r="AR37" s="10"/>
      <c r="AS37" s="20"/>
      <c r="AT37" s="28"/>
      <c r="AU37" s="3"/>
      <c r="AV37" s="10"/>
      <c r="AW37" s="20"/>
      <c r="AX37" s="28"/>
      <c r="AY37" s="3"/>
      <c r="AZ37" s="10"/>
      <c r="BA37" s="20"/>
      <c r="BB37" s="28"/>
      <c r="BC37" s="3"/>
      <c r="BD37" s="10"/>
      <c r="BE37" s="23"/>
      <c r="BF37" s="28"/>
      <c r="BG37" s="3"/>
      <c r="BH37" s="10"/>
      <c r="BI37" s="20"/>
      <c r="BJ37" s="28"/>
      <c r="BK37" s="3"/>
      <c r="BL37" s="10"/>
    </row>
    <row r="38" spans="2:64" x14ac:dyDescent="0.3">
      <c r="B38" s="62">
        <f t="shared" si="0"/>
        <v>0</v>
      </c>
      <c r="C38" s="47">
        <f t="shared" si="1"/>
        <v>0</v>
      </c>
      <c r="D38" s="47">
        <f t="shared" si="2"/>
        <v>0</v>
      </c>
      <c r="E38" s="47">
        <f t="shared" si="3"/>
        <v>0</v>
      </c>
      <c r="F38" s="47">
        <f t="shared" si="4"/>
        <v>0</v>
      </c>
      <c r="G38" s="47">
        <f t="shared" si="5"/>
        <v>0</v>
      </c>
      <c r="H38" s="47">
        <f t="shared" si="6"/>
        <v>0</v>
      </c>
      <c r="I38" s="47">
        <f t="shared" si="7"/>
        <v>0</v>
      </c>
      <c r="J38" s="47">
        <f t="shared" si="8"/>
        <v>0</v>
      </c>
      <c r="K38" s="63">
        <f t="shared" si="9"/>
        <v>0</v>
      </c>
      <c r="L38" s="55">
        <f t="shared" si="10"/>
        <v>0</v>
      </c>
      <c r="N38" s="33">
        <v>19</v>
      </c>
      <c r="O38" s="28"/>
      <c r="P38" s="88"/>
      <c r="Q38" s="88"/>
      <c r="R38" s="37"/>
      <c r="S38" s="20"/>
      <c r="T38" s="3"/>
      <c r="U38" s="3"/>
      <c r="V38" s="3"/>
      <c r="W38" s="3"/>
      <c r="X38" s="10"/>
      <c r="Y38" s="17"/>
      <c r="Z38" s="2"/>
      <c r="AA38" s="2"/>
      <c r="AB38" s="2"/>
      <c r="AC38" s="3"/>
      <c r="AD38" s="37"/>
      <c r="AE38" s="9"/>
      <c r="AF38" s="2"/>
      <c r="AG38" s="2"/>
      <c r="AH38" s="2"/>
      <c r="AI38" s="3"/>
      <c r="AJ38" s="10"/>
      <c r="AK38" s="28"/>
      <c r="AL38" s="3"/>
      <c r="AM38" s="3"/>
      <c r="AN38" s="10"/>
      <c r="AO38" s="28"/>
      <c r="AP38" s="28"/>
      <c r="AQ38" s="3"/>
      <c r="AR38" s="10"/>
      <c r="AS38" s="20"/>
      <c r="AT38" s="28"/>
      <c r="AU38" s="3"/>
      <c r="AV38" s="10"/>
      <c r="AW38" s="20"/>
      <c r="AX38" s="28"/>
      <c r="AY38" s="3"/>
      <c r="AZ38" s="10"/>
      <c r="BA38" s="20"/>
      <c r="BB38" s="28"/>
      <c r="BC38" s="3"/>
      <c r="BD38" s="10"/>
      <c r="BE38" s="23"/>
      <c r="BF38" s="28"/>
      <c r="BG38" s="3"/>
      <c r="BH38" s="10"/>
      <c r="BI38" s="20"/>
      <c r="BJ38" s="28"/>
      <c r="BK38" s="3"/>
      <c r="BL38" s="10"/>
    </row>
    <row r="39" spans="2:64" x14ac:dyDescent="0.3">
      <c r="B39" s="62">
        <f t="shared" si="0"/>
        <v>0</v>
      </c>
      <c r="C39" s="47">
        <f t="shared" si="1"/>
        <v>0</v>
      </c>
      <c r="D39" s="47">
        <f t="shared" si="2"/>
        <v>0</v>
      </c>
      <c r="E39" s="47">
        <f t="shared" si="3"/>
        <v>0</v>
      </c>
      <c r="F39" s="47">
        <f t="shared" si="4"/>
        <v>0</v>
      </c>
      <c r="G39" s="47">
        <f t="shared" si="5"/>
        <v>0</v>
      </c>
      <c r="H39" s="47">
        <f t="shared" si="6"/>
        <v>0</v>
      </c>
      <c r="I39" s="47">
        <f t="shared" si="7"/>
        <v>0</v>
      </c>
      <c r="J39" s="47">
        <f t="shared" si="8"/>
        <v>0</v>
      </c>
      <c r="K39" s="63">
        <f t="shared" si="9"/>
        <v>0</v>
      </c>
      <c r="L39" s="55">
        <f t="shared" si="10"/>
        <v>0</v>
      </c>
      <c r="N39" s="33">
        <v>20</v>
      </c>
      <c r="O39" s="28"/>
      <c r="P39" s="88"/>
      <c r="Q39" s="88"/>
      <c r="R39" s="37"/>
      <c r="S39" s="20"/>
      <c r="T39" s="3"/>
      <c r="U39" s="3"/>
      <c r="V39" s="3"/>
      <c r="W39" s="3"/>
      <c r="X39" s="10"/>
      <c r="Y39" s="17"/>
      <c r="Z39" s="2"/>
      <c r="AA39" s="2"/>
      <c r="AB39" s="2"/>
      <c r="AC39" s="3"/>
      <c r="AD39" s="37"/>
      <c r="AE39" s="9"/>
      <c r="AF39" s="2"/>
      <c r="AG39" s="2"/>
      <c r="AH39" s="2"/>
      <c r="AI39" s="3"/>
      <c r="AJ39" s="10"/>
      <c r="AK39" s="28"/>
      <c r="AL39" s="3"/>
      <c r="AM39" s="3"/>
      <c r="AN39" s="10"/>
      <c r="AO39" s="28"/>
      <c r="AP39" s="28"/>
      <c r="AQ39" s="3"/>
      <c r="AR39" s="10"/>
      <c r="AS39" s="20"/>
      <c r="AT39" s="28"/>
      <c r="AU39" s="3"/>
      <c r="AV39" s="10"/>
      <c r="AW39" s="20"/>
      <c r="AX39" s="28"/>
      <c r="AY39" s="3"/>
      <c r="AZ39" s="10"/>
      <c r="BA39" s="20"/>
      <c r="BB39" s="28"/>
      <c r="BC39" s="3"/>
      <c r="BD39" s="10"/>
      <c r="BE39" s="23"/>
      <c r="BF39" s="28"/>
      <c r="BG39" s="3"/>
      <c r="BH39" s="10"/>
      <c r="BI39" s="20"/>
      <c r="BJ39" s="28"/>
      <c r="BK39" s="3"/>
      <c r="BL39" s="10"/>
    </row>
    <row r="40" spans="2:64" x14ac:dyDescent="0.3">
      <c r="B40" s="62">
        <f t="shared" si="0"/>
        <v>0</v>
      </c>
      <c r="C40" s="47">
        <f t="shared" si="1"/>
        <v>0</v>
      </c>
      <c r="D40" s="47">
        <f t="shared" si="2"/>
        <v>0</v>
      </c>
      <c r="E40" s="47">
        <f t="shared" si="3"/>
        <v>0</v>
      </c>
      <c r="F40" s="47">
        <f t="shared" si="4"/>
        <v>0</v>
      </c>
      <c r="G40" s="47">
        <f t="shared" si="5"/>
        <v>0</v>
      </c>
      <c r="H40" s="47">
        <f t="shared" si="6"/>
        <v>0</v>
      </c>
      <c r="I40" s="47">
        <f t="shared" si="7"/>
        <v>0</v>
      </c>
      <c r="J40" s="47">
        <f t="shared" si="8"/>
        <v>0</v>
      </c>
      <c r="K40" s="63">
        <f t="shared" si="9"/>
        <v>0</v>
      </c>
      <c r="L40" s="55">
        <f t="shared" si="10"/>
        <v>0</v>
      </c>
      <c r="N40" s="33">
        <v>21</v>
      </c>
      <c r="O40" s="28"/>
      <c r="P40" s="88"/>
      <c r="Q40" s="88"/>
      <c r="R40" s="37"/>
      <c r="S40" s="20"/>
      <c r="T40" s="3"/>
      <c r="U40" s="3"/>
      <c r="V40" s="3"/>
      <c r="W40" s="3"/>
      <c r="X40" s="10"/>
      <c r="Y40" s="17"/>
      <c r="Z40" s="2"/>
      <c r="AA40" s="2"/>
      <c r="AB40" s="2"/>
      <c r="AC40" s="3"/>
      <c r="AD40" s="37"/>
      <c r="AE40" s="9"/>
      <c r="AF40" s="2"/>
      <c r="AG40" s="2"/>
      <c r="AH40" s="2"/>
      <c r="AI40" s="3"/>
      <c r="AJ40" s="10"/>
      <c r="AK40" s="28"/>
      <c r="AL40" s="3"/>
      <c r="AM40" s="3"/>
      <c r="AN40" s="10"/>
      <c r="AO40" s="28"/>
      <c r="AP40" s="28"/>
      <c r="AQ40" s="3"/>
      <c r="AR40" s="10"/>
      <c r="AS40" s="20"/>
      <c r="AT40" s="28"/>
      <c r="AU40" s="3"/>
      <c r="AV40" s="10"/>
      <c r="AW40" s="20"/>
      <c r="AX40" s="28"/>
      <c r="AY40" s="3"/>
      <c r="AZ40" s="10"/>
      <c r="BA40" s="20"/>
      <c r="BB40" s="28"/>
      <c r="BC40" s="3"/>
      <c r="BD40" s="10"/>
      <c r="BE40" s="23"/>
      <c r="BF40" s="28"/>
      <c r="BG40" s="3"/>
      <c r="BH40" s="10"/>
      <c r="BI40" s="20"/>
      <c r="BJ40" s="28"/>
      <c r="BK40" s="3"/>
      <c r="BL40" s="10"/>
    </row>
    <row r="41" spans="2:64" x14ac:dyDescent="0.3">
      <c r="B41" s="62">
        <f t="shared" si="0"/>
        <v>0</v>
      </c>
      <c r="C41" s="47">
        <f t="shared" si="1"/>
        <v>0</v>
      </c>
      <c r="D41" s="47">
        <f t="shared" si="2"/>
        <v>0</v>
      </c>
      <c r="E41" s="47">
        <f t="shared" si="3"/>
        <v>0</v>
      </c>
      <c r="F41" s="47">
        <f t="shared" si="4"/>
        <v>0</v>
      </c>
      <c r="G41" s="47">
        <f t="shared" si="5"/>
        <v>0</v>
      </c>
      <c r="H41" s="47">
        <f t="shared" si="6"/>
        <v>0</v>
      </c>
      <c r="I41" s="47">
        <f t="shared" si="7"/>
        <v>0</v>
      </c>
      <c r="J41" s="47">
        <f t="shared" si="8"/>
        <v>0</v>
      </c>
      <c r="K41" s="63">
        <f t="shared" si="9"/>
        <v>0</v>
      </c>
      <c r="L41" s="55">
        <f t="shared" si="10"/>
        <v>0</v>
      </c>
      <c r="N41" s="33">
        <v>22</v>
      </c>
      <c r="O41" s="28"/>
      <c r="P41" s="88"/>
      <c r="Q41" s="88"/>
      <c r="R41" s="37"/>
      <c r="S41" s="20"/>
      <c r="T41" s="3"/>
      <c r="U41" s="3"/>
      <c r="V41" s="3"/>
      <c r="W41" s="3"/>
      <c r="X41" s="10"/>
      <c r="Y41" s="17"/>
      <c r="Z41" s="2"/>
      <c r="AA41" s="2"/>
      <c r="AB41" s="2"/>
      <c r="AC41" s="3"/>
      <c r="AD41" s="37"/>
      <c r="AE41" s="9"/>
      <c r="AF41" s="2"/>
      <c r="AG41" s="2"/>
      <c r="AH41" s="2"/>
      <c r="AI41" s="3"/>
      <c r="AJ41" s="10"/>
      <c r="AK41" s="28"/>
      <c r="AL41" s="3"/>
      <c r="AM41" s="3"/>
      <c r="AN41" s="10"/>
      <c r="AO41" s="28"/>
      <c r="AP41" s="28"/>
      <c r="AQ41" s="3"/>
      <c r="AR41" s="10"/>
      <c r="AS41" s="20"/>
      <c r="AT41" s="28"/>
      <c r="AU41" s="3"/>
      <c r="AV41" s="10"/>
      <c r="AW41" s="20"/>
      <c r="AX41" s="28"/>
      <c r="AY41" s="3"/>
      <c r="AZ41" s="10"/>
      <c r="BA41" s="20"/>
      <c r="BB41" s="28"/>
      <c r="BC41" s="3"/>
      <c r="BD41" s="10"/>
      <c r="BE41" s="23"/>
      <c r="BF41" s="28"/>
      <c r="BG41" s="3"/>
      <c r="BH41" s="10"/>
      <c r="BI41" s="20"/>
      <c r="BJ41" s="28"/>
      <c r="BK41" s="3"/>
      <c r="BL41" s="10"/>
    </row>
    <row r="42" spans="2:64" x14ac:dyDescent="0.3">
      <c r="B42" s="62">
        <f t="shared" si="0"/>
        <v>0</v>
      </c>
      <c r="C42" s="47">
        <f t="shared" si="1"/>
        <v>0</v>
      </c>
      <c r="D42" s="47">
        <f t="shared" si="2"/>
        <v>0</v>
      </c>
      <c r="E42" s="47">
        <f t="shared" si="3"/>
        <v>0</v>
      </c>
      <c r="F42" s="47">
        <f t="shared" si="4"/>
        <v>0</v>
      </c>
      <c r="G42" s="47">
        <f t="shared" si="5"/>
        <v>0</v>
      </c>
      <c r="H42" s="47">
        <f t="shared" si="6"/>
        <v>0</v>
      </c>
      <c r="I42" s="47">
        <f t="shared" si="7"/>
        <v>0</v>
      </c>
      <c r="J42" s="47">
        <f t="shared" si="8"/>
        <v>0</v>
      </c>
      <c r="K42" s="63">
        <f t="shared" si="9"/>
        <v>0</v>
      </c>
      <c r="L42" s="55">
        <f t="shared" si="10"/>
        <v>0</v>
      </c>
      <c r="N42" s="33">
        <v>23</v>
      </c>
      <c r="O42" s="28"/>
      <c r="P42" s="88"/>
      <c r="Q42" s="88"/>
      <c r="R42" s="37"/>
      <c r="S42" s="20"/>
      <c r="T42" s="3"/>
      <c r="U42" s="3"/>
      <c r="V42" s="3"/>
      <c r="W42" s="3"/>
      <c r="X42" s="10"/>
      <c r="Y42" s="17"/>
      <c r="Z42" s="2"/>
      <c r="AA42" s="2"/>
      <c r="AB42" s="2"/>
      <c r="AC42" s="3"/>
      <c r="AD42" s="37"/>
      <c r="AE42" s="9"/>
      <c r="AF42" s="2"/>
      <c r="AG42" s="2"/>
      <c r="AH42" s="2"/>
      <c r="AI42" s="3"/>
      <c r="AJ42" s="10"/>
      <c r="AK42" s="28"/>
      <c r="AL42" s="3"/>
      <c r="AM42" s="3"/>
      <c r="AN42" s="10"/>
      <c r="AO42" s="28"/>
      <c r="AP42" s="28"/>
      <c r="AQ42" s="3"/>
      <c r="AR42" s="10"/>
      <c r="AS42" s="20"/>
      <c r="AT42" s="28"/>
      <c r="AU42" s="3"/>
      <c r="AV42" s="10"/>
      <c r="AW42" s="20"/>
      <c r="AX42" s="28"/>
      <c r="AY42" s="3"/>
      <c r="AZ42" s="10"/>
      <c r="BA42" s="20"/>
      <c r="BB42" s="28"/>
      <c r="BC42" s="3"/>
      <c r="BD42" s="10"/>
      <c r="BE42" s="23"/>
      <c r="BF42" s="28"/>
      <c r="BG42" s="3"/>
      <c r="BH42" s="10"/>
      <c r="BI42" s="20"/>
      <c r="BJ42" s="28"/>
      <c r="BK42" s="3"/>
      <c r="BL42" s="10"/>
    </row>
    <row r="43" spans="2:64" x14ac:dyDescent="0.3">
      <c r="B43" s="62">
        <f t="shared" si="0"/>
        <v>0</v>
      </c>
      <c r="C43" s="47">
        <f t="shared" si="1"/>
        <v>0</v>
      </c>
      <c r="D43" s="47">
        <f t="shared" si="2"/>
        <v>0</v>
      </c>
      <c r="E43" s="47">
        <f t="shared" si="3"/>
        <v>0</v>
      </c>
      <c r="F43" s="47">
        <f t="shared" si="4"/>
        <v>0</v>
      </c>
      <c r="G43" s="47">
        <f t="shared" si="5"/>
        <v>0</v>
      </c>
      <c r="H43" s="47">
        <f t="shared" si="6"/>
        <v>0</v>
      </c>
      <c r="I43" s="47">
        <f t="shared" si="7"/>
        <v>0</v>
      </c>
      <c r="J43" s="47">
        <f t="shared" si="8"/>
        <v>0</v>
      </c>
      <c r="K43" s="63">
        <f t="shared" si="9"/>
        <v>0</v>
      </c>
      <c r="L43" s="55">
        <f t="shared" si="10"/>
        <v>0</v>
      </c>
      <c r="N43" s="33">
        <v>24</v>
      </c>
      <c r="O43" s="28"/>
      <c r="P43" s="88"/>
      <c r="Q43" s="88"/>
      <c r="R43" s="37"/>
      <c r="S43" s="20"/>
      <c r="T43" s="3"/>
      <c r="U43" s="3"/>
      <c r="V43" s="3"/>
      <c r="W43" s="3"/>
      <c r="X43" s="10"/>
      <c r="Y43" s="17"/>
      <c r="Z43" s="2"/>
      <c r="AA43" s="2"/>
      <c r="AB43" s="2"/>
      <c r="AC43" s="3"/>
      <c r="AD43" s="37"/>
      <c r="AE43" s="9"/>
      <c r="AF43" s="2"/>
      <c r="AG43" s="2"/>
      <c r="AH43" s="2"/>
      <c r="AI43" s="3"/>
      <c r="AJ43" s="10"/>
      <c r="AK43" s="28"/>
      <c r="AL43" s="3"/>
      <c r="AM43" s="3"/>
      <c r="AN43" s="10"/>
      <c r="AO43" s="28"/>
      <c r="AP43" s="28"/>
      <c r="AQ43" s="3"/>
      <c r="AR43" s="10"/>
      <c r="AS43" s="20"/>
      <c r="AT43" s="28"/>
      <c r="AU43" s="3"/>
      <c r="AV43" s="10"/>
      <c r="AW43" s="20"/>
      <c r="AX43" s="28"/>
      <c r="AY43" s="3"/>
      <c r="AZ43" s="10"/>
      <c r="BA43" s="20"/>
      <c r="BB43" s="28"/>
      <c r="BC43" s="3"/>
      <c r="BD43" s="10"/>
      <c r="BE43" s="23"/>
      <c r="BF43" s="28"/>
      <c r="BG43" s="3"/>
      <c r="BH43" s="10"/>
      <c r="BI43" s="20"/>
      <c r="BJ43" s="28"/>
      <c r="BK43" s="3"/>
      <c r="BL43" s="10"/>
    </row>
    <row r="44" spans="2:64" x14ac:dyDescent="0.3">
      <c r="B44" s="62">
        <f t="shared" si="0"/>
        <v>0</v>
      </c>
      <c r="C44" s="47">
        <f t="shared" si="1"/>
        <v>0</v>
      </c>
      <c r="D44" s="47">
        <f t="shared" si="2"/>
        <v>0</v>
      </c>
      <c r="E44" s="47">
        <f t="shared" si="3"/>
        <v>0</v>
      </c>
      <c r="F44" s="47">
        <f t="shared" si="4"/>
        <v>0</v>
      </c>
      <c r="G44" s="47">
        <f t="shared" si="5"/>
        <v>0</v>
      </c>
      <c r="H44" s="47">
        <f t="shared" si="6"/>
        <v>0</v>
      </c>
      <c r="I44" s="47">
        <f t="shared" si="7"/>
        <v>0</v>
      </c>
      <c r="J44" s="47">
        <f t="shared" si="8"/>
        <v>0</v>
      </c>
      <c r="K44" s="63">
        <f t="shared" si="9"/>
        <v>0</v>
      </c>
      <c r="L44" s="55">
        <f t="shared" si="10"/>
        <v>0</v>
      </c>
      <c r="N44" s="33">
        <v>25</v>
      </c>
      <c r="O44" s="28"/>
      <c r="P44" s="88"/>
      <c r="Q44" s="88"/>
      <c r="R44" s="37"/>
      <c r="S44" s="20"/>
      <c r="T44" s="3"/>
      <c r="U44" s="3"/>
      <c r="V44" s="3"/>
      <c r="W44" s="3"/>
      <c r="X44" s="10"/>
      <c r="Y44" s="17"/>
      <c r="Z44" s="2"/>
      <c r="AA44" s="2"/>
      <c r="AB44" s="2"/>
      <c r="AC44" s="3"/>
      <c r="AD44" s="37"/>
      <c r="AE44" s="9"/>
      <c r="AF44" s="2"/>
      <c r="AG44" s="2"/>
      <c r="AH44" s="2"/>
      <c r="AI44" s="3"/>
      <c r="AJ44" s="10"/>
      <c r="AK44" s="28"/>
      <c r="AL44" s="3"/>
      <c r="AM44" s="3"/>
      <c r="AN44" s="10"/>
      <c r="AO44" s="28"/>
      <c r="AP44" s="28"/>
      <c r="AQ44" s="3"/>
      <c r="AR44" s="10"/>
      <c r="AS44" s="20"/>
      <c r="AT44" s="28"/>
      <c r="AU44" s="3"/>
      <c r="AV44" s="10"/>
      <c r="AW44" s="20"/>
      <c r="AX44" s="28"/>
      <c r="AY44" s="3"/>
      <c r="AZ44" s="10"/>
      <c r="BA44" s="20"/>
      <c r="BB44" s="28"/>
      <c r="BC44" s="3"/>
      <c r="BD44" s="10"/>
      <c r="BE44" s="23"/>
      <c r="BF44" s="28"/>
      <c r="BG44" s="3"/>
      <c r="BH44" s="10"/>
      <c r="BI44" s="20"/>
      <c r="BJ44" s="28"/>
      <c r="BK44" s="3"/>
      <c r="BL44" s="10"/>
    </row>
    <row r="45" spans="2:64" x14ac:dyDescent="0.3">
      <c r="B45" s="62">
        <f t="shared" si="0"/>
        <v>0</v>
      </c>
      <c r="C45" s="47">
        <f t="shared" si="1"/>
        <v>0</v>
      </c>
      <c r="D45" s="47">
        <f t="shared" si="2"/>
        <v>0</v>
      </c>
      <c r="E45" s="47">
        <f t="shared" si="3"/>
        <v>0</v>
      </c>
      <c r="F45" s="47">
        <f t="shared" si="4"/>
        <v>0</v>
      </c>
      <c r="G45" s="47">
        <f t="shared" si="5"/>
        <v>0</v>
      </c>
      <c r="H45" s="47">
        <f t="shared" si="6"/>
        <v>0</v>
      </c>
      <c r="I45" s="47">
        <f t="shared" si="7"/>
        <v>0</v>
      </c>
      <c r="J45" s="47">
        <f t="shared" si="8"/>
        <v>0</v>
      </c>
      <c r="K45" s="63">
        <f t="shared" si="9"/>
        <v>0</v>
      </c>
      <c r="L45" s="55">
        <f t="shared" si="10"/>
        <v>0</v>
      </c>
      <c r="N45" s="33">
        <v>26</v>
      </c>
      <c r="O45" s="28"/>
      <c r="P45" s="88"/>
      <c r="Q45" s="88"/>
      <c r="R45" s="37"/>
      <c r="S45" s="20"/>
      <c r="T45" s="3"/>
      <c r="U45" s="3"/>
      <c r="V45" s="3"/>
      <c r="W45" s="3"/>
      <c r="X45" s="10"/>
      <c r="Y45" s="17"/>
      <c r="Z45" s="2"/>
      <c r="AA45" s="2"/>
      <c r="AB45" s="2"/>
      <c r="AC45" s="3"/>
      <c r="AD45" s="37"/>
      <c r="AE45" s="9"/>
      <c r="AF45" s="2"/>
      <c r="AG45" s="2"/>
      <c r="AH45" s="2"/>
      <c r="AI45" s="3"/>
      <c r="AJ45" s="10"/>
      <c r="AK45" s="28"/>
      <c r="AL45" s="3"/>
      <c r="AM45" s="3"/>
      <c r="AN45" s="10"/>
      <c r="AO45" s="28"/>
      <c r="AP45" s="28"/>
      <c r="AQ45" s="3"/>
      <c r="AR45" s="10"/>
      <c r="AS45" s="20"/>
      <c r="AT45" s="28"/>
      <c r="AU45" s="3"/>
      <c r="AV45" s="10"/>
      <c r="AW45" s="20"/>
      <c r="AX45" s="28"/>
      <c r="AY45" s="3"/>
      <c r="AZ45" s="10"/>
      <c r="BA45" s="20"/>
      <c r="BB45" s="28"/>
      <c r="BC45" s="3"/>
      <c r="BD45" s="10"/>
      <c r="BE45" s="23"/>
      <c r="BF45" s="28"/>
      <c r="BG45" s="3"/>
      <c r="BH45" s="10"/>
      <c r="BI45" s="20"/>
      <c r="BJ45" s="28"/>
      <c r="BK45" s="3"/>
      <c r="BL45" s="10"/>
    </row>
    <row r="46" spans="2:64" x14ac:dyDescent="0.3">
      <c r="B46" s="62">
        <f t="shared" si="0"/>
        <v>0</v>
      </c>
      <c r="C46" s="47">
        <f t="shared" si="1"/>
        <v>0</v>
      </c>
      <c r="D46" s="47">
        <f t="shared" si="2"/>
        <v>0</v>
      </c>
      <c r="E46" s="47">
        <f t="shared" si="3"/>
        <v>0</v>
      </c>
      <c r="F46" s="47">
        <f t="shared" si="4"/>
        <v>0</v>
      </c>
      <c r="G46" s="47">
        <f t="shared" si="5"/>
        <v>0</v>
      </c>
      <c r="H46" s="47">
        <f t="shared" si="6"/>
        <v>0</v>
      </c>
      <c r="I46" s="47">
        <f t="shared" si="7"/>
        <v>0</v>
      </c>
      <c r="J46" s="47">
        <f t="shared" si="8"/>
        <v>0</v>
      </c>
      <c r="K46" s="63">
        <f t="shared" si="9"/>
        <v>0</v>
      </c>
      <c r="L46" s="55">
        <f t="shared" si="10"/>
        <v>0</v>
      </c>
      <c r="N46" s="33">
        <v>27</v>
      </c>
      <c r="O46" s="28"/>
      <c r="P46" s="88"/>
      <c r="Q46" s="88"/>
      <c r="R46" s="37"/>
      <c r="S46" s="20"/>
      <c r="T46" s="3"/>
      <c r="U46" s="3"/>
      <c r="V46" s="3"/>
      <c r="W46" s="3"/>
      <c r="X46" s="10"/>
      <c r="Y46" s="17"/>
      <c r="Z46" s="2"/>
      <c r="AA46" s="2"/>
      <c r="AB46" s="2"/>
      <c r="AC46" s="3"/>
      <c r="AD46" s="37"/>
      <c r="AE46" s="9"/>
      <c r="AF46" s="2"/>
      <c r="AG46" s="2"/>
      <c r="AH46" s="2"/>
      <c r="AI46" s="3"/>
      <c r="AJ46" s="10"/>
      <c r="AK46" s="28"/>
      <c r="AL46" s="3"/>
      <c r="AM46" s="3"/>
      <c r="AN46" s="10"/>
      <c r="AO46" s="28"/>
      <c r="AP46" s="28"/>
      <c r="AQ46" s="3"/>
      <c r="AR46" s="10"/>
      <c r="AS46" s="20"/>
      <c r="AT46" s="28"/>
      <c r="AU46" s="3"/>
      <c r="AV46" s="10"/>
      <c r="AW46" s="20"/>
      <c r="AX46" s="28"/>
      <c r="AY46" s="3"/>
      <c r="AZ46" s="10"/>
      <c r="BA46" s="20"/>
      <c r="BB46" s="28"/>
      <c r="BC46" s="3"/>
      <c r="BD46" s="10"/>
      <c r="BE46" s="23"/>
      <c r="BF46" s="28"/>
      <c r="BG46" s="3"/>
      <c r="BH46" s="10"/>
      <c r="BI46" s="20"/>
      <c r="BJ46" s="28"/>
      <c r="BK46" s="3"/>
      <c r="BL46" s="10"/>
    </row>
    <row r="47" spans="2:64" x14ac:dyDescent="0.3">
      <c r="B47" s="62">
        <f t="shared" si="0"/>
        <v>0</v>
      </c>
      <c r="C47" s="47">
        <f t="shared" si="1"/>
        <v>0</v>
      </c>
      <c r="D47" s="47">
        <f t="shared" si="2"/>
        <v>0</v>
      </c>
      <c r="E47" s="47">
        <f t="shared" si="3"/>
        <v>0</v>
      </c>
      <c r="F47" s="47">
        <f t="shared" si="4"/>
        <v>0</v>
      </c>
      <c r="G47" s="47">
        <f t="shared" si="5"/>
        <v>0</v>
      </c>
      <c r="H47" s="47">
        <f t="shared" si="6"/>
        <v>0</v>
      </c>
      <c r="I47" s="47">
        <f t="shared" si="7"/>
        <v>0</v>
      </c>
      <c r="J47" s="47">
        <f t="shared" si="8"/>
        <v>0</v>
      </c>
      <c r="K47" s="63">
        <f t="shared" si="9"/>
        <v>0</v>
      </c>
      <c r="L47" s="55">
        <f t="shared" si="10"/>
        <v>0</v>
      </c>
      <c r="N47" s="33">
        <v>28</v>
      </c>
      <c r="O47" s="28"/>
      <c r="P47" s="88"/>
      <c r="Q47" s="88"/>
      <c r="R47" s="37"/>
      <c r="S47" s="20"/>
      <c r="T47" s="3"/>
      <c r="U47" s="3"/>
      <c r="V47" s="3"/>
      <c r="W47" s="3"/>
      <c r="X47" s="10"/>
      <c r="Y47" s="17"/>
      <c r="Z47" s="2"/>
      <c r="AA47" s="2"/>
      <c r="AB47" s="2"/>
      <c r="AC47" s="3"/>
      <c r="AD47" s="37"/>
      <c r="AE47" s="9"/>
      <c r="AF47" s="2"/>
      <c r="AG47" s="2"/>
      <c r="AH47" s="2"/>
      <c r="AI47" s="3"/>
      <c r="AJ47" s="10"/>
      <c r="AK47" s="28"/>
      <c r="AL47" s="3"/>
      <c r="AM47" s="3"/>
      <c r="AN47" s="10"/>
      <c r="AO47" s="28"/>
      <c r="AP47" s="28"/>
      <c r="AQ47" s="3"/>
      <c r="AR47" s="10"/>
      <c r="AS47" s="20"/>
      <c r="AT47" s="28"/>
      <c r="AU47" s="3"/>
      <c r="AV47" s="10"/>
      <c r="AW47" s="20"/>
      <c r="AX47" s="28"/>
      <c r="AY47" s="3"/>
      <c r="AZ47" s="10"/>
      <c r="BA47" s="20"/>
      <c r="BB47" s="28"/>
      <c r="BC47" s="3"/>
      <c r="BD47" s="10"/>
      <c r="BE47" s="23"/>
      <c r="BF47" s="28"/>
      <c r="BG47" s="3"/>
      <c r="BH47" s="10"/>
      <c r="BI47" s="20"/>
      <c r="BJ47" s="28"/>
      <c r="BK47" s="3"/>
      <c r="BL47" s="10"/>
    </row>
    <row r="48" spans="2:64" x14ac:dyDescent="0.3">
      <c r="B48" s="62">
        <f t="shared" si="0"/>
        <v>0</v>
      </c>
      <c r="C48" s="47">
        <f t="shared" si="1"/>
        <v>0</v>
      </c>
      <c r="D48" s="47">
        <f t="shared" si="2"/>
        <v>0</v>
      </c>
      <c r="E48" s="47">
        <f t="shared" si="3"/>
        <v>0</v>
      </c>
      <c r="F48" s="47">
        <f t="shared" si="4"/>
        <v>0</v>
      </c>
      <c r="G48" s="47">
        <f t="shared" si="5"/>
        <v>0</v>
      </c>
      <c r="H48" s="47">
        <f t="shared" si="6"/>
        <v>0</v>
      </c>
      <c r="I48" s="47">
        <f t="shared" si="7"/>
        <v>0</v>
      </c>
      <c r="J48" s="47">
        <f t="shared" si="8"/>
        <v>0</v>
      </c>
      <c r="K48" s="63">
        <f t="shared" si="9"/>
        <v>0</v>
      </c>
      <c r="L48" s="55">
        <f t="shared" si="10"/>
        <v>0</v>
      </c>
      <c r="N48" s="33">
        <v>29</v>
      </c>
      <c r="O48" s="28"/>
      <c r="P48" s="88"/>
      <c r="Q48" s="88"/>
      <c r="R48" s="37"/>
      <c r="S48" s="20"/>
      <c r="T48" s="3"/>
      <c r="U48" s="3"/>
      <c r="V48" s="3"/>
      <c r="W48" s="3"/>
      <c r="X48" s="10"/>
      <c r="Y48" s="17"/>
      <c r="Z48" s="2"/>
      <c r="AA48" s="2"/>
      <c r="AB48" s="2"/>
      <c r="AC48" s="3"/>
      <c r="AD48" s="37"/>
      <c r="AE48" s="9"/>
      <c r="AF48" s="2"/>
      <c r="AG48" s="2"/>
      <c r="AH48" s="2"/>
      <c r="AI48" s="3"/>
      <c r="AJ48" s="10"/>
      <c r="AK48" s="28"/>
      <c r="AL48" s="3"/>
      <c r="AM48" s="3"/>
      <c r="AN48" s="10"/>
      <c r="AO48" s="28"/>
      <c r="AP48" s="28"/>
      <c r="AQ48" s="3"/>
      <c r="AR48" s="10"/>
      <c r="AS48" s="20"/>
      <c r="AT48" s="28"/>
      <c r="AU48" s="3"/>
      <c r="AV48" s="10"/>
      <c r="AW48" s="20"/>
      <c r="AX48" s="28"/>
      <c r="AY48" s="3"/>
      <c r="AZ48" s="10"/>
      <c r="BA48" s="20"/>
      <c r="BB48" s="28"/>
      <c r="BC48" s="3"/>
      <c r="BD48" s="10"/>
      <c r="BE48" s="23"/>
      <c r="BF48" s="28"/>
      <c r="BG48" s="3"/>
      <c r="BH48" s="10"/>
      <c r="BI48" s="20"/>
      <c r="BJ48" s="28"/>
      <c r="BK48" s="3"/>
      <c r="BL48" s="10"/>
    </row>
    <row r="49" spans="2:64" x14ac:dyDescent="0.3">
      <c r="B49" s="62">
        <f t="shared" si="0"/>
        <v>0</v>
      </c>
      <c r="C49" s="47">
        <f t="shared" si="1"/>
        <v>0</v>
      </c>
      <c r="D49" s="47">
        <f t="shared" si="2"/>
        <v>0</v>
      </c>
      <c r="E49" s="47">
        <f t="shared" si="3"/>
        <v>0</v>
      </c>
      <c r="F49" s="47">
        <f t="shared" si="4"/>
        <v>0</v>
      </c>
      <c r="G49" s="47">
        <f t="shared" si="5"/>
        <v>0</v>
      </c>
      <c r="H49" s="47">
        <f t="shared" si="6"/>
        <v>0</v>
      </c>
      <c r="I49" s="47">
        <f t="shared" si="7"/>
        <v>0</v>
      </c>
      <c r="J49" s="47">
        <f t="shared" si="8"/>
        <v>0</v>
      </c>
      <c r="K49" s="63">
        <f t="shared" si="9"/>
        <v>0</v>
      </c>
      <c r="L49" s="55">
        <f t="shared" si="10"/>
        <v>0</v>
      </c>
      <c r="N49" s="33">
        <v>30</v>
      </c>
      <c r="O49" s="28"/>
      <c r="P49" s="88"/>
      <c r="Q49" s="88"/>
      <c r="R49" s="37"/>
      <c r="S49" s="20"/>
      <c r="T49" s="3"/>
      <c r="U49" s="3"/>
      <c r="V49" s="3"/>
      <c r="W49" s="3"/>
      <c r="X49" s="10"/>
      <c r="Y49" s="17"/>
      <c r="Z49" s="2"/>
      <c r="AA49" s="2"/>
      <c r="AB49" s="2"/>
      <c r="AC49" s="3"/>
      <c r="AD49" s="37"/>
      <c r="AE49" s="9"/>
      <c r="AF49" s="2"/>
      <c r="AG49" s="2"/>
      <c r="AH49" s="2"/>
      <c r="AI49" s="3"/>
      <c r="AJ49" s="10"/>
      <c r="AK49" s="28"/>
      <c r="AL49" s="3"/>
      <c r="AM49" s="3"/>
      <c r="AN49" s="10"/>
      <c r="AO49" s="28"/>
      <c r="AP49" s="28"/>
      <c r="AQ49" s="3"/>
      <c r="AR49" s="10"/>
      <c r="AS49" s="20"/>
      <c r="AT49" s="28"/>
      <c r="AU49" s="3"/>
      <c r="AV49" s="10"/>
      <c r="AW49" s="20"/>
      <c r="AX49" s="28"/>
      <c r="AY49" s="3"/>
      <c r="AZ49" s="10"/>
      <c r="BA49" s="20"/>
      <c r="BB49" s="28"/>
      <c r="BC49" s="3"/>
      <c r="BD49" s="10"/>
      <c r="BE49" s="23"/>
      <c r="BF49" s="28"/>
      <c r="BG49" s="3"/>
      <c r="BH49" s="10"/>
      <c r="BI49" s="20"/>
      <c r="BJ49" s="28"/>
      <c r="BK49" s="3"/>
      <c r="BL49" s="10"/>
    </row>
    <row r="50" spans="2:64" x14ac:dyDescent="0.3">
      <c r="B50" s="62">
        <f t="shared" si="0"/>
        <v>0</v>
      </c>
      <c r="C50" s="47">
        <f t="shared" si="1"/>
        <v>0</v>
      </c>
      <c r="D50" s="47">
        <f t="shared" si="2"/>
        <v>0</v>
      </c>
      <c r="E50" s="47">
        <f t="shared" si="3"/>
        <v>0</v>
      </c>
      <c r="F50" s="47">
        <f t="shared" si="4"/>
        <v>0</v>
      </c>
      <c r="G50" s="47">
        <f t="shared" si="5"/>
        <v>0</v>
      </c>
      <c r="H50" s="47">
        <f t="shared" si="6"/>
        <v>0</v>
      </c>
      <c r="I50" s="47">
        <f t="shared" si="7"/>
        <v>0</v>
      </c>
      <c r="J50" s="47">
        <f t="shared" si="8"/>
        <v>0</v>
      </c>
      <c r="K50" s="63">
        <f t="shared" si="9"/>
        <v>0</v>
      </c>
      <c r="L50" s="55">
        <f t="shared" si="10"/>
        <v>0</v>
      </c>
      <c r="N50" s="33">
        <v>31</v>
      </c>
      <c r="O50" s="28"/>
      <c r="P50" s="88"/>
      <c r="Q50" s="88"/>
      <c r="R50" s="37"/>
      <c r="S50" s="20"/>
      <c r="T50" s="3"/>
      <c r="U50" s="3"/>
      <c r="V50" s="3"/>
      <c r="W50" s="3"/>
      <c r="X50" s="10"/>
      <c r="Y50" s="17"/>
      <c r="Z50" s="2"/>
      <c r="AA50" s="2"/>
      <c r="AB50" s="2"/>
      <c r="AC50" s="3"/>
      <c r="AD50" s="37"/>
      <c r="AE50" s="9"/>
      <c r="AF50" s="2"/>
      <c r="AG50" s="2"/>
      <c r="AH50" s="2"/>
      <c r="AI50" s="3"/>
      <c r="AJ50" s="10"/>
      <c r="AK50" s="28"/>
      <c r="AL50" s="3"/>
      <c r="AM50" s="3"/>
      <c r="AN50" s="10"/>
      <c r="AO50" s="28"/>
      <c r="AP50" s="28"/>
      <c r="AQ50" s="3"/>
      <c r="AR50" s="10"/>
      <c r="AS50" s="20"/>
      <c r="AT50" s="28"/>
      <c r="AU50" s="3"/>
      <c r="AV50" s="10"/>
      <c r="AW50" s="20"/>
      <c r="AX50" s="28"/>
      <c r="AY50" s="3"/>
      <c r="AZ50" s="10"/>
      <c r="BA50" s="20"/>
      <c r="BB50" s="28"/>
      <c r="BC50" s="3"/>
      <c r="BD50" s="10"/>
      <c r="BE50" s="23"/>
      <c r="BF50" s="28"/>
      <c r="BG50" s="3"/>
      <c r="BH50" s="10"/>
      <c r="BI50" s="20"/>
      <c r="BJ50" s="28"/>
      <c r="BK50" s="3"/>
      <c r="BL50" s="10"/>
    </row>
    <row r="51" spans="2:64" ht="15" thickBot="1" x14ac:dyDescent="0.35">
      <c r="B51" s="64">
        <f t="shared" si="0"/>
        <v>0</v>
      </c>
      <c r="C51" s="65">
        <f t="shared" si="1"/>
        <v>0</v>
      </c>
      <c r="D51" s="65">
        <f t="shared" si="2"/>
        <v>0</v>
      </c>
      <c r="E51" s="65">
        <f t="shared" si="3"/>
        <v>0</v>
      </c>
      <c r="F51" s="65">
        <f t="shared" si="4"/>
        <v>0</v>
      </c>
      <c r="G51" s="65">
        <f t="shared" si="5"/>
        <v>0</v>
      </c>
      <c r="H51" s="65">
        <f t="shared" si="6"/>
        <v>0</v>
      </c>
      <c r="I51" s="65">
        <f t="shared" si="7"/>
        <v>0</v>
      </c>
      <c r="J51" s="65">
        <f t="shared" si="8"/>
        <v>0</v>
      </c>
      <c r="K51" s="66">
        <f t="shared" si="9"/>
        <v>0</v>
      </c>
      <c r="L51" s="55">
        <f t="shared" si="10"/>
        <v>0</v>
      </c>
      <c r="N51" s="33">
        <v>32</v>
      </c>
      <c r="O51" s="28"/>
      <c r="P51" s="88"/>
      <c r="Q51" s="88"/>
      <c r="R51" s="37"/>
      <c r="S51" s="20"/>
      <c r="T51" s="3"/>
      <c r="U51" s="3"/>
      <c r="V51" s="3"/>
      <c r="W51" s="3"/>
      <c r="X51" s="10"/>
      <c r="Y51" s="17"/>
      <c r="Z51" s="2"/>
      <c r="AA51" s="2"/>
      <c r="AB51" s="2"/>
      <c r="AC51" s="3"/>
      <c r="AD51" s="37"/>
      <c r="AE51" s="9"/>
      <c r="AF51" s="2"/>
      <c r="AG51" s="2"/>
      <c r="AH51" s="2"/>
      <c r="AI51" s="3"/>
      <c r="AJ51" s="10"/>
      <c r="AK51" s="28"/>
      <c r="AL51" s="3"/>
      <c r="AM51" s="3"/>
      <c r="AN51" s="10"/>
      <c r="AO51" s="28"/>
      <c r="AP51" s="28"/>
      <c r="AQ51" s="3"/>
      <c r="AR51" s="10"/>
      <c r="AS51" s="20"/>
      <c r="AT51" s="28"/>
      <c r="AU51" s="3"/>
      <c r="AV51" s="10"/>
      <c r="AW51" s="20"/>
      <c r="AX51" s="28"/>
      <c r="AY51" s="3"/>
      <c r="AZ51" s="10"/>
      <c r="BA51" s="20"/>
      <c r="BB51" s="28"/>
      <c r="BC51" s="3"/>
      <c r="BD51" s="10"/>
      <c r="BE51" s="23"/>
      <c r="BF51" s="28"/>
      <c r="BG51" s="3"/>
      <c r="BH51" s="10"/>
      <c r="BI51" s="20"/>
      <c r="BJ51" s="28"/>
      <c r="BK51" s="3"/>
      <c r="BL51" s="10"/>
    </row>
    <row r="52" spans="2:64" x14ac:dyDescent="0.3">
      <c r="N52" s="34" t="s">
        <v>25</v>
      </c>
      <c r="O52" s="29"/>
      <c r="P52" s="89"/>
      <c r="Q52" s="89"/>
      <c r="R52" s="38"/>
      <c r="S52" s="18">
        <f>AVERAGE(S20:S51)</f>
        <v>9.9999999999999995E-7</v>
      </c>
      <c r="T52" s="4">
        <f>AVERAGE(T20:T51)</f>
        <v>9.9999999999999995E-7</v>
      </c>
      <c r="U52" s="4">
        <f>AVERAGE(U20:U51)</f>
        <v>9.9999999999999995E-7</v>
      </c>
      <c r="V52" s="4" t="e">
        <f>AVERAGE(V20:V51)</f>
        <v>#DIV/0!</v>
      </c>
      <c r="W52" s="4">
        <f>(SUM(D20:D51)+SUM(T20:T51)+SUM(S20:S51)*0.35)/SUM(S20:U51)</f>
        <v>0.45</v>
      </c>
      <c r="X52" s="48" t="e">
        <f>AVERAGE(X20:X51)</f>
        <v>#DIV/0!</v>
      </c>
      <c r="Y52" s="58">
        <f>AVERAGE(Y20:Y51)</f>
        <v>9.9999999999999995E-7</v>
      </c>
      <c r="Z52" s="56">
        <f>AVERAGE(Z20:Z51)</f>
        <v>9.9999999999999995E-7</v>
      </c>
      <c r="AA52" s="56">
        <f>AVERAGE(AA20:AA51)</f>
        <v>9.9999999999999995E-7</v>
      </c>
      <c r="AB52" s="56" t="e">
        <f>AVERAGE(AB20:AB51)</f>
        <v>#DIV/0!</v>
      </c>
      <c r="AC52" s="56">
        <f>(SUM(B20:B51)+SUM(Z20:Z51)+SUM(Y20:Y51)*0.35)/SUM(Y20:AA51)</f>
        <v>0.45</v>
      </c>
      <c r="AD52" s="76" t="e">
        <f>AVERAGE(AD20:AD51)</f>
        <v>#DIV/0!</v>
      </c>
      <c r="AE52" s="79">
        <f>AVERAGE(AE20:AE51)</f>
        <v>0.90000010000000008</v>
      </c>
      <c r="AF52" s="56">
        <f>AVERAGE(AF20:AF51)</f>
        <v>3.3000000999999997</v>
      </c>
      <c r="AG52" s="56">
        <f>AVERAGE(AG20:AG51)</f>
        <v>3.5000000999999998</v>
      </c>
      <c r="AH52" s="56">
        <f>AVERAGE(AH20:AH51)</f>
        <v>2.625</v>
      </c>
      <c r="AI52" s="56">
        <f>(SUM(C20:C51)+SUM(AF20:AF51)+SUM(AE20:AE51)*0.35)/SUM(AE20:AG51)</f>
        <v>1.7162337168999853</v>
      </c>
      <c r="AJ52" s="57">
        <f>AVERAGE(AJ20:AJ51)</f>
        <v>16.875</v>
      </c>
      <c r="AK52" s="58">
        <f>AVERAGE(AK20:AK51)</f>
        <v>7.5</v>
      </c>
      <c r="AL52" s="56">
        <f>AVERAGE(AL20:AL51)</f>
        <v>5.5625</v>
      </c>
      <c r="AM52" s="56">
        <f>SUM(E20:E51)/SUM(AK20:AK51)</f>
        <v>8.7959999999999994</v>
      </c>
      <c r="AN52" s="57">
        <f>AVERAGE(AN20:AN51)</f>
        <v>17.75</v>
      </c>
      <c r="AO52" s="58">
        <f>AVERAGE(AO20:AO51)</f>
        <v>4.2000000999999996</v>
      </c>
      <c r="AP52" s="56">
        <f>AVERAGE(AP20:AP51)</f>
        <v>5.0999999999999996</v>
      </c>
      <c r="AQ52" s="56">
        <f>SUM(F20:F51)/SUM(AO20:AO51)</f>
        <v>7.1190474495464899</v>
      </c>
      <c r="AR52" s="57">
        <f>AVERAGE(AR20:AR51)</f>
        <v>16.8</v>
      </c>
      <c r="AS52" s="58">
        <f>AVERAGE(AS20:AS51)</f>
        <v>3</v>
      </c>
      <c r="AT52" s="56">
        <f>AVERAGE(AT20:AT51)</f>
        <v>1.9</v>
      </c>
      <c r="AU52" s="56">
        <f>SUM(G20:G51)/SUM(AS20:AS51)</f>
        <v>3.1866666666666665</v>
      </c>
      <c r="AV52" s="57">
        <f>AVERAGE(AV20:AV51)</f>
        <v>16</v>
      </c>
      <c r="AW52" s="58">
        <f>AVERAGE(AW20:AW51)</f>
        <v>0.20000010000000001</v>
      </c>
      <c r="AX52" s="56">
        <f>AVERAGE(AX20:AX51)</f>
        <v>0.5</v>
      </c>
      <c r="AY52" s="56">
        <f>SUM(H20:H51)/SUM(AW20:AW51)</f>
        <v>2.699998650000675</v>
      </c>
      <c r="AZ52" s="57">
        <f>AVERAGE(AZ20:AZ51)</f>
        <v>13</v>
      </c>
      <c r="BA52" s="58">
        <f>AVERAGE(BA20:BA51)</f>
        <v>9.9999999999999995E-7</v>
      </c>
      <c r="BB52" s="56" t="e">
        <f>AVERAGE(BB20:BB51)</f>
        <v>#DIV/0!</v>
      </c>
      <c r="BC52" s="56">
        <f>SUM(I20:I51)/SUM(BA20:BA51)</f>
        <v>0</v>
      </c>
      <c r="BD52" s="57" t="e">
        <f>AVERAGE(BD20:BD51)</f>
        <v>#DIV/0!</v>
      </c>
      <c r="BE52" s="58">
        <f>AVERAGE(BE20:BE51)</f>
        <v>9.9999999999999995E-7</v>
      </c>
      <c r="BF52" s="56" t="e">
        <f>AVERAGE(BF20:BF51)</f>
        <v>#DIV/0!</v>
      </c>
      <c r="BG52" s="56">
        <f>SUM(J20:J51)/SUM(BE20:BE51)</f>
        <v>0</v>
      </c>
      <c r="BH52" s="57" t="e">
        <f>AVERAGE(BH20:BH51)</f>
        <v>#DIV/0!</v>
      </c>
      <c r="BI52" s="58">
        <f>AVERAGE(BI20:BI51)</f>
        <v>1.0000005000000001</v>
      </c>
      <c r="BJ52" s="56" t="e">
        <f>AVERAGE(BJ20:BJ51)</f>
        <v>#DIV/0!</v>
      </c>
      <c r="BK52" s="56">
        <f>SUM(K20:K51)/SUM(BI20:BI51)</f>
        <v>5.4999972500013747</v>
      </c>
      <c r="BL52" s="57">
        <f>AVERAGE(BL20:BL51)</f>
        <v>13</v>
      </c>
    </row>
    <row r="53" spans="2:64" x14ac:dyDescent="0.3">
      <c r="N53" s="34" t="s">
        <v>30</v>
      </c>
      <c r="O53" s="29"/>
      <c r="P53" s="89"/>
      <c r="Q53" s="89"/>
      <c r="R53" s="38"/>
      <c r="S53" s="18"/>
      <c r="T53" s="4"/>
      <c r="U53" s="4"/>
      <c r="V53" s="4"/>
      <c r="W53" s="5">
        <f>SUM(D20:D51)/SUM(U20:U51)</f>
        <v>0</v>
      </c>
      <c r="X53" s="38"/>
      <c r="Y53" s="58"/>
      <c r="Z53" s="56"/>
      <c r="AA53" s="56"/>
      <c r="AB53" s="56"/>
      <c r="AC53" s="77">
        <f>SUM(B20:B51)/SUM(AA20:AA51)</f>
        <v>0</v>
      </c>
      <c r="AD53" s="78"/>
      <c r="AE53" s="79"/>
      <c r="AF53" s="56"/>
      <c r="AG53" s="56"/>
      <c r="AH53" s="56"/>
      <c r="AI53" s="77">
        <f>SUM(C20:C51)/SUM(AG20:AG51)</f>
        <v>2.7428570644897983</v>
      </c>
      <c r="AJ53" s="80"/>
      <c r="AK53" s="29"/>
      <c r="AL53" s="5"/>
      <c r="AM53" s="5"/>
      <c r="AN53" s="12"/>
      <c r="AO53" s="29"/>
      <c r="AP53" s="29"/>
      <c r="AQ53" s="5"/>
      <c r="AR53" s="12"/>
      <c r="AS53" s="21"/>
      <c r="AT53" s="29"/>
      <c r="AU53" s="5"/>
      <c r="AV53" s="12"/>
      <c r="AW53" s="21"/>
      <c r="AX53" s="29"/>
      <c r="AY53" s="5"/>
      <c r="AZ53" s="12"/>
      <c r="BA53" s="21"/>
      <c r="BB53" s="29"/>
      <c r="BC53" s="5"/>
      <c r="BD53" s="12"/>
      <c r="BE53" s="21"/>
      <c r="BF53" s="29"/>
      <c r="BG53" s="5"/>
      <c r="BH53" s="12"/>
      <c r="BI53" s="21"/>
      <c r="BJ53" s="29"/>
      <c r="BK53" s="5"/>
      <c r="BL53" s="12"/>
    </row>
    <row r="54" spans="2:64" x14ac:dyDescent="0.3">
      <c r="N54" s="34" t="s">
        <v>11</v>
      </c>
      <c r="O54" s="29"/>
      <c r="P54" s="89"/>
      <c r="Q54" s="89"/>
      <c r="R54" s="38"/>
      <c r="S54" s="21"/>
      <c r="T54" s="5"/>
      <c r="U54" s="5"/>
      <c r="V54" s="5"/>
      <c r="W54" s="5"/>
      <c r="X54" s="12"/>
      <c r="Y54" s="18"/>
      <c r="Z54" s="4"/>
      <c r="AA54" s="4"/>
      <c r="AB54" s="4"/>
      <c r="AC54" s="5"/>
      <c r="AD54" s="38"/>
      <c r="AE54" s="11"/>
      <c r="AF54" s="4"/>
      <c r="AG54" s="4"/>
      <c r="AH54" s="4"/>
      <c r="AI54" s="5"/>
      <c r="AJ54" s="12"/>
      <c r="AK54" s="29"/>
      <c r="AL54" s="5"/>
      <c r="AM54" s="5"/>
      <c r="AN54" s="12"/>
      <c r="AO54" s="29"/>
      <c r="AP54" s="29"/>
      <c r="AQ54" s="5"/>
      <c r="AR54" s="12"/>
      <c r="AS54" s="21"/>
      <c r="AT54" s="29"/>
      <c r="AU54" s="5"/>
      <c r="AV54" s="12"/>
      <c r="AW54" s="21"/>
      <c r="AX54" s="29"/>
      <c r="AY54" s="5"/>
      <c r="AZ54" s="12"/>
      <c r="BA54" s="21"/>
      <c r="BB54" s="29"/>
      <c r="BC54" s="5"/>
      <c r="BD54" s="12"/>
      <c r="BE54" s="21"/>
      <c r="BF54" s="29"/>
      <c r="BG54" s="5"/>
      <c r="BH54" s="12"/>
      <c r="BI54" s="21"/>
      <c r="BJ54" s="29"/>
      <c r="BK54" s="5"/>
      <c r="BL54" s="12"/>
    </row>
    <row r="55" spans="2:64" ht="15" thickBot="1" x14ac:dyDescent="0.35">
      <c r="N55" s="35" t="s">
        <v>12</v>
      </c>
      <c r="O55" s="30"/>
      <c r="P55" s="90"/>
      <c r="Q55" s="90"/>
      <c r="R55" s="39"/>
      <c r="S55" s="22"/>
      <c r="T55" s="15"/>
      <c r="U55" s="15"/>
      <c r="V55" s="15"/>
      <c r="W55" s="15"/>
      <c r="X55" s="16"/>
      <c r="Y55" s="19"/>
      <c r="Z55" s="14"/>
      <c r="AA55" s="14"/>
      <c r="AB55" s="14"/>
      <c r="AC55" s="15"/>
      <c r="AD55" s="39"/>
      <c r="AE55" s="13"/>
      <c r="AF55" s="14"/>
      <c r="AG55" s="14"/>
      <c r="AH55" s="14"/>
      <c r="AI55" s="15"/>
      <c r="AJ55" s="16"/>
      <c r="AK55" s="30"/>
      <c r="AL55" s="15"/>
      <c r="AM55" s="15"/>
      <c r="AN55" s="16"/>
      <c r="AO55" s="30"/>
      <c r="AP55" s="30"/>
      <c r="AQ55" s="15"/>
      <c r="AR55" s="16"/>
      <c r="AS55" s="22"/>
      <c r="AT55" s="30"/>
      <c r="AU55" s="15"/>
      <c r="AV55" s="16"/>
      <c r="AW55" s="22"/>
      <c r="AX55" s="30"/>
      <c r="AY55" s="15"/>
      <c r="AZ55" s="16"/>
      <c r="BA55" s="22"/>
      <c r="BB55" s="30"/>
      <c r="BC55" s="15"/>
      <c r="BD55" s="16"/>
      <c r="BE55" s="22"/>
      <c r="BF55" s="30"/>
      <c r="BG55" s="15"/>
      <c r="BH55" s="16"/>
      <c r="BI55" s="22"/>
      <c r="BJ55" s="30"/>
      <c r="BK55" s="15"/>
      <c r="BL55" s="16"/>
    </row>
    <row r="60" spans="2:64" ht="15" thickBot="1" x14ac:dyDescent="0.35">
      <c r="U60">
        <f>T13</f>
        <v>0</v>
      </c>
      <c r="V60" t="s">
        <v>33</v>
      </c>
    </row>
    <row r="61" spans="2:64" ht="15" thickBot="1" x14ac:dyDescent="0.35">
      <c r="B61" s="59" t="s">
        <v>44</v>
      </c>
      <c r="C61" s="60"/>
      <c r="D61" s="61"/>
      <c r="E61" s="47"/>
      <c r="F61" s="47"/>
      <c r="I61" s="47"/>
      <c r="J61" s="47"/>
      <c r="K61" s="47"/>
      <c r="O61" t="s">
        <v>161</v>
      </c>
    </row>
    <row r="62" spans="2:64" ht="15" thickBot="1" x14ac:dyDescent="0.35">
      <c r="B62" s="73" t="str">
        <f>V62</f>
        <v>D, см</v>
      </c>
      <c r="C62" s="74" t="str">
        <f>W62</f>
        <v>h, м</v>
      </c>
      <c r="D62" s="75" t="str">
        <f>X62</f>
        <v>A, лет</v>
      </c>
      <c r="E62" s="47"/>
      <c r="F62" s="47"/>
      <c r="I62" s="47"/>
      <c r="J62" s="47"/>
      <c r="K62" s="47"/>
      <c r="O62" s="115"/>
      <c r="P62" s="116"/>
      <c r="Q62" s="116"/>
      <c r="R62" s="116"/>
      <c r="S62" s="116"/>
      <c r="T62" s="116"/>
      <c r="U62" s="116" t="s">
        <v>24</v>
      </c>
      <c r="V62" s="116" t="str">
        <f>AB19</f>
        <v>D, см</v>
      </c>
      <c r="W62" s="116" t="str">
        <f>AC19</f>
        <v>h, м</v>
      </c>
      <c r="X62" s="117" t="str">
        <f>AD19</f>
        <v>A, лет</v>
      </c>
    </row>
    <row r="63" spans="2:64" x14ac:dyDescent="0.3">
      <c r="B63" s="81" t="e">
        <f>V63*U63</f>
        <v>#DIV/0!</v>
      </c>
      <c r="C63" s="82">
        <f>W63*U63</f>
        <v>1.352643064548127E-6</v>
      </c>
      <c r="D63" s="83" t="e">
        <f>X63*U63</f>
        <v>#DIV/0!</v>
      </c>
      <c r="E63" s="47"/>
      <c r="F63" s="85"/>
      <c r="H63" s="47"/>
      <c r="I63" s="47"/>
      <c r="J63" s="47"/>
      <c r="K63" s="47"/>
      <c r="O63" s="138">
        <f t="shared" ref="O63:O72" si="11">U63/$U$75*10</f>
        <v>1.2711859559036609E-6</v>
      </c>
      <c r="P63" s="139"/>
      <c r="Q63" s="139"/>
      <c r="R63" s="47" t="str">
        <f>S18</f>
        <v>Сосна</v>
      </c>
      <c r="S63" s="47"/>
      <c r="T63" s="47"/>
      <c r="U63" s="123">
        <f>SUM(S52:U52)/(AE16*AE16*3.15/10000*1000)</f>
        <v>3.0058734767736153E-6</v>
      </c>
      <c r="V63" s="139" t="e">
        <f>V52</f>
        <v>#DIV/0!</v>
      </c>
      <c r="W63" s="139">
        <f>W52</f>
        <v>0.45</v>
      </c>
      <c r="X63" s="140" t="e">
        <f>X52</f>
        <v>#DIV/0!</v>
      </c>
      <c r="Y63" s="55"/>
    </row>
    <row r="64" spans="2:64" x14ac:dyDescent="0.3">
      <c r="B64" s="81" t="e">
        <f t="shared" ref="B64:B72" si="12">V64*U64</f>
        <v>#DIV/0!</v>
      </c>
      <c r="C64" s="82">
        <f t="shared" ref="C64:C72" si="13">W64*U64</f>
        <v>1.352643064548127E-6</v>
      </c>
      <c r="D64" s="83" t="e">
        <f t="shared" ref="D64:D72" si="14">X64*U64</f>
        <v>#DIV/0!</v>
      </c>
      <c r="E64" s="47"/>
      <c r="F64" s="85"/>
      <c r="H64" s="47"/>
      <c r="I64" s="47"/>
      <c r="J64" s="47"/>
      <c r="K64" s="47"/>
      <c r="O64" s="138">
        <f t="shared" si="11"/>
        <v>1.2711859559036609E-6</v>
      </c>
      <c r="P64" s="139"/>
      <c r="Q64" s="139"/>
      <c r="R64" s="47" t="str">
        <f>Y18</f>
        <v>Ель из подроста</v>
      </c>
      <c r="S64" s="47"/>
      <c r="T64" s="47"/>
      <c r="U64" s="123">
        <f>SUM(Y52:AA52)/(AE16*AE16*3.15/10000*1000)</f>
        <v>3.0058734767736153E-6</v>
      </c>
      <c r="V64" s="139" t="e">
        <f>AB52</f>
        <v>#DIV/0!</v>
      </c>
      <c r="W64" s="139">
        <f>AC52</f>
        <v>0.45</v>
      </c>
      <c r="X64" s="140" t="e">
        <f>AD52</f>
        <v>#DIV/0!</v>
      </c>
      <c r="Y64" s="55"/>
    </row>
    <row r="65" spans="2:25" x14ac:dyDescent="0.3">
      <c r="B65" s="81">
        <f t="shared" si="12"/>
        <v>20.252073338804021</v>
      </c>
      <c r="C65" s="82">
        <f t="shared" si="13"/>
        <v>13.240872800452083</v>
      </c>
      <c r="D65" s="83">
        <f t="shared" si="14"/>
        <v>130.19190003516869</v>
      </c>
      <c r="E65" s="47"/>
      <c r="F65" s="47"/>
      <c r="G65" s="47"/>
      <c r="H65" s="47"/>
      <c r="I65" s="47"/>
      <c r="J65" s="47"/>
      <c r="K65" s="47"/>
      <c r="O65" s="138">
        <f t="shared" si="11"/>
        <v>3.2627107472713246</v>
      </c>
      <c r="P65" s="139"/>
      <c r="Q65" s="139"/>
      <c r="R65" s="47" t="str">
        <f>AE18</f>
        <v>ЕЛЬ лесные культуры</v>
      </c>
      <c r="S65" s="47"/>
      <c r="T65" s="47"/>
      <c r="U65" s="123">
        <f>SUM(AE52:AG52)/(AE16*AE16*3.15/10000*1000)</f>
        <v>7.7150755576396266</v>
      </c>
      <c r="V65" s="139">
        <f>AH52</f>
        <v>2.625</v>
      </c>
      <c r="W65" s="139">
        <f>AI52</f>
        <v>1.7162337168999853</v>
      </c>
      <c r="X65" s="140">
        <f>AJ52</f>
        <v>16.875</v>
      </c>
      <c r="Y65" s="55"/>
    </row>
    <row r="66" spans="2:25" x14ac:dyDescent="0.3">
      <c r="B66" s="81">
        <f t="shared" si="12"/>
        <v>41.800428036383089</v>
      </c>
      <c r="C66" s="82">
        <f t="shared" si="13"/>
        <v>66.099157754251806</v>
      </c>
      <c r="D66" s="83">
        <f t="shared" si="14"/>
        <v>133.38563553182919</v>
      </c>
      <c r="E66" s="47"/>
      <c r="F66" s="47"/>
      <c r="G66" s="47"/>
      <c r="H66" s="47"/>
      <c r="I66" s="47"/>
      <c r="J66" s="47"/>
      <c r="K66" s="47"/>
      <c r="O66" s="138">
        <f t="shared" si="11"/>
        <v>3.1779648897591524</v>
      </c>
      <c r="P66" s="139"/>
      <c r="Q66" s="139"/>
      <c r="R66" s="47" t="str">
        <f>AK18</f>
        <v>Берёза</v>
      </c>
      <c r="S66" s="47"/>
      <c r="T66" s="47"/>
      <c r="U66" s="123">
        <f>AK52/(AE16*AE16*3.15/10000*1000)</f>
        <v>7.5146836919340387</v>
      </c>
      <c r="V66" s="139">
        <f>AL52</f>
        <v>5.5625</v>
      </c>
      <c r="W66" s="139">
        <f>AM52</f>
        <v>8.7959999999999994</v>
      </c>
      <c r="X66" s="140">
        <f>AN52</f>
        <v>17.75</v>
      </c>
      <c r="Y66" s="55"/>
    </row>
    <row r="67" spans="2:25" x14ac:dyDescent="0.3">
      <c r="B67" s="81">
        <f t="shared" si="12"/>
        <v>21.461937135162103</v>
      </c>
      <c r="C67" s="82">
        <f t="shared" si="13"/>
        <v>29.958538985177036</v>
      </c>
      <c r="D67" s="83">
        <f t="shared" si="14"/>
        <v>70.698145857004576</v>
      </c>
      <c r="E67" s="47"/>
      <c r="F67" s="47"/>
      <c r="G67" s="47"/>
      <c r="H67" s="47"/>
      <c r="I67" s="47"/>
      <c r="J67" s="47"/>
      <c r="K67" s="47"/>
      <c r="O67" s="138">
        <f t="shared" si="11"/>
        <v>1.7796603806379903</v>
      </c>
      <c r="P67" s="139"/>
      <c r="Q67" s="139"/>
      <c r="R67" s="47" t="str">
        <f>AO18</f>
        <v>Осина</v>
      </c>
      <c r="S67" s="47"/>
      <c r="T67" s="47"/>
      <c r="U67" s="123">
        <f>AO52/(AE16*AE16*3.15/10000*1000)</f>
        <v>4.2082229676788439</v>
      </c>
      <c r="V67" s="139">
        <f>AP52</f>
        <v>5.0999999999999996</v>
      </c>
      <c r="W67" s="139">
        <f>AQ52</f>
        <v>7.1190474495464899</v>
      </c>
      <c r="X67" s="140">
        <f>AR52</f>
        <v>16.8</v>
      </c>
      <c r="Y67" s="55"/>
    </row>
    <row r="68" spans="2:25" x14ac:dyDescent="0.3">
      <c r="B68" s="81">
        <f t="shared" si="12"/>
        <v>5.7111596058698693</v>
      </c>
      <c r="C68" s="82">
        <f t="shared" si="13"/>
        <v>9.5787168126519209</v>
      </c>
      <c r="D68" s="83">
        <f t="shared" si="14"/>
        <v>48.093975628377848</v>
      </c>
      <c r="E68" s="47"/>
      <c r="F68" s="47"/>
      <c r="G68" s="47"/>
      <c r="H68" s="47"/>
      <c r="I68" s="47"/>
      <c r="J68" s="47"/>
      <c r="K68" s="47"/>
      <c r="O68" s="138">
        <f t="shared" si="11"/>
        <v>1.2711859559036609</v>
      </c>
      <c r="P68" s="139"/>
      <c r="Q68" s="139"/>
      <c r="R68" s="47" t="str">
        <f>AS18</f>
        <v>Ольха серая</v>
      </c>
      <c r="S68" s="47"/>
      <c r="T68" s="47"/>
      <c r="U68" s="123">
        <f>AS52/(AE16*AE16*3.15/10000*1000)</f>
        <v>3.0058734767736155</v>
      </c>
      <c r="V68" s="139">
        <f>AT52</f>
        <v>1.9</v>
      </c>
      <c r="W68" s="139">
        <f>AU52</f>
        <v>3.1866666666666665</v>
      </c>
      <c r="X68" s="140">
        <f>AV52</f>
        <v>16</v>
      </c>
      <c r="Y68" s="55"/>
    </row>
    <row r="69" spans="2:25" x14ac:dyDescent="0.3">
      <c r="B69" s="81">
        <f t="shared" si="12"/>
        <v>0.1001958326570118</v>
      </c>
      <c r="C69" s="82">
        <f t="shared" si="13"/>
        <v>0.54105722581925086</v>
      </c>
      <c r="D69" s="83">
        <f t="shared" si="14"/>
        <v>2.6050916490823068</v>
      </c>
      <c r="E69" s="47"/>
      <c r="F69" s="47"/>
      <c r="G69" s="47"/>
      <c r="H69" s="47"/>
      <c r="I69" s="47"/>
      <c r="J69" s="47"/>
      <c r="K69" s="47"/>
      <c r="O69" s="138">
        <f t="shared" si="11"/>
        <v>8.4745772766442601E-2</v>
      </c>
      <c r="P69" s="139"/>
      <c r="Q69" s="139"/>
      <c r="R69" s="47" t="str">
        <f>AW18</f>
        <v>Ива</v>
      </c>
      <c r="S69" s="47"/>
      <c r="T69" s="47"/>
      <c r="U69" s="123">
        <f>AW52/(AE16*AE16*3.15/10000*1000)</f>
        <v>0.20039166531402361</v>
      </c>
      <c r="V69" s="139">
        <f>AX52</f>
        <v>0.5</v>
      </c>
      <c r="W69" s="139">
        <f>AY52</f>
        <v>2.699998650000675</v>
      </c>
      <c r="X69" s="140">
        <f>AZ52</f>
        <v>13</v>
      </c>
      <c r="Y69" s="55"/>
    </row>
    <row r="70" spans="2:25" x14ac:dyDescent="0.3">
      <c r="B70" s="81" t="e">
        <f t="shared" si="12"/>
        <v>#DIV/0!</v>
      </c>
      <c r="C70" s="82">
        <f t="shared" si="13"/>
        <v>0</v>
      </c>
      <c r="D70" s="83" t="e">
        <f t="shared" si="14"/>
        <v>#DIV/0!</v>
      </c>
      <c r="E70" s="47"/>
      <c r="F70" s="47"/>
      <c r="G70" s="47"/>
      <c r="H70" s="47"/>
      <c r="I70" s="47"/>
      <c r="J70" s="47"/>
      <c r="K70" s="47"/>
      <c r="O70" s="138">
        <f t="shared" si="11"/>
        <v>4.2372865196788689E-7</v>
      </c>
      <c r="P70" s="139"/>
      <c r="Q70" s="139"/>
      <c r="R70" s="47" t="str">
        <f>BA18</f>
        <v>Чёрёмуха</v>
      </c>
      <c r="S70" s="47"/>
      <c r="T70" s="47"/>
      <c r="U70" s="123">
        <f>BA52/(AE16*AE16*3.15/10000*1000)</f>
        <v>1.001957825591205E-6</v>
      </c>
      <c r="V70" s="139" t="e">
        <f>BB52</f>
        <v>#DIV/0!</v>
      </c>
      <c r="W70" s="139">
        <f>BC52</f>
        <v>0</v>
      </c>
      <c r="X70" s="140" t="e">
        <f>BD52</f>
        <v>#DIV/0!</v>
      </c>
      <c r="Y70" s="55"/>
    </row>
    <row r="71" spans="2:25" x14ac:dyDescent="0.3">
      <c r="B71" s="81" t="e">
        <f t="shared" si="12"/>
        <v>#DIV/0!</v>
      </c>
      <c r="C71" s="82">
        <f t="shared" si="13"/>
        <v>0</v>
      </c>
      <c r="D71" s="83" t="e">
        <f t="shared" si="14"/>
        <v>#DIV/0!</v>
      </c>
      <c r="E71" s="47"/>
      <c r="F71" s="47"/>
      <c r="G71" s="47"/>
      <c r="H71" s="47"/>
      <c r="I71" s="47"/>
      <c r="J71" s="47"/>
      <c r="K71" s="47"/>
      <c r="O71" s="138">
        <f t="shared" si="11"/>
        <v>4.2372865196788689E-7</v>
      </c>
      <c r="P71" s="139"/>
      <c r="Q71" s="139"/>
      <c r="R71" s="47" t="str">
        <f>BE18</f>
        <v>Дуб</v>
      </c>
      <c r="S71" s="47"/>
      <c r="T71" s="47"/>
      <c r="U71" s="123">
        <f>BE52/(AE16*AE16*3.15/10000*1000)</f>
        <v>1.001957825591205E-6</v>
      </c>
      <c r="V71" s="139" t="e">
        <f>BF52</f>
        <v>#DIV/0!</v>
      </c>
      <c r="W71" s="139">
        <f>BG52</f>
        <v>0</v>
      </c>
      <c r="X71" s="140" t="e">
        <f>BH52</f>
        <v>#DIV/0!</v>
      </c>
      <c r="Y71" s="55"/>
    </row>
    <row r="72" spans="2:25" x14ac:dyDescent="0.3">
      <c r="B72" s="81" t="e">
        <f t="shared" si="12"/>
        <v>#DIV/0!</v>
      </c>
      <c r="C72" s="82">
        <f t="shared" si="13"/>
        <v>5.5107680407516284</v>
      </c>
      <c r="D72" s="83">
        <f t="shared" si="14"/>
        <v>13.025458245411533</v>
      </c>
      <c r="E72" s="47"/>
      <c r="F72" s="47"/>
      <c r="G72" s="47"/>
      <c r="H72" s="47"/>
      <c r="I72" s="47"/>
      <c r="J72" s="47"/>
      <c r="K72" s="47"/>
      <c r="O72" s="138">
        <f t="shared" si="11"/>
        <v>0.42372886383221292</v>
      </c>
      <c r="P72" s="139"/>
      <c r="Q72" s="139"/>
      <c r="R72" s="47" t="str">
        <f>BI18</f>
        <v>Рябина</v>
      </c>
      <c r="S72" s="47"/>
      <c r="T72" s="47"/>
      <c r="U72" s="123">
        <f>BI52/(AE16*AE16*3.15/10000*1000)</f>
        <v>1.001958326570118</v>
      </c>
      <c r="V72" s="139" t="e">
        <f>BJ52</f>
        <v>#DIV/0!</v>
      </c>
      <c r="W72" s="139">
        <f>BK52</f>
        <v>5.4999972500013747</v>
      </c>
      <c r="X72" s="140">
        <f>BL52</f>
        <v>13</v>
      </c>
      <c r="Y72" s="55"/>
    </row>
    <row r="73" spans="2:25" x14ac:dyDescent="0.3">
      <c r="B73" s="62">
        <f>AC72*AA72</f>
        <v>0</v>
      </c>
      <c r="C73" s="71">
        <f>AI72*AG72</f>
        <v>0</v>
      </c>
      <c r="D73" s="63"/>
      <c r="E73" s="47"/>
      <c r="F73" s="47"/>
      <c r="G73" s="47"/>
      <c r="H73" s="47"/>
      <c r="I73" s="47"/>
      <c r="J73" s="47"/>
      <c r="K73" s="47"/>
      <c r="O73" s="118"/>
      <c r="P73" s="47"/>
      <c r="Q73" s="47"/>
      <c r="R73" s="47"/>
      <c r="S73" s="47"/>
      <c r="T73" s="47"/>
      <c r="U73" s="141"/>
      <c r="V73" s="141"/>
      <c r="W73" s="141"/>
      <c r="X73" s="140"/>
      <c r="Y73" s="55"/>
    </row>
    <row r="74" spans="2:25" x14ac:dyDescent="0.3">
      <c r="B74" s="62">
        <f>AC73*AA73</f>
        <v>0</v>
      </c>
      <c r="C74" s="71">
        <f>AI73*AG73</f>
        <v>0</v>
      </c>
      <c r="D74" s="63">
        <f>W73*U73</f>
        <v>0</v>
      </c>
      <c r="E74" s="47"/>
      <c r="F74" s="47"/>
      <c r="G74" s="47"/>
      <c r="H74" s="47"/>
      <c r="I74" s="47"/>
      <c r="J74" s="47"/>
      <c r="K74" s="47"/>
      <c r="O74" s="118"/>
      <c r="P74" s="47"/>
      <c r="Q74" s="47"/>
      <c r="R74" s="47"/>
      <c r="S74" s="47"/>
      <c r="T74" s="47"/>
      <c r="U74" s="141"/>
      <c r="V74" s="141"/>
      <c r="W74" s="141"/>
      <c r="X74" s="140"/>
      <c r="Y74" s="55"/>
    </row>
    <row r="75" spans="2:25" x14ac:dyDescent="0.3">
      <c r="B75" s="62">
        <f>AC74*AA74</f>
        <v>0</v>
      </c>
      <c r="C75" s="71">
        <f>AI74*AG74</f>
        <v>0</v>
      </c>
      <c r="D75" s="63">
        <f>W74*U74</f>
        <v>0</v>
      </c>
      <c r="E75" s="47"/>
      <c r="F75" s="47"/>
      <c r="G75" s="47"/>
      <c r="H75" s="47"/>
      <c r="I75" s="47"/>
      <c r="J75" s="47"/>
      <c r="K75" s="47"/>
      <c r="O75" s="142">
        <f>SUM(O63:O72)</f>
        <v>10</v>
      </c>
      <c r="P75" s="143"/>
      <c r="Q75" s="143"/>
      <c r="R75" s="45" t="s">
        <v>27</v>
      </c>
      <c r="S75" s="45"/>
      <c r="T75" s="45"/>
      <c r="U75" s="144">
        <f>SUM(U63:U72)</f>
        <v>23.646213701572872</v>
      </c>
      <c r="V75" s="144" t="e">
        <f>SUM(B63:B72)/$U$75</f>
        <v>#DIV/0!</v>
      </c>
      <c r="W75" s="144">
        <f>SUM(C63:C72)/$U$75</f>
        <v>5.2832608171886717</v>
      </c>
      <c r="X75" s="145" t="e">
        <f>SUM(D63:D72)/$U$75</f>
        <v>#DIV/0!</v>
      </c>
      <c r="Y75" s="55"/>
    </row>
    <row r="76" spans="2:25" x14ac:dyDescent="0.3">
      <c r="B76" s="62">
        <f>AC75*AA75</f>
        <v>0</v>
      </c>
      <c r="C76" s="71">
        <f>AI75*AG75</f>
        <v>0</v>
      </c>
      <c r="D76" s="63"/>
      <c r="E76" s="47"/>
      <c r="F76" s="47"/>
      <c r="G76" s="47"/>
      <c r="H76" s="47"/>
      <c r="I76" s="47"/>
      <c r="J76" s="47"/>
      <c r="K76" s="47"/>
    </row>
    <row r="77" spans="2:25" ht="15" thickBot="1" x14ac:dyDescent="0.35">
      <c r="B77" s="64">
        <f>AC93*AA93</f>
        <v>0</v>
      </c>
      <c r="C77" s="72">
        <f>AI93*AG93</f>
        <v>0</v>
      </c>
      <c r="D77" s="66">
        <f>W93*U93</f>
        <v>0</v>
      </c>
      <c r="E77" s="47"/>
      <c r="F77" s="47"/>
      <c r="G77" s="47"/>
      <c r="H77" s="47"/>
      <c r="I77" s="47"/>
      <c r="J77" s="47"/>
      <c r="K77" s="47"/>
    </row>
  </sheetData>
  <mergeCells count="11">
    <mergeCell ref="AS18:AV18"/>
    <mergeCell ref="AW18:AZ18"/>
    <mergeCell ref="BA18:BD18"/>
    <mergeCell ref="BE18:BH18"/>
    <mergeCell ref="BI18:BL18"/>
    <mergeCell ref="AO18:AR18"/>
    <mergeCell ref="O18:R18"/>
    <mergeCell ref="S18:X18"/>
    <mergeCell ref="Y18:AD18"/>
    <mergeCell ref="AE18:AJ18"/>
    <mergeCell ref="AK18:AN18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BL77"/>
  <sheetViews>
    <sheetView zoomScale="80" zoomScaleNormal="80" workbookViewId="0">
      <pane xSplit="18" ySplit="19" topLeftCell="S20" activePane="bottomRight" state="frozen"/>
      <selection pane="topRight" activeCell="Q1" sqref="Q1"/>
      <selection pane="bottomLeft" activeCell="A11" sqref="A11"/>
      <selection pane="bottomRight" activeCell="R22" sqref="R22"/>
    </sheetView>
  </sheetViews>
  <sheetFormatPr defaultRowHeight="14.4" x14ac:dyDescent="0.3"/>
  <cols>
    <col min="2" max="2" width="16.109375" hidden="1" customWidth="1"/>
    <col min="3" max="3" width="17.5546875" hidden="1" customWidth="1"/>
    <col min="4" max="11" width="12.88671875" hidden="1" customWidth="1"/>
    <col min="18" max="18" width="11" customWidth="1"/>
    <col min="21" max="21" width="9" customWidth="1"/>
    <col min="34" max="56" width="9.88671875" bestFit="1" customWidth="1"/>
  </cols>
  <sheetData>
    <row r="1" spans="14:39" ht="15" thickBot="1" x14ac:dyDescent="0.35"/>
    <row r="2" spans="14:39" x14ac:dyDescent="0.3">
      <c r="V2" s="59"/>
      <c r="W2" s="67" t="s">
        <v>38</v>
      </c>
      <c r="X2" s="67"/>
      <c r="Y2" s="60"/>
      <c r="Z2" s="60"/>
      <c r="AA2" s="60"/>
      <c r="AB2" s="60"/>
      <c r="AC2" s="60"/>
      <c r="AD2" s="60"/>
      <c r="AE2" s="60">
        <v>8</v>
      </c>
      <c r="AF2" s="60" t="s">
        <v>142</v>
      </c>
      <c r="AG2" s="60"/>
      <c r="AH2" s="60"/>
      <c r="AI2" s="60"/>
      <c r="AJ2" s="60"/>
      <c r="AK2" s="60"/>
      <c r="AL2" s="60"/>
      <c r="AM2" s="61"/>
    </row>
    <row r="3" spans="14:39" x14ac:dyDescent="0.3">
      <c r="V3" s="62">
        <v>1</v>
      </c>
      <c r="W3" s="47" t="s">
        <v>158</v>
      </c>
      <c r="X3" s="47"/>
      <c r="Y3" s="47"/>
      <c r="Z3" s="47"/>
      <c r="AA3" s="47"/>
      <c r="AB3" s="47"/>
      <c r="AC3" s="47"/>
      <c r="AD3" s="47"/>
      <c r="AE3" s="47">
        <v>9</v>
      </c>
      <c r="AF3" s="47" t="s">
        <v>156</v>
      </c>
      <c r="AG3" s="47"/>
      <c r="AH3" s="47"/>
      <c r="AI3" s="47"/>
      <c r="AJ3" s="47"/>
      <c r="AK3" s="47"/>
      <c r="AL3" s="47"/>
      <c r="AM3" s="63"/>
    </row>
    <row r="4" spans="14:39" x14ac:dyDescent="0.3">
      <c r="V4" s="62">
        <v>2</v>
      </c>
      <c r="W4" s="47" t="s">
        <v>159</v>
      </c>
      <c r="X4" s="47"/>
      <c r="Y4" s="47"/>
      <c r="Z4" s="47"/>
      <c r="AA4" s="47"/>
      <c r="AB4" s="47"/>
      <c r="AC4" s="47"/>
      <c r="AD4" s="47"/>
      <c r="AE4" s="47">
        <v>10</v>
      </c>
      <c r="AF4" s="47" t="s">
        <v>157</v>
      </c>
      <c r="AG4" s="47"/>
      <c r="AH4" s="47"/>
      <c r="AI4" s="47"/>
      <c r="AJ4" s="47"/>
      <c r="AK4" s="47"/>
      <c r="AL4" s="47"/>
      <c r="AM4" s="63"/>
    </row>
    <row r="5" spans="14:39" x14ac:dyDescent="0.3">
      <c r="V5" s="62">
        <v>3</v>
      </c>
      <c r="W5" s="47" t="s">
        <v>34</v>
      </c>
      <c r="X5" s="47"/>
      <c r="Y5" s="47"/>
      <c r="Z5" s="47"/>
      <c r="AA5" s="47"/>
      <c r="AB5" s="47"/>
      <c r="AC5" s="47"/>
      <c r="AD5" s="47"/>
      <c r="AE5" s="47">
        <v>11</v>
      </c>
      <c r="AF5" s="47" t="s">
        <v>39</v>
      </c>
      <c r="AG5" s="47"/>
      <c r="AH5" s="47"/>
      <c r="AI5" s="47"/>
      <c r="AJ5" s="47"/>
      <c r="AK5" s="47"/>
      <c r="AL5" s="47"/>
      <c r="AM5" s="63"/>
    </row>
    <row r="6" spans="14:39" x14ac:dyDescent="0.3">
      <c r="V6" s="62">
        <v>4</v>
      </c>
      <c r="W6" s="47" t="s">
        <v>35</v>
      </c>
      <c r="X6" s="47"/>
      <c r="Y6" s="47"/>
      <c r="Z6" s="47"/>
      <c r="AA6" s="47"/>
      <c r="AB6" s="47"/>
      <c r="AC6" s="47"/>
      <c r="AD6" s="47"/>
      <c r="AE6" s="47">
        <v>12</v>
      </c>
      <c r="AF6" s="47" t="s">
        <v>40</v>
      </c>
      <c r="AG6" s="47"/>
      <c r="AH6" s="47"/>
      <c r="AI6" s="47"/>
      <c r="AJ6" s="47"/>
      <c r="AK6" s="47"/>
      <c r="AL6" s="47"/>
      <c r="AM6" s="63"/>
    </row>
    <row r="7" spans="14:39" x14ac:dyDescent="0.3">
      <c r="V7" s="62">
        <v>5</v>
      </c>
      <c r="W7" s="47" t="s">
        <v>36</v>
      </c>
      <c r="X7" s="47"/>
      <c r="Y7" s="47"/>
      <c r="Z7" s="47"/>
      <c r="AA7" s="47"/>
      <c r="AB7" s="47"/>
      <c r="AC7" s="47"/>
      <c r="AD7" s="47"/>
      <c r="AE7" s="47">
        <v>13</v>
      </c>
      <c r="AF7" s="47" t="s">
        <v>41</v>
      </c>
      <c r="AG7" s="47"/>
      <c r="AH7" s="47"/>
      <c r="AI7" s="47"/>
      <c r="AJ7" s="47"/>
      <c r="AK7" s="47"/>
      <c r="AL7" s="47"/>
      <c r="AM7" s="63"/>
    </row>
    <row r="8" spans="14:39" x14ac:dyDescent="0.3">
      <c r="V8" s="62">
        <v>6</v>
      </c>
      <c r="W8" s="47" t="s">
        <v>141</v>
      </c>
      <c r="X8" s="47"/>
      <c r="Y8" s="47"/>
      <c r="Z8" s="47"/>
      <c r="AA8" s="47"/>
      <c r="AB8" s="47"/>
      <c r="AC8" s="47"/>
      <c r="AD8" s="47"/>
      <c r="AE8" s="47">
        <v>14</v>
      </c>
      <c r="AF8" s="47"/>
      <c r="AG8" s="47"/>
      <c r="AH8" s="47"/>
      <c r="AI8" s="47"/>
      <c r="AJ8" s="47"/>
      <c r="AK8" s="47"/>
      <c r="AL8" s="47"/>
      <c r="AM8" s="63"/>
    </row>
    <row r="9" spans="14:39" ht="15" thickBot="1" x14ac:dyDescent="0.35">
      <c r="V9" s="64">
        <v>7</v>
      </c>
      <c r="W9" s="65" t="s">
        <v>37</v>
      </c>
      <c r="X9" s="65"/>
      <c r="Y9" s="65"/>
      <c r="Z9" s="65"/>
      <c r="AA9" s="65"/>
      <c r="AB9" s="65"/>
      <c r="AC9" s="65"/>
      <c r="AD9" s="65"/>
      <c r="AE9" s="65">
        <v>15</v>
      </c>
      <c r="AF9" s="65"/>
      <c r="AG9" s="65"/>
      <c r="AH9" s="65"/>
      <c r="AI9" s="65"/>
      <c r="AJ9" s="65"/>
      <c r="AK9" s="65"/>
      <c r="AL9" s="65"/>
      <c r="AM9" s="66"/>
    </row>
    <row r="13" spans="14:39" x14ac:dyDescent="0.3">
      <c r="N13" t="s">
        <v>32</v>
      </c>
      <c r="T13" s="45"/>
    </row>
    <row r="16" spans="14:39" x14ac:dyDescent="0.3">
      <c r="N16" s="46" t="s">
        <v>13</v>
      </c>
      <c r="S16">
        <v>1</v>
      </c>
      <c r="U16" s="45" t="s">
        <v>14</v>
      </c>
      <c r="V16" s="45">
        <v>135</v>
      </c>
      <c r="W16" s="45"/>
      <c r="X16" s="45" t="s">
        <v>15</v>
      </c>
      <c r="Y16" s="45">
        <v>34</v>
      </c>
      <c r="Z16" s="45" t="s">
        <v>16</v>
      </c>
      <c r="AA16" s="45">
        <v>1</v>
      </c>
      <c r="AB16" s="47"/>
      <c r="AC16" s="85" t="s">
        <v>45</v>
      </c>
      <c r="AE16" s="45">
        <v>1.78</v>
      </c>
      <c r="AG16" s="44" t="s">
        <v>28</v>
      </c>
      <c r="AI16" s="44"/>
    </row>
    <row r="17" spans="2:64" ht="15" thickBot="1" x14ac:dyDescent="0.35"/>
    <row r="18" spans="2:64" ht="15.6" thickTop="1" thickBot="1" x14ac:dyDescent="0.35">
      <c r="B18" s="59" t="s">
        <v>31</v>
      </c>
      <c r="C18" s="60"/>
      <c r="D18" s="60"/>
      <c r="E18" s="60"/>
      <c r="F18" s="60"/>
      <c r="G18" s="60"/>
      <c r="H18" s="60"/>
      <c r="I18" s="60"/>
      <c r="J18" s="60"/>
      <c r="K18" s="61"/>
      <c r="N18" s="1" t="s">
        <v>0</v>
      </c>
      <c r="O18" s="202" t="s">
        <v>1</v>
      </c>
      <c r="P18" s="194"/>
      <c r="Q18" s="194"/>
      <c r="R18" s="195"/>
      <c r="S18" s="193" t="s">
        <v>43</v>
      </c>
      <c r="T18" s="194"/>
      <c r="U18" s="194"/>
      <c r="V18" s="194"/>
      <c r="W18" s="194"/>
      <c r="X18" s="195"/>
      <c r="Y18" s="203" t="s">
        <v>17</v>
      </c>
      <c r="Z18" s="204"/>
      <c r="AA18" s="204"/>
      <c r="AB18" s="204"/>
      <c r="AC18" s="204"/>
      <c r="AD18" s="205"/>
      <c r="AE18" s="206" t="s">
        <v>18</v>
      </c>
      <c r="AF18" s="207"/>
      <c r="AG18" s="207"/>
      <c r="AH18" s="207"/>
      <c r="AI18" s="207"/>
      <c r="AJ18" s="208"/>
      <c r="AK18" s="193" t="s">
        <v>19</v>
      </c>
      <c r="AL18" s="194"/>
      <c r="AM18" s="194"/>
      <c r="AN18" s="195"/>
      <c r="AO18" s="193" t="s">
        <v>20</v>
      </c>
      <c r="AP18" s="194"/>
      <c r="AQ18" s="194"/>
      <c r="AR18" s="195"/>
      <c r="AS18" s="193" t="s">
        <v>21</v>
      </c>
      <c r="AT18" s="194"/>
      <c r="AU18" s="194"/>
      <c r="AV18" s="195"/>
      <c r="AW18" s="193" t="s">
        <v>26</v>
      </c>
      <c r="AX18" s="194"/>
      <c r="AY18" s="194"/>
      <c r="AZ18" s="195"/>
      <c r="BA18" s="193" t="s">
        <v>22</v>
      </c>
      <c r="BB18" s="194"/>
      <c r="BC18" s="194"/>
      <c r="BD18" s="195"/>
      <c r="BE18" s="193" t="s">
        <v>29</v>
      </c>
      <c r="BF18" s="194"/>
      <c r="BG18" s="194"/>
      <c r="BH18" s="195"/>
      <c r="BI18" s="193" t="s">
        <v>42</v>
      </c>
      <c r="BJ18" s="194"/>
      <c r="BK18" s="194"/>
      <c r="BL18" s="195"/>
    </row>
    <row r="19" spans="2:64" ht="21" thickBot="1" x14ac:dyDescent="0.35">
      <c r="B19" s="64" t="str">
        <f>Y18</f>
        <v>Ель из подроста</v>
      </c>
      <c r="C19" s="65" t="str">
        <f>AE18</f>
        <v>ЕЛЬ лесные культуры</v>
      </c>
      <c r="D19" s="65" t="str">
        <f>S18</f>
        <v>Сосна</v>
      </c>
      <c r="E19" s="65" t="str">
        <f>AK18</f>
        <v>Берёза</v>
      </c>
      <c r="F19" s="65" t="str">
        <f>AO18</f>
        <v>Осина</v>
      </c>
      <c r="G19" s="65" t="str">
        <f>AS18</f>
        <v>Ольха серая</v>
      </c>
      <c r="H19" s="65" t="str">
        <f>AW18</f>
        <v>Ива</v>
      </c>
      <c r="I19" s="65" t="str">
        <f>BA18</f>
        <v>Чёрёмуха</v>
      </c>
      <c r="J19" s="65" t="str">
        <f>BE18</f>
        <v>Дуб</v>
      </c>
      <c r="K19" s="66" t="str">
        <f>BI18</f>
        <v>Рябина</v>
      </c>
      <c r="L19" t="s">
        <v>46</v>
      </c>
      <c r="N19" s="31" t="s">
        <v>2</v>
      </c>
      <c r="O19" s="25" t="s">
        <v>3</v>
      </c>
      <c r="P19" s="86" t="s">
        <v>48</v>
      </c>
      <c r="Q19" s="86" t="s">
        <v>47</v>
      </c>
      <c r="R19" s="68" t="s">
        <v>4</v>
      </c>
      <c r="S19" s="41" t="s">
        <v>5</v>
      </c>
      <c r="T19" s="42" t="s">
        <v>6</v>
      </c>
      <c r="U19" s="42" t="s">
        <v>7</v>
      </c>
      <c r="V19" s="42" t="s">
        <v>23</v>
      </c>
      <c r="W19" s="43" t="s">
        <v>8</v>
      </c>
      <c r="X19" s="26" t="s">
        <v>9</v>
      </c>
      <c r="Y19" s="70" t="s">
        <v>5</v>
      </c>
      <c r="Z19" s="42" t="s">
        <v>6</v>
      </c>
      <c r="AA19" s="42" t="s">
        <v>7</v>
      </c>
      <c r="AB19" s="42" t="s">
        <v>23</v>
      </c>
      <c r="AC19" s="43" t="s">
        <v>8</v>
      </c>
      <c r="AD19" s="26" t="s">
        <v>9</v>
      </c>
      <c r="AE19" s="53" t="s">
        <v>5</v>
      </c>
      <c r="AF19" s="50" t="s">
        <v>6</v>
      </c>
      <c r="AG19" s="50" t="s">
        <v>7</v>
      </c>
      <c r="AH19" s="50" t="s">
        <v>23</v>
      </c>
      <c r="AI19" s="51" t="s">
        <v>8</v>
      </c>
      <c r="AJ19" s="54" t="s">
        <v>9</v>
      </c>
      <c r="AK19" s="49" t="s">
        <v>10</v>
      </c>
      <c r="AL19" s="50" t="s">
        <v>23</v>
      </c>
      <c r="AM19" s="51" t="s">
        <v>8</v>
      </c>
      <c r="AN19" s="52" t="s">
        <v>9</v>
      </c>
      <c r="AO19" s="25" t="s">
        <v>10</v>
      </c>
      <c r="AP19" s="42" t="s">
        <v>23</v>
      </c>
      <c r="AQ19" s="43" t="s">
        <v>8</v>
      </c>
      <c r="AR19" s="26" t="s">
        <v>9</v>
      </c>
      <c r="AS19" s="25" t="s">
        <v>10</v>
      </c>
      <c r="AT19" s="42" t="s">
        <v>23</v>
      </c>
      <c r="AU19" s="43" t="s">
        <v>8</v>
      </c>
      <c r="AV19" s="26" t="s">
        <v>9</v>
      </c>
      <c r="AW19" s="25" t="s">
        <v>10</v>
      </c>
      <c r="AX19" s="42" t="s">
        <v>23</v>
      </c>
      <c r="AY19" s="43" t="s">
        <v>8</v>
      </c>
      <c r="AZ19" s="26" t="s">
        <v>9</v>
      </c>
      <c r="BA19" s="25" t="s">
        <v>10</v>
      </c>
      <c r="BB19" s="42" t="s">
        <v>23</v>
      </c>
      <c r="BC19" s="43" t="s">
        <v>8</v>
      </c>
      <c r="BD19" s="26" t="s">
        <v>9</v>
      </c>
      <c r="BE19" s="25" t="s">
        <v>10</v>
      </c>
      <c r="BF19" s="42" t="s">
        <v>23</v>
      </c>
      <c r="BG19" s="43" t="s">
        <v>8</v>
      </c>
      <c r="BH19" s="26" t="s">
        <v>9</v>
      </c>
      <c r="BI19" s="25" t="s">
        <v>10</v>
      </c>
      <c r="BJ19" s="42" t="s">
        <v>23</v>
      </c>
      <c r="BK19" s="43" t="s">
        <v>8</v>
      </c>
      <c r="BL19" s="26" t="s">
        <v>9</v>
      </c>
    </row>
    <row r="20" spans="2:64" x14ac:dyDescent="0.3">
      <c r="B20" s="62">
        <f>AC20*AA20</f>
        <v>0</v>
      </c>
      <c r="C20" s="47">
        <f>AI20*AG20</f>
        <v>0</v>
      </c>
      <c r="D20" s="47">
        <f>W20*U20</f>
        <v>0</v>
      </c>
      <c r="E20" s="47">
        <f>AK20*AM20</f>
        <v>11.6</v>
      </c>
      <c r="F20" s="47">
        <f>AO20*AQ20</f>
        <v>45</v>
      </c>
      <c r="G20" s="47">
        <f>AS20*AU20</f>
        <v>0</v>
      </c>
      <c r="H20" s="47">
        <f>AW20*AY20</f>
        <v>0</v>
      </c>
      <c r="I20" s="47">
        <f>BA20*BC20</f>
        <v>0</v>
      </c>
      <c r="J20" s="47">
        <f>BE20*BG20</f>
        <v>0</v>
      </c>
      <c r="K20" s="63">
        <f>BI20*BK20</f>
        <v>8</v>
      </c>
      <c r="L20" s="55">
        <f>SUM(S20:U20,Y20:AA20,AE20:AG20,AK20,AO20,AS20,AW20,BA20,BE20,BI20)/($AE$16*$AE$16*3.15/10000*1000)</f>
        <v>25.048956661316215</v>
      </c>
      <c r="N20" s="32">
        <v>1</v>
      </c>
      <c r="O20" s="27">
        <v>957</v>
      </c>
      <c r="P20" s="87" t="s">
        <v>184</v>
      </c>
      <c r="Q20" s="87" t="s">
        <v>182</v>
      </c>
      <c r="R20" s="69" t="s">
        <v>192</v>
      </c>
      <c r="S20" s="40">
        <v>9.9999999999999995E-7</v>
      </c>
      <c r="T20" s="40">
        <v>9.9999999999999995E-7</v>
      </c>
      <c r="U20" s="40">
        <v>9.9999999999999995E-7</v>
      </c>
      <c r="V20" s="40"/>
      <c r="W20" s="40"/>
      <c r="X20" s="24"/>
      <c r="Y20" s="40">
        <v>9.9999999999999995E-7</v>
      </c>
      <c r="Z20" s="40">
        <v>9.9999999999999995E-7</v>
      </c>
      <c r="AA20" s="40">
        <v>9.9999999999999995E-7</v>
      </c>
      <c r="AB20" s="6"/>
      <c r="AC20" s="7"/>
      <c r="AD20" s="36"/>
      <c r="AE20" s="40">
        <v>1</v>
      </c>
      <c r="AF20" s="40">
        <v>1</v>
      </c>
      <c r="AG20" s="40">
        <v>9.9999999999999995E-7</v>
      </c>
      <c r="AH20" s="6"/>
      <c r="AI20" s="7"/>
      <c r="AJ20" s="8">
        <v>10</v>
      </c>
      <c r="AK20" s="40">
        <v>4</v>
      </c>
      <c r="AL20" s="7"/>
      <c r="AM20" s="7">
        <v>2.9</v>
      </c>
      <c r="AN20" s="8">
        <v>10</v>
      </c>
      <c r="AO20" s="40">
        <v>15</v>
      </c>
      <c r="AP20" s="27"/>
      <c r="AQ20" s="40">
        <v>3</v>
      </c>
      <c r="AR20" s="24">
        <v>10</v>
      </c>
      <c r="AS20" s="40">
        <v>9.9999999999999995E-7</v>
      </c>
      <c r="AT20" s="27"/>
      <c r="AU20" s="40"/>
      <c r="AV20" s="24"/>
      <c r="AW20" s="40">
        <v>9.9999999999999995E-7</v>
      </c>
      <c r="AX20" s="27"/>
      <c r="AY20" s="40"/>
      <c r="AZ20" s="24"/>
      <c r="BA20" s="40">
        <v>9.9999999999999995E-7</v>
      </c>
      <c r="BB20" s="27"/>
      <c r="BC20" s="40"/>
      <c r="BD20" s="24"/>
      <c r="BE20" s="40">
        <v>9.9999999999999995E-7</v>
      </c>
      <c r="BF20" s="27"/>
      <c r="BG20" s="40"/>
      <c r="BH20" s="24"/>
      <c r="BI20" s="40">
        <v>4</v>
      </c>
      <c r="BJ20" s="27"/>
      <c r="BK20" s="40">
        <v>2</v>
      </c>
      <c r="BL20" s="24">
        <v>9</v>
      </c>
    </row>
    <row r="21" spans="2:64" x14ac:dyDescent="0.3">
      <c r="B21" s="62">
        <f t="shared" ref="B21:B51" si="0">AC21*AA21</f>
        <v>0</v>
      </c>
      <c r="C21" s="47">
        <f t="shared" ref="C21:C51" si="1">AI21*AG21</f>
        <v>0</v>
      </c>
      <c r="D21" s="47">
        <f t="shared" ref="D21:D51" si="2">W21*U21</f>
        <v>0</v>
      </c>
      <c r="E21" s="47">
        <f t="shared" ref="E21:E51" si="3">AK21*AM21</f>
        <v>0</v>
      </c>
      <c r="F21" s="47">
        <f t="shared" ref="F21:F51" si="4">AO21*AQ21</f>
        <v>52</v>
      </c>
      <c r="G21" s="47">
        <f t="shared" ref="G21:G51" si="5">AS21*AU21</f>
        <v>0</v>
      </c>
      <c r="H21" s="47">
        <f t="shared" ref="H21:H51" si="6">AW21*AY21</f>
        <v>0</v>
      </c>
      <c r="I21" s="47">
        <f t="shared" ref="I21:I51" si="7">BA21*BC21</f>
        <v>0</v>
      </c>
      <c r="J21" s="47">
        <f t="shared" ref="J21:J51" si="8">BE21*BG21</f>
        <v>0</v>
      </c>
      <c r="K21" s="63">
        <f t="shared" ref="K21:K51" si="9">BI21*BK21</f>
        <v>0</v>
      </c>
      <c r="L21" s="55">
        <f t="shared" ref="L21:L51" si="10">SUM(S21:U21,Y21:AA21,AE21:AG21,AK21,AO21,AS21,AW21,BA21,BE21,BI21)/($AE$16*$AE$16*3.15/10000*1000)</f>
        <v>15.029367383868077</v>
      </c>
      <c r="N21" s="33">
        <v>2</v>
      </c>
      <c r="O21" s="28">
        <v>958</v>
      </c>
      <c r="P21" s="88" t="s">
        <v>184</v>
      </c>
      <c r="Q21" s="88" t="s">
        <v>185</v>
      </c>
      <c r="R21" s="37" t="s">
        <v>193</v>
      </c>
      <c r="S21" s="20">
        <v>0</v>
      </c>
      <c r="T21" s="3">
        <v>0</v>
      </c>
      <c r="U21" s="3">
        <v>0</v>
      </c>
      <c r="V21" s="3"/>
      <c r="W21" s="3"/>
      <c r="X21" s="10"/>
      <c r="Y21" s="17"/>
      <c r="Z21" s="2"/>
      <c r="AA21" s="2"/>
      <c r="AB21" s="2"/>
      <c r="AC21" s="3"/>
      <c r="AD21" s="37"/>
      <c r="AE21" s="9">
        <v>0</v>
      </c>
      <c r="AF21" s="2">
        <v>2</v>
      </c>
      <c r="AG21" s="2">
        <v>0</v>
      </c>
      <c r="AH21" s="2"/>
      <c r="AI21" s="3"/>
      <c r="AJ21" s="10">
        <v>9</v>
      </c>
      <c r="AK21" s="28">
        <v>0</v>
      </c>
      <c r="AL21" s="3"/>
      <c r="AM21" s="3"/>
      <c r="AN21" s="10"/>
      <c r="AO21" s="28">
        <v>13</v>
      </c>
      <c r="AP21" s="28"/>
      <c r="AQ21" s="3">
        <v>4</v>
      </c>
      <c r="AR21" s="10">
        <v>10</v>
      </c>
      <c r="AS21" s="20"/>
      <c r="AT21" s="28"/>
      <c r="AU21" s="3"/>
      <c r="AV21" s="10"/>
      <c r="AW21" s="20">
        <v>0</v>
      </c>
      <c r="AX21" s="28"/>
      <c r="AY21" s="3"/>
      <c r="AZ21" s="10"/>
      <c r="BA21" s="20"/>
      <c r="BB21" s="28"/>
      <c r="BC21" s="3"/>
      <c r="BD21" s="10"/>
      <c r="BE21" s="23"/>
      <c r="BF21" s="28"/>
      <c r="BG21" s="3"/>
      <c r="BH21" s="10"/>
      <c r="BI21" s="23">
        <v>0</v>
      </c>
      <c r="BJ21" s="28"/>
      <c r="BK21" s="3"/>
      <c r="BL21" s="10"/>
    </row>
    <row r="22" spans="2:64" x14ac:dyDescent="0.3">
      <c r="B22" s="62">
        <f t="shared" si="0"/>
        <v>0</v>
      </c>
      <c r="C22" s="47">
        <f t="shared" si="1"/>
        <v>0</v>
      </c>
      <c r="D22" s="47">
        <f t="shared" si="2"/>
        <v>0</v>
      </c>
      <c r="E22" s="47">
        <f t="shared" si="3"/>
        <v>1.5</v>
      </c>
      <c r="F22" s="47">
        <f t="shared" si="4"/>
        <v>0</v>
      </c>
      <c r="G22" s="47">
        <f t="shared" si="5"/>
        <v>0</v>
      </c>
      <c r="H22" s="47">
        <f t="shared" si="6"/>
        <v>0</v>
      </c>
      <c r="I22" s="47">
        <f t="shared" si="7"/>
        <v>0</v>
      </c>
      <c r="J22" s="47">
        <f t="shared" si="8"/>
        <v>0</v>
      </c>
      <c r="K22" s="63">
        <f t="shared" si="9"/>
        <v>4.5</v>
      </c>
      <c r="L22" s="55">
        <f t="shared" si="10"/>
        <v>18.035240860641693</v>
      </c>
      <c r="N22" s="33">
        <v>3</v>
      </c>
      <c r="O22" s="28">
        <v>959</v>
      </c>
      <c r="P22" s="88" t="s">
        <v>184</v>
      </c>
      <c r="Q22" s="88" t="s">
        <v>186</v>
      </c>
      <c r="R22" s="37"/>
      <c r="S22" s="20">
        <v>0</v>
      </c>
      <c r="T22" s="3">
        <v>0</v>
      </c>
      <c r="U22" s="3">
        <v>1</v>
      </c>
      <c r="V22" s="3">
        <v>2.2999999999999998</v>
      </c>
      <c r="W22" s="3"/>
      <c r="X22" s="10">
        <v>8</v>
      </c>
      <c r="Y22" s="17"/>
      <c r="Z22" s="2"/>
      <c r="AA22" s="2"/>
      <c r="AB22" s="2"/>
      <c r="AC22" s="3"/>
      <c r="AD22" s="37"/>
      <c r="AE22" s="9">
        <v>5</v>
      </c>
      <c r="AF22" s="2">
        <v>0</v>
      </c>
      <c r="AG22" s="2">
        <v>0</v>
      </c>
      <c r="AH22" s="2"/>
      <c r="AI22" s="3"/>
      <c r="AJ22" s="10">
        <v>6</v>
      </c>
      <c r="AK22" s="28">
        <v>3</v>
      </c>
      <c r="AL22" s="3"/>
      <c r="AM22" s="3">
        <v>0.5</v>
      </c>
      <c r="AN22" s="10">
        <v>3</v>
      </c>
      <c r="AO22" s="28">
        <v>0</v>
      </c>
      <c r="AP22" s="28"/>
      <c r="AQ22" s="3"/>
      <c r="AR22" s="10"/>
      <c r="AS22" s="20"/>
      <c r="AT22" s="28"/>
      <c r="AU22" s="3"/>
      <c r="AV22" s="10"/>
      <c r="AW22" s="20">
        <v>0</v>
      </c>
      <c r="AX22" s="28"/>
      <c r="AY22" s="3"/>
      <c r="AZ22" s="10"/>
      <c r="BA22" s="20"/>
      <c r="BB22" s="28"/>
      <c r="BC22" s="3"/>
      <c r="BD22" s="10"/>
      <c r="BE22" s="23"/>
      <c r="BF22" s="28"/>
      <c r="BG22" s="3"/>
      <c r="BH22" s="10"/>
      <c r="BI22" s="23">
        <v>9</v>
      </c>
      <c r="BJ22" s="28"/>
      <c r="BK22" s="3">
        <v>0.5</v>
      </c>
      <c r="BL22" s="10">
        <v>3</v>
      </c>
    </row>
    <row r="23" spans="2:64" x14ac:dyDescent="0.3">
      <c r="B23" s="62">
        <f t="shared" si="0"/>
        <v>0</v>
      </c>
      <c r="C23" s="47">
        <f t="shared" si="1"/>
        <v>0</v>
      </c>
      <c r="D23" s="47">
        <f t="shared" si="2"/>
        <v>0</v>
      </c>
      <c r="E23" s="47">
        <f t="shared" si="3"/>
        <v>17.5</v>
      </c>
      <c r="F23" s="47">
        <f t="shared" si="4"/>
        <v>16.200000000000003</v>
      </c>
      <c r="G23" s="47">
        <f t="shared" si="5"/>
        <v>0</v>
      </c>
      <c r="H23" s="47">
        <f t="shared" si="6"/>
        <v>0</v>
      </c>
      <c r="I23" s="47">
        <f t="shared" si="7"/>
        <v>0</v>
      </c>
      <c r="J23" s="47">
        <f t="shared" si="8"/>
        <v>0</v>
      </c>
      <c r="K23" s="63">
        <f t="shared" si="9"/>
        <v>0</v>
      </c>
      <c r="L23" s="55">
        <f t="shared" si="10"/>
        <v>15.029367383868077</v>
      </c>
      <c r="N23" s="33">
        <v>4</v>
      </c>
      <c r="O23" s="27">
        <v>960</v>
      </c>
      <c r="P23" s="87" t="s">
        <v>184</v>
      </c>
      <c r="Q23" s="87" t="s">
        <v>187</v>
      </c>
      <c r="R23" s="37"/>
      <c r="S23" s="20">
        <v>0</v>
      </c>
      <c r="T23" s="3">
        <v>0</v>
      </c>
      <c r="U23" s="3">
        <v>0</v>
      </c>
      <c r="V23" s="3"/>
      <c r="W23" s="3"/>
      <c r="X23" s="10"/>
      <c r="Y23" s="17"/>
      <c r="Z23" s="2"/>
      <c r="AA23" s="2"/>
      <c r="AB23" s="2"/>
      <c r="AC23" s="3"/>
      <c r="AD23" s="37"/>
      <c r="AE23" s="9">
        <v>0</v>
      </c>
      <c r="AF23" s="2">
        <v>1</v>
      </c>
      <c r="AG23" s="2">
        <v>0</v>
      </c>
      <c r="AH23" s="2"/>
      <c r="AI23" s="3"/>
      <c r="AJ23" s="10">
        <v>8</v>
      </c>
      <c r="AK23" s="28">
        <v>5</v>
      </c>
      <c r="AL23" s="3"/>
      <c r="AM23" s="3">
        <v>3.5</v>
      </c>
      <c r="AN23" s="10">
        <v>9</v>
      </c>
      <c r="AO23" s="28">
        <v>6</v>
      </c>
      <c r="AP23" s="28"/>
      <c r="AQ23" s="3">
        <v>2.7</v>
      </c>
      <c r="AR23" s="10">
        <v>9</v>
      </c>
      <c r="AS23" s="20"/>
      <c r="AT23" s="28"/>
      <c r="AU23" s="3"/>
      <c r="AV23" s="10"/>
      <c r="AW23" s="20">
        <v>3</v>
      </c>
      <c r="AX23" s="28">
        <v>2.2999999999999998</v>
      </c>
      <c r="AY23" s="3"/>
      <c r="AZ23" s="10">
        <v>9</v>
      </c>
      <c r="BA23" s="20"/>
      <c r="BB23" s="28"/>
      <c r="BC23" s="3"/>
      <c r="BD23" s="10"/>
      <c r="BE23" s="23"/>
      <c r="BF23" s="28"/>
      <c r="BG23" s="3"/>
      <c r="BH23" s="10"/>
      <c r="BI23" s="23">
        <v>0</v>
      </c>
      <c r="BJ23" s="28"/>
      <c r="BK23" s="3"/>
      <c r="BL23" s="10"/>
    </row>
    <row r="24" spans="2:64" x14ac:dyDescent="0.3">
      <c r="B24" s="62">
        <f t="shared" si="0"/>
        <v>0</v>
      </c>
      <c r="C24" s="47">
        <f t="shared" si="1"/>
        <v>0</v>
      </c>
      <c r="D24" s="47">
        <f t="shared" si="2"/>
        <v>0</v>
      </c>
      <c r="E24" s="47">
        <f t="shared" si="3"/>
        <v>60</v>
      </c>
      <c r="F24" s="47">
        <f t="shared" si="4"/>
        <v>2.2999999999999998</v>
      </c>
      <c r="G24" s="47">
        <f t="shared" si="5"/>
        <v>0</v>
      </c>
      <c r="H24" s="47">
        <f t="shared" si="6"/>
        <v>0</v>
      </c>
      <c r="I24" s="47">
        <f t="shared" si="7"/>
        <v>0</v>
      </c>
      <c r="J24" s="47">
        <f t="shared" si="8"/>
        <v>0</v>
      </c>
      <c r="K24" s="63">
        <f t="shared" si="9"/>
        <v>4.8</v>
      </c>
      <c r="L24" s="55">
        <f t="shared" si="10"/>
        <v>44.086144326013027</v>
      </c>
      <c r="N24" s="33">
        <v>5</v>
      </c>
      <c r="O24" s="28">
        <v>961</v>
      </c>
      <c r="P24" s="88" t="s">
        <v>184</v>
      </c>
      <c r="Q24" s="88" t="s">
        <v>188</v>
      </c>
      <c r="R24" s="37"/>
      <c r="S24" s="20">
        <v>0</v>
      </c>
      <c r="T24" s="3">
        <v>0</v>
      </c>
      <c r="U24" s="3">
        <v>0</v>
      </c>
      <c r="V24" s="3"/>
      <c r="W24" s="3"/>
      <c r="X24" s="10"/>
      <c r="Y24" s="17"/>
      <c r="Z24" s="2"/>
      <c r="AA24" s="2"/>
      <c r="AB24" s="2"/>
      <c r="AC24" s="3"/>
      <c r="AD24" s="37"/>
      <c r="AE24" s="9">
        <v>0</v>
      </c>
      <c r="AF24" s="2">
        <v>3</v>
      </c>
      <c r="AG24" s="2">
        <v>0</v>
      </c>
      <c r="AH24" s="2"/>
      <c r="AI24" s="3"/>
      <c r="AJ24" s="10">
        <v>9</v>
      </c>
      <c r="AK24" s="28">
        <v>24</v>
      </c>
      <c r="AL24" s="3"/>
      <c r="AM24" s="3">
        <v>2.5</v>
      </c>
      <c r="AN24" s="10">
        <v>7</v>
      </c>
      <c r="AO24" s="28">
        <v>1</v>
      </c>
      <c r="AP24" s="28"/>
      <c r="AQ24" s="3">
        <v>2.2999999999999998</v>
      </c>
      <c r="AR24" s="10">
        <v>6</v>
      </c>
      <c r="AS24" s="20"/>
      <c r="AT24" s="28"/>
      <c r="AU24" s="3"/>
      <c r="AV24" s="10"/>
      <c r="AW24" s="20">
        <v>12</v>
      </c>
      <c r="AX24" s="28">
        <v>2.5</v>
      </c>
      <c r="AY24" s="3"/>
      <c r="AZ24" s="10">
        <v>7</v>
      </c>
      <c r="BA24" s="20"/>
      <c r="BB24" s="28"/>
      <c r="BC24" s="3"/>
      <c r="BD24" s="10"/>
      <c r="BE24" s="23"/>
      <c r="BF24" s="28"/>
      <c r="BG24" s="3"/>
      <c r="BH24" s="10"/>
      <c r="BI24" s="20">
        <v>4</v>
      </c>
      <c r="BJ24" s="28"/>
      <c r="BK24" s="3">
        <v>1.2</v>
      </c>
      <c r="BL24" s="10">
        <v>5</v>
      </c>
    </row>
    <row r="25" spans="2:64" x14ac:dyDescent="0.3">
      <c r="B25" s="62">
        <f t="shared" si="0"/>
        <v>0</v>
      </c>
      <c r="C25" s="47">
        <f t="shared" si="1"/>
        <v>7.5</v>
      </c>
      <c r="D25" s="47">
        <f t="shared" si="2"/>
        <v>0</v>
      </c>
      <c r="E25" s="47">
        <f t="shared" si="3"/>
        <v>51.300000000000004</v>
      </c>
      <c r="F25" s="47">
        <f t="shared" si="4"/>
        <v>6.3000000000000007</v>
      </c>
      <c r="G25" s="47">
        <f t="shared" si="5"/>
        <v>0</v>
      </c>
      <c r="H25" s="47">
        <f t="shared" si="6"/>
        <v>0</v>
      </c>
      <c r="I25" s="47">
        <f t="shared" si="7"/>
        <v>0</v>
      </c>
      <c r="J25" s="47">
        <f t="shared" si="8"/>
        <v>0</v>
      </c>
      <c r="K25" s="63">
        <f t="shared" si="9"/>
        <v>0</v>
      </c>
      <c r="L25" s="55">
        <f t="shared" si="10"/>
        <v>28.054819116553745</v>
      </c>
      <c r="N25" s="33">
        <v>6</v>
      </c>
      <c r="O25" s="28">
        <v>962</v>
      </c>
      <c r="P25" s="88" t="s">
        <v>184</v>
      </c>
      <c r="Q25" s="88" t="s">
        <v>166</v>
      </c>
      <c r="R25" s="37"/>
      <c r="S25" s="20">
        <v>0</v>
      </c>
      <c r="T25" s="3">
        <v>0</v>
      </c>
      <c r="U25" s="3">
        <v>0</v>
      </c>
      <c r="V25" s="3"/>
      <c r="W25" s="3"/>
      <c r="X25" s="10"/>
      <c r="Y25" s="17"/>
      <c r="Z25" s="2"/>
      <c r="AA25" s="2"/>
      <c r="AB25" s="2"/>
      <c r="AC25" s="3"/>
      <c r="AD25" s="37"/>
      <c r="AE25" s="9">
        <v>0</v>
      </c>
      <c r="AF25" s="2">
        <v>3</v>
      </c>
      <c r="AG25" s="2">
        <v>3</v>
      </c>
      <c r="AH25" s="2"/>
      <c r="AI25" s="3">
        <v>2.5</v>
      </c>
      <c r="AJ25" s="10">
        <v>10</v>
      </c>
      <c r="AK25" s="28">
        <v>19</v>
      </c>
      <c r="AL25" s="3"/>
      <c r="AM25" s="3">
        <v>2.7</v>
      </c>
      <c r="AN25" s="10">
        <v>9</v>
      </c>
      <c r="AO25" s="28">
        <v>3</v>
      </c>
      <c r="AP25" s="28"/>
      <c r="AQ25" s="3">
        <v>2.1</v>
      </c>
      <c r="AR25" s="10">
        <v>7</v>
      </c>
      <c r="AS25" s="20"/>
      <c r="AT25" s="28"/>
      <c r="AU25" s="3"/>
      <c r="AV25" s="10"/>
      <c r="AW25" s="20">
        <v>0</v>
      </c>
      <c r="AX25" s="28"/>
      <c r="AY25" s="3"/>
      <c r="AZ25" s="10"/>
      <c r="BA25" s="20"/>
      <c r="BB25" s="28"/>
      <c r="BC25" s="3"/>
      <c r="BD25" s="10"/>
      <c r="BE25" s="23"/>
      <c r="BF25" s="28"/>
      <c r="BG25" s="3"/>
      <c r="BH25" s="10"/>
      <c r="BI25" s="20">
        <v>0</v>
      </c>
      <c r="BJ25" s="28"/>
      <c r="BK25" s="3"/>
      <c r="BL25" s="10"/>
    </row>
    <row r="26" spans="2:64" x14ac:dyDescent="0.3">
      <c r="B26" s="62">
        <f t="shared" si="0"/>
        <v>0</v>
      </c>
      <c r="C26" s="47">
        <f t="shared" si="1"/>
        <v>0</v>
      </c>
      <c r="D26" s="47">
        <f t="shared" si="2"/>
        <v>0</v>
      </c>
      <c r="E26" s="47">
        <f t="shared" si="3"/>
        <v>0</v>
      </c>
      <c r="F26" s="47">
        <f t="shared" si="4"/>
        <v>0</v>
      </c>
      <c r="G26" s="47">
        <f t="shared" si="5"/>
        <v>0</v>
      </c>
      <c r="H26" s="47">
        <f t="shared" si="6"/>
        <v>0</v>
      </c>
      <c r="I26" s="47">
        <f t="shared" si="7"/>
        <v>0</v>
      </c>
      <c r="J26" s="47">
        <f t="shared" si="8"/>
        <v>0</v>
      </c>
      <c r="K26" s="63">
        <f t="shared" si="9"/>
        <v>0</v>
      </c>
      <c r="L26" s="55">
        <f t="shared" si="10"/>
        <v>0</v>
      </c>
      <c r="N26" s="33">
        <v>7</v>
      </c>
      <c r="O26" s="27"/>
      <c r="P26" s="87"/>
      <c r="Q26" s="87"/>
      <c r="R26" s="37"/>
      <c r="S26" s="20"/>
      <c r="T26" s="3"/>
      <c r="U26" s="3"/>
      <c r="V26" s="3"/>
      <c r="W26" s="3"/>
      <c r="X26" s="10"/>
      <c r="Y26" s="17"/>
      <c r="Z26" s="2"/>
      <c r="AA26" s="2"/>
      <c r="AB26" s="2"/>
      <c r="AC26" s="3"/>
      <c r="AD26" s="37"/>
      <c r="AE26" s="9"/>
      <c r="AF26" s="2"/>
      <c r="AG26" s="2"/>
      <c r="AH26" s="2"/>
      <c r="AI26" s="3"/>
      <c r="AJ26" s="10"/>
      <c r="AK26" s="28"/>
      <c r="AL26" s="3"/>
      <c r="AM26" s="3"/>
      <c r="AN26" s="10"/>
      <c r="AO26" s="28"/>
      <c r="AP26" s="28"/>
      <c r="AQ26" s="3"/>
      <c r="AR26" s="10"/>
      <c r="AS26" s="20"/>
      <c r="AT26" s="28"/>
      <c r="AU26" s="3"/>
      <c r="AV26" s="10"/>
      <c r="AW26" s="20"/>
      <c r="AX26" s="28"/>
      <c r="AY26" s="3"/>
      <c r="AZ26" s="10"/>
      <c r="BA26" s="20"/>
      <c r="BB26" s="28"/>
      <c r="BC26" s="3"/>
      <c r="BD26" s="10"/>
      <c r="BE26" s="23"/>
      <c r="BF26" s="28"/>
      <c r="BG26" s="3"/>
      <c r="BH26" s="10"/>
      <c r="BI26" s="20"/>
      <c r="BJ26" s="28"/>
      <c r="BK26" s="3"/>
      <c r="BL26" s="10"/>
    </row>
    <row r="27" spans="2:64" x14ac:dyDescent="0.3">
      <c r="B27" s="62">
        <f t="shared" si="0"/>
        <v>0</v>
      </c>
      <c r="C27" s="47">
        <f t="shared" si="1"/>
        <v>0</v>
      </c>
      <c r="D27" s="47">
        <f t="shared" si="2"/>
        <v>0</v>
      </c>
      <c r="E27" s="47">
        <f t="shared" si="3"/>
        <v>0</v>
      </c>
      <c r="F27" s="47">
        <f t="shared" si="4"/>
        <v>0</v>
      </c>
      <c r="G27" s="47">
        <f t="shared" si="5"/>
        <v>0</v>
      </c>
      <c r="H27" s="47">
        <f t="shared" si="6"/>
        <v>0</v>
      </c>
      <c r="I27" s="47">
        <f t="shared" si="7"/>
        <v>0</v>
      </c>
      <c r="J27" s="47">
        <f t="shared" si="8"/>
        <v>0</v>
      </c>
      <c r="K27" s="63">
        <f t="shared" si="9"/>
        <v>0</v>
      </c>
      <c r="L27" s="55">
        <f t="shared" si="10"/>
        <v>0</v>
      </c>
      <c r="N27" s="33">
        <v>8</v>
      </c>
      <c r="O27" s="28"/>
      <c r="P27" s="88"/>
      <c r="Q27" s="88"/>
      <c r="R27" s="37"/>
      <c r="S27" s="20"/>
      <c r="T27" s="3"/>
      <c r="U27" s="3"/>
      <c r="V27" s="3"/>
      <c r="W27" s="3"/>
      <c r="X27" s="10"/>
      <c r="Y27" s="17"/>
      <c r="Z27" s="2"/>
      <c r="AA27" s="2"/>
      <c r="AB27" s="2"/>
      <c r="AC27" s="3"/>
      <c r="AD27" s="37"/>
      <c r="AE27" s="9"/>
      <c r="AF27" s="2"/>
      <c r="AG27" s="2"/>
      <c r="AH27" s="2"/>
      <c r="AI27" s="3"/>
      <c r="AJ27" s="10"/>
      <c r="AK27" s="28"/>
      <c r="AL27" s="3"/>
      <c r="AM27" s="3"/>
      <c r="AN27" s="10"/>
      <c r="AO27" s="28"/>
      <c r="AP27" s="28"/>
      <c r="AQ27" s="3"/>
      <c r="AR27" s="10"/>
      <c r="AS27" s="20"/>
      <c r="AT27" s="28"/>
      <c r="AU27" s="3"/>
      <c r="AV27" s="10"/>
      <c r="AW27" s="20"/>
      <c r="AX27" s="28"/>
      <c r="AY27" s="3"/>
      <c r="AZ27" s="10"/>
      <c r="BA27" s="20"/>
      <c r="BB27" s="28"/>
      <c r="BC27" s="3"/>
      <c r="BD27" s="10"/>
      <c r="BE27" s="23"/>
      <c r="BF27" s="28"/>
      <c r="BG27" s="3"/>
      <c r="BH27" s="10"/>
      <c r="BI27" s="20"/>
      <c r="BJ27" s="28"/>
      <c r="BK27" s="3"/>
      <c r="BL27" s="10"/>
    </row>
    <row r="28" spans="2:64" x14ac:dyDescent="0.3">
      <c r="B28" s="62">
        <f t="shared" si="0"/>
        <v>0</v>
      </c>
      <c r="C28" s="47">
        <f t="shared" si="1"/>
        <v>0</v>
      </c>
      <c r="D28" s="47">
        <f t="shared" si="2"/>
        <v>0</v>
      </c>
      <c r="E28" s="47">
        <f t="shared" si="3"/>
        <v>0</v>
      </c>
      <c r="F28" s="47">
        <f t="shared" si="4"/>
        <v>0</v>
      </c>
      <c r="G28" s="47">
        <f t="shared" si="5"/>
        <v>0</v>
      </c>
      <c r="H28" s="47">
        <f t="shared" si="6"/>
        <v>0</v>
      </c>
      <c r="I28" s="47">
        <f t="shared" si="7"/>
        <v>0</v>
      </c>
      <c r="J28" s="47">
        <f t="shared" si="8"/>
        <v>0</v>
      </c>
      <c r="K28" s="63">
        <f t="shared" si="9"/>
        <v>0</v>
      </c>
      <c r="L28" s="55">
        <f t="shared" si="10"/>
        <v>0</v>
      </c>
      <c r="N28" s="33">
        <v>9</v>
      </c>
      <c r="O28" s="28"/>
      <c r="P28" s="88"/>
      <c r="Q28" s="88"/>
      <c r="R28" s="37"/>
      <c r="S28" s="20"/>
      <c r="T28" s="3"/>
      <c r="U28" s="3"/>
      <c r="V28" s="3"/>
      <c r="W28" s="3"/>
      <c r="X28" s="10"/>
      <c r="Y28" s="17"/>
      <c r="Z28" s="2"/>
      <c r="AA28" s="2"/>
      <c r="AB28" s="2"/>
      <c r="AC28" s="3"/>
      <c r="AD28" s="37"/>
      <c r="AE28" s="9"/>
      <c r="AF28" s="2"/>
      <c r="AG28" s="2"/>
      <c r="AH28" s="2"/>
      <c r="AI28" s="3"/>
      <c r="AJ28" s="10"/>
      <c r="AK28" s="28"/>
      <c r="AL28" s="3"/>
      <c r="AM28" s="3"/>
      <c r="AN28" s="10"/>
      <c r="AO28" s="28"/>
      <c r="AP28" s="28"/>
      <c r="AQ28" s="3"/>
      <c r="AR28" s="10"/>
      <c r="AS28" s="20"/>
      <c r="AT28" s="28"/>
      <c r="AU28" s="3"/>
      <c r="AV28" s="10"/>
      <c r="AW28" s="20"/>
      <c r="AX28" s="28"/>
      <c r="AY28" s="3"/>
      <c r="AZ28" s="10"/>
      <c r="BA28" s="20"/>
      <c r="BB28" s="28"/>
      <c r="BC28" s="3"/>
      <c r="BD28" s="10"/>
      <c r="BE28" s="23"/>
      <c r="BF28" s="28"/>
      <c r="BG28" s="3"/>
      <c r="BH28" s="10"/>
      <c r="BI28" s="20"/>
      <c r="BJ28" s="28"/>
      <c r="BK28" s="3"/>
      <c r="BL28" s="10"/>
    </row>
    <row r="29" spans="2:64" x14ac:dyDescent="0.3">
      <c r="B29" s="62">
        <f t="shared" si="0"/>
        <v>0</v>
      </c>
      <c r="C29" s="47">
        <f t="shared" si="1"/>
        <v>0</v>
      </c>
      <c r="D29" s="47">
        <f t="shared" si="2"/>
        <v>0</v>
      </c>
      <c r="E29" s="47">
        <f t="shared" si="3"/>
        <v>0</v>
      </c>
      <c r="F29" s="47">
        <f t="shared" si="4"/>
        <v>0</v>
      </c>
      <c r="G29" s="47">
        <f t="shared" si="5"/>
        <v>0</v>
      </c>
      <c r="H29" s="47">
        <f t="shared" si="6"/>
        <v>0</v>
      </c>
      <c r="I29" s="47">
        <f t="shared" si="7"/>
        <v>0</v>
      </c>
      <c r="J29" s="47">
        <f t="shared" si="8"/>
        <v>0</v>
      </c>
      <c r="K29" s="63">
        <f t="shared" si="9"/>
        <v>0</v>
      </c>
      <c r="L29" s="55">
        <f t="shared" si="10"/>
        <v>0</v>
      </c>
      <c r="N29" s="33">
        <v>10</v>
      </c>
      <c r="O29" s="27"/>
      <c r="P29" s="87"/>
      <c r="Q29" s="87"/>
      <c r="R29" s="37"/>
      <c r="S29" s="20"/>
      <c r="T29" s="3"/>
      <c r="U29" s="3"/>
      <c r="V29" s="3"/>
      <c r="W29" s="3"/>
      <c r="X29" s="10"/>
      <c r="Y29" s="17"/>
      <c r="Z29" s="2"/>
      <c r="AA29" s="2"/>
      <c r="AB29" s="2"/>
      <c r="AC29" s="3"/>
      <c r="AD29" s="37"/>
      <c r="AE29" s="9"/>
      <c r="AF29" s="2"/>
      <c r="AG29" s="2"/>
      <c r="AH29" s="2"/>
      <c r="AI29" s="3"/>
      <c r="AJ29" s="10"/>
      <c r="AK29" s="28"/>
      <c r="AL29" s="3"/>
      <c r="AM29" s="3"/>
      <c r="AN29" s="10"/>
      <c r="AO29" s="28"/>
      <c r="AP29" s="28"/>
      <c r="AQ29" s="3"/>
      <c r="AR29" s="10"/>
      <c r="AS29" s="20"/>
      <c r="AT29" s="28"/>
      <c r="AU29" s="3"/>
      <c r="AV29" s="10"/>
      <c r="AW29" s="20"/>
      <c r="AX29" s="28"/>
      <c r="AY29" s="3"/>
      <c r="AZ29" s="10"/>
      <c r="BA29" s="20"/>
      <c r="BB29" s="28"/>
      <c r="BC29" s="3"/>
      <c r="BD29" s="10"/>
      <c r="BE29" s="23"/>
      <c r="BF29" s="28"/>
      <c r="BG29" s="3"/>
      <c r="BH29" s="10"/>
      <c r="BI29" s="20"/>
      <c r="BJ29" s="28"/>
      <c r="BK29" s="3"/>
      <c r="BL29" s="10"/>
    </row>
    <row r="30" spans="2:64" x14ac:dyDescent="0.3">
      <c r="B30" s="62">
        <f t="shared" si="0"/>
        <v>0</v>
      </c>
      <c r="C30" s="47">
        <f t="shared" si="1"/>
        <v>0</v>
      </c>
      <c r="D30" s="47">
        <f t="shared" si="2"/>
        <v>0</v>
      </c>
      <c r="E30" s="47">
        <f t="shared" si="3"/>
        <v>0</v>
      </c>
      <c r="F30" s="47">
        <f t="shared" si="4"/>
        <v>0</v>
      </c>
      <c r="G30" s="47">
        <f t="shared" si="5"/>
        <v>0</v>
      </c>
      <c r="H30" s="47">
        <f t="shared" si="6"/>
        <v>0</v>
      </c>
      <c r="I30" s="47">
        <f t="shared" si="7"/>
        <v>0</v>
      </c>
      <c r="J30" s="47">
        <f t="shared" si="8"/>
        <v>0</v>
      </c>
      <c r="K30" s="63">
        <f t="shared" si="9"/>
        <v>0</v>
      </c>
      <c r="L30" s="55">
        <f t="shared" si="10"/>
        <v>0</v>
      </c>
      <c r="N30" s="33">
        <v>11</v>
      </c>
      <c r="O30" s="28"/>
      <c r="P30" s="88"/>
      <c r="Q30" s="88"/>
      <c r="R30" s="37"/>
      <c r="S30" s="20"/>
      <c r="T30" s="3"/>
      <c r="U30" s="3"/>
      <c r="V30" s="3"/>
      <c r="W30" s="3"/>
      <c r="X30" s="10"/>
      <c r="Y30" s="17"/>
      <c r="Z30" s="2"/>
      <c r="AA30" s="2"/>
      <c r="AB30" s="2"/>
      <c r="AC30" s="3"/>
      <c r="AD30" s="37"/>
      <c r="AE30" s="9"/>
      <c r="AF30" s="2"/>
      <c r="AG30" s="2"/>
      <c r="AH30" s="2"/>
      <c r="AI30" s="3"/>
      <c r="AJ30" s="10"/>
      <c r="AK30" s="28"/>
      <c r="AL30" s="3"/>
      <c r="AM30" s="3"/>
      <c r="AN30" s="10"/>
      <c r="AO30" s="28"/>
      <c r="AP30" s="28"/>
      <c r="AQ30" s="3"/>
      <c r="AR30" s="10"/>
      <c r="AS30" s="20"/>
      <c r="AT30" s="28"/>
      <c r="AU30" s="3"/>
      <c r="AV30" s="10"/>
      <c r="AW30" s="20"/>
      <c r="AX30" s="28"/>
      <c r="AY30" s="3"/>
      <c r="AZ30" s="10"/>
      <c r="BA30" s="20"/>
      <c r="BB30" s="28"/>
      <c r="BC30" s="3"/>
      <c r="BD30" s="10"/>
      <c r="BE30" s="23"/>
      <c r="BF30" s="28"/>
      <c r="BG30" s="3"/>
      <c r="BH30" s="10"/>
      <c r="BI30" s="20"/>
      <c r="BJ30" s="28"/>
      <c r="BK30" s="3"/>
      <c r="BL30" s="10"/>
    </row>
    <row r="31" spans="2:64" x14ac:dyDescent="0.3">
      <c r="B31" s="62">
        <f t="shared" si="0"/>
        <v>0</v>
      </c>
      <c r="C31" s="47">
        <f t="shared" si="1"/>
        <v>0</v>
      </c>
      <c r="D31" s="47">
        <f t="shared" si="2"/>
        <v>0</v>
      </c>
      <c r="E31" s="47">
        <f t="shared" si="3"/>
        <v>0</v>
      </c>
      <c r="F31" s="47">
        <f t="shared" si="4"/>
        <v>0</v>
      </c>
      <c r="G31" s="47">
        <f t="shared" si="5"/>
        <v>0</v>
      </c>
      <c r="H31" s="47">
        <f t="shared" si="6"/>
        <v>0</v>
      </c>
      <c r="I31" s="47">
        <f t="shared" si="7"/>
        <v>0</v>
      </c>
      <c r="J31" s="47">
        <f t="shared" si="8"/>
        <v>0</v>
      </c>
      <c r="K31" s="63">
        <f t="shared" si="9"/>
        <v>0</v>
      </c>
      <c r="L31" s="55">
        <f t="shared" si="10"/>
        <v>0</v>
      </c>
      <c r="N31" s="33">
        <v>12</v>
      </c>
      <c r="O31" s="28"/>
      <c r="P31" s="88"/>
      <c r="Q31" s="88"/>
      <c r="R31" s="37"/>
      <c r="S31" s="20"/>
      <c r="T31" s="3"/>
      <c r="U31" s="3"/>
      <c r="V31" s="3"/>
      <c r="W31" s="3"/>
      <c r="X31" s="10"/>
      <c r="Y31" s="17"/>
      <c r="Z31" s="2"/>
      <c r="AA31" s="2"/>
      <c r="AB31" s="2"/>
      <c r="AC31" s="3"/>
      <c r="AD31" s="37"/>
      <c r="AE31" s="9"/>
      <c r="AF31" s="2"/>
      <c r="AG31" s="2"/>
      <c r="AH31" s="2"/>
      <c r="AI31" s="3"/>
      <c r="AJ31" s="10"/>
      <c r="AK31" s="28"/>
      <c r="AL31" s="3"/>
      <c r="AM31" s="3"/>
      <c r="AN31" s="10"/>
      <c r="AO31" s="28"/>
      <c r="AP31" s="28"/>
      <c r="AQ31" s="3"/>
      <c r="AR31" s="10"/>
      <c r="AS31" s="20"/>
      <c r="AT31" s="28"/>
      <c r="AU31" s="3"/>
      <c r="AV31" s="10"/>
      <c r="AW31" s="20"/>
      <c r="AX31" s="28"/>
      <c r="AY31" s="3"/>
      <c r="AZ31" s="10"/>
      <c r="BA31" s="20"/>
      <c r="BB31" s="28"/>
      <c r="BC31" s="3"/>
      <c r="BD31" s="10"/>
      <c r="BE31" s="23"/>
      <c r="BF31" s="28"/>
      <c r="BG31" s="3"/>
      <c r="BH31" s="10"/>
      <c r="BI31" s="20"/>
      <c r="BJ31" s="28"/>
      <c r="BK31" s="3"/>
      <c r="BL31" s="10"/>
    </row>
    <row r="32" spans="2:64" x14ac:dyDescent="0.3">
      <c r="B32" s="62">
        <f t="shared" si="0"/>
        <v>0</v>
      </c>
      <c r="C32" s="47">
        <f t="shared" si="1"/>
        <v>0</v>
      </c>
      <c r="D32" s="47">
        <f t="shared" si="2"/>
        <v>0</v>
      </c>
      <c r="E32" s="47">
        <f t="shared" si="3"/>
        <v>0</v>
      </c>
      <c r="F32" s="47">
        <f t="shared" si="4"/>
        <v>0</v>
      </c>
      <c r="G32" s="47">
        <f t="shared" si="5"/>
        <v>0</v>
      </c>
      <c r="H32" s="47">
        <f t="shared" si="6"/>
        <v>0</v>
      </c>
      <c r="I32" s="47">
        <f t="shared" si="7"/>
        <v>0</v>
      </c>
      <c r="J32" s="47">
        <f t="shared" si="8"/>
        <v>0</v>
      </c>
      <c r="K32" s="63">
        <f t="shared" si="9"/>
        <v>0</v>
      </c>
      <c r="L32" s="55">
        <f t="shared" si="10"/>
        <v>0</v>
      </c>
      <c r="N32" s="33">
        <v>13</v>
      </c>
      <c r="O32" s="28"/>
      <c r="P32" s="88"/>
      <c r="Q32" s="88"/>
      <c r="R32" s="37"/>
      <c r="S32" s="20"/>
      <c r="T32" s="3"/>
      <c r="U32" s="3"/>
      <c r="V32" s="3"/>
      <c r="W32" s="3"/>
      <c r="X32" s="10"/>
      <c r="Y32" s="17"/>
      <c r="Z32" s="2"/>
      <c r="AA32" s="2"/>
      <c r="AB32" s="2"/>
      <c r="AC32" s="3"/>
      <c r="AD32" s="37"/>
      <c r="AE32" s="9"/>
      <c r="AF32" s="2"/>
      <c r="AG32" s="2"/>
      <c r="AH32" s="2"/>
      <c r="AI32" s="3"/>
      <c r="AJ32" s="10"/>
      <c r="AK32" s="28"/>
      <c r="AL32" s="3"/>
      <c r="AM32" s="3"/>
      <c r="AN32" s="10"/>
      <c r="AO32" s="28"/>
      <c r="AP32" s="28"/>
      <c r="AQ32" s="3"/>
      <c r="AR32" s="10"/>
      <c r="AS32" s="20"/>
      <c r="AT32" s="28"/>
      <c r="AU32" s="3"/>
      <c r="AV32" s="10"/>
      <c r="AW32" s="20"/>
      <c r="AX32" s="28"/>
      <c r="AY32" s="3"/>
      <c r="AZ32" s="10"/>
      <c r="BA32" s="20"/>
      <c r="BB32" s="28"/>
      <c r="BC32" s="3"/>
      <c r="BD32" s="10"/>
      <c r="BE32" s="23"/>
      <c r="BF32" s="28"/>
      <c r="BG32" s="3"/>
      <c r="BH32" s="10"/>
      <c r="BI32" s="20"/>
      <c r="BJ32" s="28"/>
      <c r="BK32" s="3"/>
      <c r="BL32" s="10"/>
    </row>
    <row r="33" spans="2:64" x14ac:dyDescent="0.3">
      <c r="B33" s="62">
        <f t="shared" si="0"/>
        <v>0</v>
      </c>
      <c r="C33" s="47">
        <f t="shared" si="1"/>
        <v>0</v>
      </c>
      <c r="D33" s="47">
        <f t="shared" si="2"/>
        <v>0</v>
      </c>
      <c r="E33" s="47">
        <f t="shared" si="3"/>
        <v>0</v>
      </c>
      <c r="F33" s="47">
        <f t="shared" si="4"/>
        <v>0</v>
      </c>
      <c r="G33" s="47">
        <f t="shared" si="5"/>
        <v>0</v>
      </c>
      <c r="H33" s="47">
        <f t="shared" si="6"/>
        <v>0</v>
      </c>
      <c r="I33" s="47">
        <f t="shared" si="7"/>
        <v>0</v>
      </c>
      <c r="J33" s="47">
        <f t="shared" si="8"/>
        <v>0</v>
      </c>
      <c r="K33" s="63">
        <f t="shared" si="9"/>
        <v>0</v>
      </c>
      <c r="L33" s="55">
        <f t="shared" si="10"/>
        <v>0</v>
      </c>
      <c r="N33" s="33">
        <v>14</v>
      </c>
      <c r="O33" s="28"/>
      <c r="P33" s="88"/>
      <c r="Q33" s="88"/>
      <c r="R33" s="37"/>
      <c r="S33" s="20"/>
      <c r="T33" s="3"/>
      <c r="U33" s="3"/>
      <c r="V33" s="3"/>
      <c r="W33" s="3"/>
      <c r="X33" s="10"/>
      <c r="Y33" s="17"/>
      <c r="Z33" s="2"/>
      <c r="AA33" s="2"/>
      <c r="AB33" s="2"/>
      <c r="AC33" s="3"/>
      <c r="AD33" s="37"/>
      <c r="AE33" s="9"/>
      <c r="AF33" s="2"/>
      <c r="AG33" s="2"/>
      <c r="AH33" s="2"/>
      <c r="AI33" s="3"/>
      <c r="AJ33" s="10"/>
      <c r="AK33" s="28"/>
      <c r="AL33" s="3"/>
      <c r="AM33" s="3"/>
      <c r="AN33" s="10"/>
      <c r="AO33" s="28"/>
      <c r="AP33" s="28"/>
      <c r="AQ33" s="3"/>
      <c r="AR33" s="10"/>
      <c r="AS33" s="20"/>
      <c r="AT33" s="28"/>
      <c r="AU33" s="3"/>
      <c r="AV33" s="10"/>
      <c r="AW33" s="20"/>
      <c r="AX33" s="28"/>
      <c r="AY33" s="3"/>
      <c r="AZ33" s="10"/>
      <c r="BA33" s="20"/>
      <c r="BB33" s="28"/>
      <c r="BC33" s="3"/>
      <c r="BD33" s="10"/>
      <c r="BE33" s="23"/>
      <c r="BF33" s="28"/>
      <c r="BG33" s="3"/>
      <c r="BH33" s="10"/>
      <c r="BI33" s="20"/>
      <c r="BJ33" s="28"/>
      <c r="BK33" s="3"/>
      <c r="BL33" s="10"/>
    </row>
    <row r="34" spans="2:64" x14ac:dyDescent="0.3">
      <c r="B34" s="62">
        <f t="shared" si="0"/>
        <v>0</v>
      </c>
      <c r="C34" s="47">
        <f t="shared" si="1"/>
        <v>0</v>
      </c>
      <c r="D34" s="47">
        <f t="shared" si="2"/>
        <v>0</v>
      </c>
      <c r="E34" s="47">
        <f t="shared" si="3"/>
        <v>0</v>
      </c>
      <c r="F34" s="47">
        <f t="shared" si="4"/>
        <v>0</v>
      </c>
      <c r="G34" s="47">
        <f t="shared" si="5"/>
        <v>0</v>
      </c>
      <c r="H34" s="47">
        <f t="shared" si="6"/>
        <v>0</v>
      </c>
      <c r="I34" s="47">
        <f t="shared" si="7"/>
        <v>0</v>
      </c>
      <c r="J34" s="47">
        <f t="shared" si="8"/>
        <v>0</v>
      </c>
      <c r="K34" s="63">
        <f t="shared" si="9"/>
        <v>0</v>
      </c>
      <c r="L34" s="55">
        <f t="shared" si="10"/>
        <v>0</v>
      </c>
      <c r="N34" s="33">
        <v>15</v>
      </c>
      <c r="O34" s="28"/>
      <c r="P34" s="88"/>
      <c r="Q34" s="88"/>
      <c r="R34" s="37"/>
      <c r="S34" s="20"/>
      <c r="T34" s="3"/>
      <c r="U34" s="3"/>
      <c r="V34" s="3"/>
      <c r="W34" s="3"/>
      <c r="X34" s="10"/>
      <c r="Y34" s="17"/>
      <c r="Z34" s="2"/>
      <c r="AA34" s="2"/>
      <c r="AB34" s="2"/>
      <c r="AC34" s="3"/>
      <c r="AD34" s="37"/>
      <c r="AE34" s="9"/>
      <c r="AF34" s="2"/>
      <c r="AG34" s="2"/>
      <c r="AH34" s="2"/>
      <c r="AI34" s="3"/>
      <c r="AJ34" s="10"/>
      <c r="AK34" s="28"/>
      <c r="AL34" s="3"/>
      <c r="AM34" s="3"/>
      <c r="AN34" s="10"/>
      <c r="AO34" s="28"/>
      <c r="AP34" s="28"/>
      <c r="AQ34" s="3"/>
      <c r="AR34" s="10"/>
      <c r="AS34" s="20"/>
      <c r="AT34" s="28"/>
      <c r="AU34" s="3"/>
      <c r="AV34" s="10"/>
      <c r="AW34" s="20"/>
      <c r="AX34" s="28"/>
      <c r="AY34" s="3"/>
      <c r="AZ34" s="10"/>
      <c r="BA34" s="20"/>
      <c r="BB34" s="28"/>
      <c r="BC34" s="3"/>
      <c r="BD34" s="10"/>
      <c r="BE34" s="23"/>
      <c r="BF34" s="28"/>
      <c r="BG34" s="3"/>
      <c r="BH34" s="10"/>
      <c r="BI34" s="20"/>
      <c r="BJ34" s="28"/>
      <c r="BK34" s="3"/>
      <c r="BL34" s="10"/>
    </row>
    <row r="35" spans="2:64" x14ac:dyDescent="0.3">
      <c r="B35" s="62">
        <f t="shared" si="0"/>
        <v>0</v>
      </c>
      <c r="C35" s="47">
        <f t="shared" si="1"/>
        <v>0</v>
      </c>
      <c r="D35" s="47">
        <f t="shared" si="2"/>
        <v>0</v>
      </c>
      <c r="E35" s="47">
        <f t="shared" si="3"/>
        <v>0</v>
      </c>
      <c r="F35" s="47">
        <f t="shared" si="4"/>
        <v>0</v>
      </c>
      <c r="G35" s="47">
        <f t="shared" si="5"/>
        <v>0</v>
      </c>
      <c r="H35" s="47">
        <f t="shared" si="6"/>
        <v>0</v>
      </c>
      <c r="I35" s="47">
        <f t="shared" si="7"/>
        <v>0</v>
      </c>
      <c r="J35" s="47">
        <f t="shared" si="8"/>
        <v>0</v>
      </c>
      <c r="K35" s="63">
        <f t="shared" si="9"/>
        <v>0</v>
      </c>
      <c r="L35" s="55">
        <f t="shared" si="10"/>
        <v>0</v>
      </c>
      <c r="N35" s="33">
        <v>16</v>
      </c>
      <c r="O35" s="28"/>
      <c r="P35" s="88"/>
      <c r="Q35" s="88"/>
      <c r="R35" s="37"/>
      <c r="S35" s="20"/>
      <c r="T35" s="3"/>
      <c r="U35" s="3"/>
      <c r="V35" s="3"/>
      <c r="W35" s="3"/>
      <c r="X35" s="10"/>
      <c r="Y35" s="17"/>
      <c r="Z35" s="2"/>
      <c r="AA35" s="2"/>
      <c r="AB35" s="2"/>
      <c r="AC35" s="3"/>
      <c r="AD35" s="37"/>
      <c r="AE35" s="9"/>
      <c r="AF35" s="2"/>
      <c r="AG35" s="2"/>
      <c r="AH35" s="2"/>
      <c r="AI35" s="3"/>
      <c r="AJ35" s="10"/>
      <c r="AK35" s="28"/>
      <c r="AL35" s="3"/>
      <c r="AM35" s="3"/>
      <c r="AN35" s="10"/>
      <c r="AO35" s="28"/>
      <c r="AP35" s="28"/>
      <c r="AQ35" s="3"/>
      <c r="AR35" s="10"/>
      <c r="AS35" s="20"/>
      <c r="AT35" s="28"/>
      <c r="AU35" s="3"/>
      <c r="AV35" s="10"/>
      <c r="AW35" s="20"/>
      <c r="AX35" s="28"/>
      <c r="AY35" s="3"/>
      <c r="AZ35" s="10"/>
      <c r="BA35" s="20"/>
      <c r="BB35" s="28"/>
      <c r="BC35" s="3"/>
      <c r="BD35" s="10"/>
      <c r="BE35" s="23"/>
      <c r="BF35" s="28"/>
      <c r="BG35" s="3"/>
      <c r="BH35" s="10"/>
      <c r="BI35" s="20"/>
      <c r="BJ35" s="28"/>
      <c r="BK35" s="3"/>
      <c r="BL35" s="10"/>
    </row>
    <row r="36" spans="2:64" x14ac:dyDescent="0.3">
      <c r="B36" s="62">
        <f t="shared" si="0"/>
        <v>0</v>
      </c>
      <c r="C36" s="47">
        <f t="shared" si="1"/>
        <v>0</v>
      </c>
      <c r="D36" s="47">
        <f t="shared" si="2"/>
        <v>0</v>
      </c>
      <c r="E36" s="47">
        <f t="shared" si="3"/>
        <v>0</v>
      </c>
      <c r="F36" s="47">
        <f t="shared" si="4"/>
        <v>0</v>
      </c>
      <c r="G36" s="47">
        <f t="shared" si="5"/>
        <v>0</v>
      </c>
      <c r="H36" s="47">
        <f t="shared" si="6"/>
        <v>0</v>
      </c>
      <c r="I36" s="47">
        <f t="shared" si="7"/>
        <v>0</v>
      </c>
      <c r="J36" s="47">
        <f t="shared" si="8"/>
        <v>0</v>
      </c>
      <c r="K36" s="63">
        <f t="shared" si="9"/>
        <v>0</v>
      </c>
      <c r="L36" s="55">
        <f t="shared" si="10"/>
        <v>0</v>
      </c>
      <c r="N36" s="33">
        <v>17</v>
      </c>
      <c r="O36" s="28"/>
      <c r="P36" s="88"/>
      <c r="Q36" s="88"/>
      <c r="R36" s="37"/>
      <c r="S36" s="20"/>
      <c r="T36" s="3"/>
      <c r="U36" s="3"/>
      <c r="V36" s="3"/>
      <c r="W36" s="3"/>
      <c r="X36" s="10"/>
      <c r="Y36" s="17"/>
      <c r="Z36" s="2"/>
      <c r="AA36" s="2"/>
      <c r="AB36" s="2"/>
      <c r="AC36" s="3"/>
      <c r="AD36" s="37"/>
      <c r="AE36" s="9"/>
      <c r="AF36" s="2"/>
      <c r="AG36" s="2"/>
      <c r="AH36" s="2"/>
      <c r="AI36" s="3"/>
      <c r="AJ36" s="10"/>
      <c r="AK36" s="28"/>
      <c r="AL36" s="3"/>
      <c r="AM36" s="3"/>
      <c r="AN36" s="10"/>
      <c r="AO36" s="28"/>
      <c r="AP36" s="28"/>
      <c r="AQ36" s="3"/>
      <c r="AR36" s="10"/>
      <c r="AS36" s="20"/>
      <c r="AT36" s="28"/>
      <c r="AU36" s="3"/>
      <c r="AV36" s="10"/>
      <c r="AW36" s="20"/>
      <c r="AX36" s="28"/>
      <c r="AY36" s="3"/>
      <c r="AZ36" s="10"/>
      <c r="BA36" s="20"/>
      <c r="BB36" s="28"/>
      <c r="BC36" s="3"/>
      <c r="BD36" s="10"/>
      <c r="BE36" s="23"/>
      <c r="BF36" s="28"/>
      <c r="BG36" s="3"/>
      <c r="BH36" s="10"/>
      <c r="BI36" s="20"/>
      <c r="BJ36" s="28"/>
      <c r="BK36" s="3"/>
      <c r="BL36" s="10"/>
    </row>
    <row r="37" spans="2:64" x14ac:dyDescent="0.3">
      <c r="B37" s="62">
        <f t="shared" si="0"/>
        <v>0</v>
      </c>
      <c r="C37" s="47">
        <f t="shared" si="1"/>
        <v>0</v>
      </c>
      <c r="D37" s="47">
        <f t="shared" si="2"/>
        <v>0</v>
      </c>
      <c r="E37" s="47">
        <f t="shared" si="3"/>
        <v>0</v>
      </c>
      <c r="F37" s="47">
        <f t="shared" si="4"/>
        <v>0</v>
      </c>
      <c r="G37" s="47">
        <f t="shared" si="5"/>
        <v>0</v>
      </c>
      <c r="H37" s="47">
        <f t="shared" si="6"/>
        <v>0</v>
      </c>
      <c r="I37" s="47">
        <f t="shared" si="7"/>
        <v>0</v>
      </c>
      <c r="J37" s="47">
        <f t="shared" si="8"/>
        <v>0</v>
      </c>
      <c r="K37" s="63">
        <f t="shared" si="9"/>
        <v>0</v>
      </c>
      <c r="L37" s="55">
        <f t="shared" si="10"/>
        <v>0</v>
      </c>
      <c r="N37" s="33">
        <v>18</v>
      </c>
      <c r="O37" s="28"/>
      <c r="P37" s="88"/>
      <c r="Q37" s="88"/>
      <c r="R37" s="37"/>
      <c r="S37" s="20"/>
      <c r="T37" s="3"/>
      <c r="U37" s="3"/>
      <c r="V37" s="3"/>
      <c r="W37" s="3"/>
      <c r="X37" s="10"/>
      <c r="Y37" s="17"/>
      <c r="Z37" s="2"/>
      <c r="AA37" s="2"/>
      <c r="AB37" s="2"/>
      <c r="AC37" s="3"/>
      <c r="AD37" s="37"/>
      <c r="AE37" s="9"/>
      <c r="AF37" s="2"/>
      <c r="AG37" s="2"/>
      <c r="AH37" s="2"/>
      <c r="AI37" s="3"/>
      <c r="AJ37" s="10"/>
      <c r="AK37" s="28"/>
      <c r="AL37" s="3"/>
      <c r="AM37" s="3"/>
      <c r="AN37" s="10"/>
      <c r="AO37" s="28"/>
      <c r="AP37" s="28"/>
      <c r="AQ37" s="3"/>
      <c r="AR37" s="10"/>
      <c r="AS37" s="20"/>
      <c r="AT37" s="28"/>
      <c r="AU37" s="3"/>
      <c r="AV37" s="10"/>
      <c r="AW37" s="20"/>
      <c r="AX37" s="28"/>
      <c r="AY37" s="3"/>
      <c r="AZ37" s="10"/>
      <c r="BA37" s="20"/>
      <c r="BB37" s="28"/>
      <c r="BC37" s="3"/>
      <c r="BD37" s="10"/>
      <c r="BE37" s="23"/>
      <c r="BF37" s="28"/>
      <c r="BG37" s="3"/>
      <c r="BH37" s="10"/>
      <c r="BI37" s="20"/>
      <c r="BJ37" s="28"/>
      <c r="BK37" s="3"/>
      <c r="BL37" s="10"/>
    </row>
    <row r="38" spans="2:64" x14ac:dyDescent="0.3">
      <c r="B38" s="62">
        <f t="shared" si="0"/>
        <v>0</v>
      </c>
      <c r="C38" s="47">
        <f t="shared" si="1"/>
        <v>0</v>
      </c>
      <c r="D38" s="47">
        <f t="shared" si="2"/>
        <v>0</v>
      </c>
      <c r="E38" s="47">
        <f t="shared" si="3"/>
        <v>0</v>
      </c>
      <c r="F38" s="47">
        <f t="shared" si="4"/>
        <v>0</v>
      </c>
      <c r="G38" s="47">
        <f t="shared" si="5"/>
        <v>0</v>
      </c>
      <c r="H38" s="47">
        <f t="shared" si="6"/>
        <v>0</v>
      </c>
      <c r="I38" s="47">
        <f t="shared" si="7"/>
        <v>0</v>
      </c>
      <c r="J38" s="47">
        <f t="shared" si="8"/>
        <v>0</v>
      </c>
      <c r="K38" s="63">
        <f t="shared" si="9"/>
        <v>0</v>
      </c>
      <c r="L38" s="55">
        <f t="shared" si="10"/>
        <v>0</v>
      </c>
      <c r="N38" s="33">
        <v>19</v>
      </c>
      <c r="O38" s="28"/>
      <c r="P38" s="88"/>
      <c r="Q38" s="88"/>
      <c r="R38" s="37"/>
      <c r="S38" s="20"/>
      <c r="T38" s="3"/>
      <c r="U38" s="3"/>
      <c r="V38" s="3"/>
      <c r="W38" s="3"/>
      <c r="X38" s="10"/>
      <c r="Y38" s="17"/>
      <c r="Z38" s="2"/>
      <c r="AA38" s="2"/>
      <c r="AB38" s="2"/>
      <c r="AC38" s="3"/>
      <c r="AD38" s="37"/>
      <c r="AE38" s="9"/>
      <c r="AF38" s="2"/>
      <c r="AG38" s="2"/>
      <c r="AH38" s="2"/>
      <c r="AI38" s="3"/>
      <c r="AJ38" s="10"/>
      <c r="AK38" s="28"/>
      <c r="AL38" s="3"/>
      <c r="AM38" s="3"/>
      <c r="AN38" s="10"/>
      <c r="AO38" s="28"/>
      <c r="AP38" s="28"/>
      <c r="AQ38" s="3"/>
      <c r="AR38" s="10"/>
      <c r="AS38" s="20"/>
      <c r="AT38" s="28"/>
      <c r="AU38" s="3"/>
      <c r="AV38" s="10"/>
      <c r="AW38" s="20"/>
      <c r="AX38" s="28"/>
      <c r="AY38" s="3"/>
      <c r="AZ38" s="10"/>
      <c r="BA38" s="20"/>
      <c r="BB38" s="28"/>
      <c r="BC38" s="3"/>
      <c r="BD38" s="10"/>
      <c r="BE38" s="23"/>
      <c r="BF38" s="28"/>
      <c r="BG38" s="3"/>
      <c r="BH38" s="10"/>
      <c r="BI38" s="20"/>
      <c r="BJ38" s="28"/>
      <c r="BK38" s="3"/>
      <c r="BL38" s="10"/>
    </row>
    <row r="39" spans="2:64" x14ac:dyDescent="0.3">
      <c r="B39" s="62">
        <f t="shared" si="0"/>
        <v>0</v>
      </c>
      <c r="C39" s="47">
        <f t="shared" si="1"/>
        <v>0</v>
      </c>
      <c r="D39" s="47">
        <f t="shared" si="2"/>
        <v>0</v>
      </c>
      <c r="E39" s="47">
        <f t="shared" si="3"/>
        <v>0</v>
      </c>
      <c r="F39" s="47">
        <f t="shared" si="4"/>
        <v>0</v>
      </c>
      <c r="G39" s="47">
        <f t="shared" si="5"/>
        <v>0</v>
      </c>
      <c r="H39" s="47">
        <f t="shared" si="6"/>
        <v>0</v>
      </c>
      <c r="I39" s="47">
        <f t="shared" si="7"/>
        <v>0</v>
      </c>
      <c r="J39" s="47">
        <f t="shared" si="8"/>
        <v>0</v>
      </c>
      <c r="K39" s="63">
        <f t="shared" si="9"/>
        <v>0</v>
      </c>
      <c r="L39" s="55">
        <f t="shared" si="10"/>
        <v>0</v>
      </c>
      <c r="N39" s="33">
        <v>20</v>
      </c>
      <c r="O39" s="28"/>
      <c r="P39" s="88"/>
      <c r="Q39" s="88"/>
      <c r="R39" s="37"/>
      <c r="S39" s="20"/>
      <c r="T39" s="3"/>
      <c r="U39" s="3"/>
      <c r="V39" s="3"/>
      <c r="W39" s="3"/>
      <c r="X39" s="10"/>
      <c r="Y39" s="17"/>
      <c r="Z39" s="2"/>
      <c r="AA39" s="2"/>
      <c r="AB39" s="2"/>
      <c r="AC39" s="3"/>
      <c r="AD39" s="37"/>
      <c r="AE39" s="9"/>
      <c r="AF39" s="2"/>
      <c r="AG39" s="2"/>
      <c r="AH39" s="2"/>
      <c r="AI39" s="3"/>
      <c r="AJ39" s="10"/>
      <c r="AK39" s="28"/>
      <c r="AL39" s="3"/>
      <c r="AM39" s="3"/>
      <c r="AN39" s="10"/>
      <c r="AO39" s="28"/>
      <c r="AP39" s="28"/>
      <c r="AQ39" s="3"/>
      <c r="AR39" s="10"/>
      <c r="AS39" s="20"/>
      <c r="AT39" s="28"/>
      <c r="AU39" s="3"/>
      <c r="AV39" s="10"/>
      <c r="AW39" s="20"/>
      <c r="AX39" s="28"/>
      <c r="AY39" s="3"/>
      <c r="AZ39" s="10"/>
      <c r="BA39" s="20"/>
      <c r="BB39" s="28"/>
      <c r="BC39" s="3"/>
      <c r="BD39" s="10"/>
      <c r="BE39" s="23"/>
      <c r="BF39" s="28"/>
      <c r="BG39" s="3"/>
      <c r="BH39" s="10"/>
      <c r="BI39" s="20"/>
      <c r="BJ39" s="28"/>
      <c r="BK39" s="3"/>
      <c r="BL39" s="10"/>
    </row>
    <row r="40" spans="2:64" x14ac:dyDescent="0.3">
      <c r="B40" s="62">
        <f t="shared" si="0"/>
        <v>0</v>
      </c>
      <c r="C40" s="47">
        <f t="shared" si="1"/>
        <v>0</v>
      </c>
      <c r="D40" s="47">
        <f t="shared" si="2"/>
        <v>0</v>
      </c>
      <c r="E40" s="47">
        <f t="shared" si="3"/>
        <v>0</v>
      </c>
      <c r="F40" s="47">
        <f t="shared" si="4"/>
        <v>0</v>
      </c>
      <c r="G40" s="47">
        <f t="shared" si="5"/>
        <v>0</v>
      </c>
      <c r="H40" s="47">
        <f t="shared" si="6"/>
        <v>0</v>
      </c>
      <c r="I40" s="47">
        <f t="shared" si="7"/>
        <v>0</v>
      </c>
      <c r="J40" s="47">
        <f t="shared" si="8"/>
        <v>0</v>
      </c>
      <c r="K40" s="63">
        <f t="shared" si="9"/>
        <v>0</v>
      </c>
      <c r="L40" s="55">
        <f t="shared" si="10"/>
        <v>0</v>
      </c>
      <c r="N40" s="33">
        <v>21</v>
      </c>
      <c r="O40" s="28"/>
      <c r="P40" s="88"/>
      <c r="Q40" s="88"/>
      <c r="R40" s="37"/>
      <c r="S40" s="20"/>
      <c r="T40" s="3"/>
      <c r="U40" s="3"/>
      <c r="V40" s="3"/>
      <c r="W40" s="3"/>
      <c r="X40" s="10"/>
      <c r="Y40" s="17"/>
      <c r="Z40" s="2"/>
      <c r="AA40" s="2"/>
      <c r="AB40" s="2"/>
      <c r="AC40" s="3"/>
      <c r="AD40" s="37"/>
      <c r="AE40" s="9"/>
      <c r="AF40" s="2"/>
      <c r="AG40" s="2"/>
      <c r="AH40" s="2"/>
      <c r="AI40" s="3"/>
      <c r="AJ40" s="10"/>
      <c r="AK40" s="28"/>
      <c r="AL40" s="3"/>
      <c r="AM40" s="3"/>
      <c r="AN40" s="10"/>
      <c r="AO40" s="28"/>
      <c r="AP40" s="28"/>
      <c r="AQ40" s="3"/>
      <c r="AR40" s="10"/>
      <c r="AS40" s="20"/>
      <c r="AT40" s="28"/>
      <c r="AU40" s="3"/>
      <c r="AV40" s="10"/>
      <c r="AW40" s="20"/>
      <c r="AX40" s="28"/>
      <c r="AY40" s="3"/>
      <c r="AZ40" s="10"/>
      <c r="BA40" s="20"/>
      <c r="BB40" s="28"/>
      <c r="BC40" s="3"/>
      <c r="BD40" s="10"/>
      <c r="BE40" s="23"/>
      <c r="BF40" s="28"/>
      <c r="BG40" s="3"/>
      <c r="BH40" s="10"/>
      <c r="BI40" s="20"/>
      <c r="BJ40" s="28"/>
      <c r="BK40" s="3"/>
      <c r="BL40" s="10"/>
    </row>
    <row r="41" spans="2:64" x14ac:dyDescent="0.3">
      <c r="B41" s="62">
        <f t="shared" si="0"/>
        <v>0</v>
      </c>
      <c r="C41" s="47">
        <f t="shared" si="1"/>
        <v>0</v>
      </c>
      <c r="D41" s="47">
        <f t="shared" si="2"/>
        <v>0</v>
      </c>
      <c r="E41" s="47">
        <f t="shared" si="3"/>
        <v>0</v>
      </c>
      <c r="F41" s="47">
        <f t="shared" si="4"/>
        <v>0</v>
      </c>
      <c r="G41" s="47">
        <f t="shared" si="5"/>
        <v>0</v>
      </c>
      <c r="H41" s="47">
        <f t="shared" si="6"/>
        <v>0</v>
      </c>
      <c r="I41" s="47">
        <f t="shared" si="7"/>
        <v>0</v>
      </c>
      <c r="J41" s="47">
        <f t="shared" si="8"/>
        <v>0</v>
      </c>
      <c r="K41" s="63">
        <f t="shared" si="9"/>
        <v>0</v>
      </c>
      <c r="L41" s="55">
        <f t="shared" si="10"/>
        <v>0</v>
      </c>
      <c r="N41" s="33">
        <v>22</v>
      </c>
      <c r="O41" s="28"/>
      <c r="P41" s="88"/>
      <c r="Q41" s="88"/>
      <c r="R41" s="37"/>
      <c r="S41" s="20"/>
      <c r="T41" s="3"/>
      <c r="U41" s="3"/>
      <c r="V41" s="3"/>
      <c r="W41" s="3"/>
      <c r="X41" s="10"/>
      <c r="Y41" s="17"/>
      <c r="Z41" s="2"/>
      <c r="AA41" s="2"/>
      <c r="AB41" s="2"/>
      <c r="AC41" s="3"/>
      <c r="AD41" s="37"/>
      <c r="AE41" s="9"/>
      <c r="AF41" s="2"/>
      <c r="AG41" s="2"/>
      <c r="AH41" s="2"/>
      <c r="AI41" s="3"/>
      <c r="AJ41" s="10"/>
      <c r="AK41" s="28"/>
      <c r="AL41" s="3"/>
      <c r="AM41" s="3"/>
      <c r="AN41" s="10"/>
      <c r="AO41" s="28"/>
      <c r="AP41" s="28"/>
      <c r="AQ41" s="3"/>
      <c r="AR41" s="10"/>
      <c r="AS41" s="20"/>
      <c r="AT41" s="28"/>
      <c r="AU41" s="3"/>
      <c r="AV41" s="10"/>
      <c r="AW41" s="20"/>
      <c r="AX41" s="28"/>
      <c r="AY41" s="3"/>
      <c r="AZ41" s="10"/>
      <c r="BA41" s="20"/>
      <c r="BB41" s="28"/>
      <c r="BC41" s="3"/>
      <c r="BD41" s="10"/>
      <c r="BE41" s="23"/>
      <c r="BF41" s="28"/>
      <c r="BG41" s="3"/>
      <c r="BH41" s="10"/>
      <c r="BI41" s="20"/>
      <c r="BJ41" s="28"/>
      <c r="BK41" s="3"/>
      <c r="BL41" s="10"/>
    </row>
    <row r="42" spans="2:64" x14ac:dyDescent="0.3">
      <c r="B42" s="62">
        <f t="shared" si="0"/>
        <v>0</v>
      </c>
      <c r="C42" s="47">
        <f t="shared" si="1"/>
        <v>0</v>
      </c>
      <c r="D42" s="47">
        <f t="shared" si="2"/>
        <v>0</v>
      </c>
      <c r="E42" s="47">
        <f t="shared" si="3"/>
        <v>0</v>
      </c>
      <c r="F42" s="47">
        <f t="shared" si="4"/>
        <v>0</v>
      </c>
      <c r="G42" s="47">
        <f t="shared" si="5"/>
        <v>0</v>
      </c>
      <c r="H42" s="47">
        <f t="shared" si="6"/>
        <v>0</v>
      </c>
      <c r="I42" s="47">
        <f t="shared" si="7"/>
        <v>0</v>
      </c>
      <c r="J42" s="47">
        <f t="shared" si="8"/>
        <v>0</v>
      </c>
      <c r="K42" s="63">
        <f t="shared" si="9"/>
        <v>0</v>
      </c>
      <c r="L42" s="55">
        <f t="shared" si="10"/>
        <v>0</v>
      </c>
      <c r="N42" s="33">
        <v>23</v>
      </c>
      <c r="O42" s="28"/>
      <c r="P42" s="88"/>
      <c r="Q42" s="88"/>
      <c r="R42" s="37"/>
      <c r="S42" s="20"/>
      <c r="T42" s="3"/>
      <c r="U42" s="3"/>
      <c r="V42" s="3"/>
      <c r="W42" s="3"/>
      <c r="X42" s="10"/>
      <c r="Y42" s="17"/>
      <c r="Z42" s="2"/>
      <c r="AA42" s="2"/>
      <c r="AB42" s="2"/>
      <c r="AC42" s="3"/>
      <c r="AD42" s="37"/>
      <c r="AE42" s="9"/>
      <c r="AF42" s="2"/>
      <c r="AG42" s="2"/>
      <c r="AH42" s="2"/>
      <c r="AI42" s="3"/>
      <c r="AJ42" s="10"/>
      <c r="AK42" s="28"/>
      <c r="AL42" s="3"/>
      <c r="AM42" s="3"/>
      <c r="AN42" s="10"/>
      <c r="AO42" s="28"/>
      <c r="AP42" s="28"/>
      <c r="AQ42" s="3"/>
      <c r="AR42" s="10"/>
      <c r="AS42" s="20"/>
      <c r="AT42" s="28"/>
      <c r="AU42" s="3"/>
      <c r="AV42" s="10"/>
      <c r="AW42" s="20"/>
      <c r="AX42" s="28"/>
      <c r="AY42" s="3"/>
      <c r="AZ42" s="10"/>
      <c r="BA42" s="20"/>
      <c r="BB42" s="28"/>
      <c r="BC42" s="3"/>
      <c r="BD42" s="10"/>
      <c r="BE42" s="23"/>
      <c r="BF42" s="28"/>
      <c r="BG42" s="3"/>
      <c r="BH42" s="10"/>
      <c r="BI42" s="20"/>
      <c r="BJ42" s="28"/>
      <c r="BK42" s="3"/>
      <c r="BL42" s="10"/>
    </row>
    <row r="43" spans="2:64" x14ac:dyDescent="0.3">
      <c r="B43" s="62">
        <f t="shared" si="0"/>
        <v>0</v>
      </c>
      <c r="C43" s="47">
        <f t="shared" si="1"/>
        <v>0</v>
      </c>
      <c r="D43" s="47">
        <f t="shared" si="2"/>
        <v>0</v>
      </c>
      <c r="E43" s="47">
        <f t="shared" si="3"/>
        <v>0</v>
      </c>
      <c r="F43" s="47">
        <f t="shared" si="4"/>
        <v>0</v>
      </c>
      <c r="G43" s="47">
        <f t="shared" si="5"/>
        <v>0</v>
      </c>
      <c r="H43" s="47">
        <f t="shared" si="6"/>
        <v>0</v>
      </c>
      <c r="I43" s="47">
        <f t="shared" si="7"/>
        <v>0</v>
      </c>
      <c r="J43" s="47">
        <f t="shared" si="8"/>
        <v>0</v>
      </c>
      <c r="K43" s="63">
        <f t="shared" si="9"/>
        <v>0</v>
      </c>
      <c r="L43" s="55">
        <f t="shared" si="10"/>
        <v>0</v>
      </c>
      <c r="N43" s="33">
        <v>24</v>
      </c>
      <c r="O43" s="28"/>
      <c r="P43" s="88"/>
      <c r="Q43" s="88"/>
      <c r="R43" s="37"/>
      <c r="S43" s="20"/>
      <c r="T43" s="3"/>
      <c r="U43" s="3"/>
      <c r="V43" s="3"/>
      <c r="W43" s="3"/>
      <c r="X43" s="10"/>
      <c r="Y43" s="17"/>
      <c r="Z43" s="2"/>
      <c r="AA43" s="2"/>
      <c r="AB43" s="2"/>
      <c r="AC43" s="3"/>
      <c r="AD43" s="37"/>
      <c r="AE43" s="9"/>
      <c r="AF43" s="2"/>
      <c r="AG43" s="2"/>
      <c r="AH43" s="2"/>
      <c r="AI43" s="3"/>
      <c r="AJ43" s="10"/>
      <c r="AK43" s="28"/>
      <c r="AL43" s="3"/>
      <c r="AM43" s="3"/>
      <c r="AN43" s="10"/>
      <c r="AO43" s="28"/>
      <c r="AP43" s="28"/>
      <c r="AQ43" s="3"/>
      <c r="AR43" s="10"/>
      <c r="AS43" s="20"/>
      <c r="AT43" s="28"/>
      <c r="AU43" s="3"/>
      <c r="AV43" s="10"/>
      <c r="AW43" s="20"/>
      <c r="AX43" s="28"/>
      <c r="AY43" s="3"/>
      <c r="AZ43" s="10"/>
      <c r="BA43" s="20"/>
      <c r="BB43" s="28"/>
      <c r="BC43" s="3"/>
      <c r="BD43" s="10"/>
      <c r="BE43" s="23"/>
      <c r="BF43" s="28"/>
      <c r="BG43" s="3"/>
      <c r="BH43" s="10"/>
      <c r="BI43" s="20"/>
      <c r="BJ43" s="28"/>
      <c r="BK43" s="3"/>
      <c r="BL43" s="10"/>
    </row>
    <row r="44" spans="2:64" x14ac:dyDescent="0.3">
      <c r="B44" s="62">
        <f t="shared" si="0"/>
        <v>0</v>
      </c>
      <c r="C44" s="47">
        <f t="shared" si="1"/>
        <v>0</v>
      </c>
      <c r="D44" s="47">
        <f t="shared" si="2"/>
        <v>0</v>
      </c>
      <c r="E44" s="47">
        <f t="shared" si="3"/>
        <v>0</v>
      </c>
      <c r="F44" s="47">
        <f t="shared" si="4"/>
        <v>0</v>
      </c>
      <c r="G44" s="47">
        <f t="shared" si="5"/>
        <v>0</v>
      </c>
      <c r="H44" s="47">
        <f t="shared" si="6"/>
        <v>0</v>
      </c>
      <c r="I44" s="47">
        <f t="shared" si="7"/>
        <v>0</v>
      </c>
      <c r="J44" s="47">
        <f t="shared" si="8"/>
        <v>0</v>
      </c>
      <c r="K44" s="63">
        <f t="shared" si="9"/>
        <v>0</v>
      </c>
      <c r="L44" s="55">
        <f t="shared" si="10"/>
        <v>0</v>
      </c>
      <c r="N44" s="33">
        <v>25</v>
      </c>
      <c r="O44" s="28"/>
      <c r="P44" s="88"/>
      <c r="Q44" s="88"/>
      <c r="R44" s="37"/>
      <c r="S44" s="20"/>
      <c r="T44" s="3"/>
      <c r="U44" s="3"/>
      <c r="V44" s="3"/>
      <c r="W44" s="3"/>
      <c r="X44" s="10"/>
      <c r="Y44" s="17"/>
      <c r="Z44" s="2"/>
      <c r="AA44" s="2"/>
      <c r="AB44" s="2"/>
      <c r="AC44" s="3"/>
      <c r="AD44" s="37"/>
      <c r="AE44" s="9"/>
      <c r="AF44" s="2"/>
      <c r="AG44" s="2"/>
      <c r="AH44" s="2"/>
      <c r="AI44" s="3"/>
      <c r="AJ44" s="10"/>
      <c r="AK44" s="28"/>
      <c r="AL44" s="3"/>
      <c r="AM44" s="3"/>
      <c r="AN44" s="10"/>
      <c r="AO44" s="28"/>
      <c r="AP44" s="28"/>
      <c r="AQ44" s="3"/>
      <c r="AR44" s="10"/>
      <c r="AS44" s="20"/>
      <c r="AT44" s="28"/>
      <c r="AU44" s="3"/>
      <c r="AV44" s="10"/>
      <c r="AW44" s="20"/>
      <c r="AX44" s="28"/>
      <c r="AY44" s="3"/>
      <c r="AZ44" s="10"/>
      <c r="BA44" s="20"/>
      <c r="BB44" s="28"/>
      <c r="BC44" s="3"/>
      <c r="BD44" s="10"/>
      <c r="BE44" s="23"/>
      <c r="BF44" s="28"/>
      <c r="BG44" s="3"/>
      <c r="BH44" s="10"/>
      <c r="BI44" s="20"/>
      <c r="BJ44" s="28"/>
      <c r="BK44" s="3"/>
      <c r="BL44" s="10"/>
    </row>
    <row r="45" spans="2:64" x14ac:dyDescent="0.3">
      <c r="B45" s="62">
        <f t="shared" si="0"/>
        <v>0</v>
      </c>
      <c r="C45" s="47">
        <f t="shared" si="1"/>
        <v>0</v>
      </c>
      <c r="D45" s="47">
        <f t="shared" si="2"/>
        <v>0</v>
      </c>
      <c r="E45" s="47">
        <f t="shared" si="3"/>
        <v>0</v>
      </c>
      <c r="F45" s="47">
        <f t="shared" si="4"/>
        <v>0</v>
      </c>
      <c r="G45" s="47">
        <f t="shared" si="5"/>
        <v>0</v>
      </c>
      <c r="H45" s="47">
        <f t="shared" si="6"/>
        <v>0</v>
      </c>
      <c r="I45" s="47">
        <f t="shared" si="7"/>
        <v>0</v>
      </c>
      <c r="J45" s="47">
        <f t="shared" si="8"/>
        <v>0</v>
      </c>
      <c r="K45" s="63">
        <f t="shared" si="9"/>
        <v>0</v>
      </c>
      <c r="L45" s="55">
        <f t="shared" si="10"/>
        <v>0</v>
      </c>
      <c r="N45" s="33">
        <v>26</v>
      </c>
      <c r="O45" s="28"/>
      <c r="P45" s="88"/>
      <c r="Q45" s="88"/>
      <c r="R45" s="37"/>
      <c r="S45" s="20"/>
      <c r="T45" s="3"/>
      <c r="U45" s="3"/>
      <c r="V45" s="3"/>
      <c r="W45" s="3"/>
      <c r="X45" s="10"/>
      <c r="Y45" s="17"/>
      <c r="Z45" s="2"/>
      <c r="AA45" s="2"/>
      <c r="AB45" s="2"/>
      <c r="AC45" s="3"/>
      <c r="AD45" s="37"/>
      <c r="AE45" s="9"/>
      <c r="AF45" s="2"/>
      <c r="AG45" s="2"/>
      <c r="AH45" s="2"/>
      <c r="AI45" s="3"/>
      <c r="AJ45" s="10"/>
      <c r="AK45" s="28"/>
      <c r="AL45" s="3"/>
      <c r="AM45" s="3"/>
      <c r="AN45" s="10"/>
      <c r="AO45" s="28"/>
      <c r="AP45" s="28"/>
      <c r="AQ45" s="3"/>
      <c r="AR45" s="10"/>
      <c r="AS45" s="20"/>
      <c r="AT45" s="28"/>
      <c r="AU45" s="3"/>
      <c r="AV45" s="10"/>
      <c r="AW45" s="20"/>
      <c r="AX45" s="28"/>
      <c r="AY45" s="3"/>
      <c r="AZ45" s="10"/>
      <c r="BA45" s="20"/>
      <c r="BB45" s="28"/>
      <c r="BC45" s="3"/>
      <c r="BD45" s="10"/>
      <c r="BE45" s="23"/>
      <c r="BF45" s="28"/>
      <c r="BG45" s="3"/>
      <c r="BH45" s="10"/>
      <c r="BI45" s="20"/>
      <c r="BJ45" s="28"/>
      <c r="BK45" s="3"/>
      <c r="BL45" s="10"/>
    </row>
    <row r="46" spans="2:64" x14ac:dyDescent="0.3">
      <c r="B46" s="62">
        <f t="shared" si="0"/>
        <v>0</v>
      </c>
      <c r="C46" s="47">
        <f t="shared" si="1"/>
        <v>0</v>
      </c>
      <c r="D46" s="47">
        <f t="shared" si="2"/>
        <v>0</v>
      </c>
      <c r="E46" s="47">
        <f t="shared" si="3"/>
        <v>0</v>
      </c>
      <c r="F46" s="47">
        <f t="shared" si="4"/>
        <v>0</v>
      </c>
      <c r="G46" s="47">
        <f t="shared" si="5"/>
        <v>0</v>
      </c>
      <c r="H46" s="47">
        <f t="shared" si="6"/>
        <v>0</v>
      </c>
      <c r="I46" s="47">
        <f t="shared" si="7"/>
        <v>0</v>
      </c>
      <c r="J46" s="47">
        <f t="shared" si="8"/>
        <v>0</v>
      </c>
      <c r="K46" s="63">
        <f t="shared" si="9"/>
        <v>0</v>
      </c>
      <c r="L46" s="55">
        <f t="shared" si="10"/>
        <v>0</v>
      </c>
      <c r="N46" s="33">
        <v>27</v>
      </c>
      <c r="O46" s="28"/>
      <c r="P46" s="88"/>
      <c r="Q46" s="88"/>
      <c r="R46" s="37"/>
      <c r="S46" s="20"/>
      <c r="T46" s="3"/>
      <c r="U46" s="3"/>
      <c r="V46" s="3"/>
      <c r="W46" s="3"/>
      <c r="X46" s="10"/>
      <c r="Y46" s="17"/>
      <c r="Z46" s="2"/>
      <c r="AA46" s="2"/>
      <c r="AB46" s="2"/>
      <c r="AC46" s="3"/>
      <c r="AD46" s="37"/>
      <c r="AE46" s="9"/>
      <c r="AF46" s="2"/>
      <c r="AG46" s="2"/>
      <c r="AH46" s="2"/>
      <c r="AI46" s="3"/>
      <c r="AJ46" s="10"/>
      <c r="AK46" s="28"/>
      <c r="AL46" s="3"/>
      <c r="AM46" s="3"/>
      <c r="AN46" s="10"/>
      <c r="AO46" s="28"/>
      <c r="AP46" s="28"/>
      <c r="AQ46" s="3"/>
      <c r="AR46" s="10"/>
      <c r="AS46" s="20"/>
      <c r="AT46" s="28"/>
      <c r="AU46" s="3"/>
      <c r="AV46" s="10"/>
      <c r="AW46" s="20"/>
      <c r="AX46" s="28"/>
      <c r="AY46" s="3"/>
      <c r="AZ46" s="10"/>
      <c r="BA46" s="20"/>
      <c r="BB46" s="28"/>
      <c r="BC46" s="3"/>
      <c r="BD46" s="10"/>
      <c r="BE46" s="23"/>
      <c r="BF46" s="28"/>
      <c r="BG46" s="3"/>
      <c r="BH46" s="10"/>
      <c r="BI46" s="20"/>
      <c r="BJ46" s="28"/>
      <c r="BK46" s="3"/>
      <c r="BL46" s="10"/>
    </row>
    <row r="47" spans="2:64" x14ac:dyDescent="0.3">
      <c r="B47" s="62">
        <f t="shared" si="0"/>
        <v>0</v>
      </c>
      <c r="C47" s="47">
        <f t="shared" si="1"/>
        <v>0</v>
      </c>
      <c r="D47" s="47">
        <f t="shared" si="2"/>
        <v>0</v>
      </c>
      <c r="E47" s="47">
        <f t="shared" si="3"/>
        <v>0</v>
      </c>
      <c r="F47" s="47">
        <f t="shared" si="4"/>
        <v>0</v>
      </c>
      <c r="G47" s="47">
        <f t="shared" si="5"/>
        <v>0</v>
      </c>
      <c r="H47" s="47">
        <f t="shared" si="6"/>
        <v>0</v>
      </c>
      <c r="I47" s="47">
        <f t="shared" si="7"/>
        <v>0</v>
      </c>
      <c r="J47" s="47">
        <f t="shared" si="8"/>
        <v>0</v>
      </c>
      <c r="K47" s="63">
        <f t="shared" si="9"/>
        <v>0</v>
      </c>
      <c r="L47" s="55">
        <f t="shared" si="10"/>
        <v>0</v>
      </c>
      <c r="N47" s="33">
        <v>28</v>
      </c>
      <c r="O47" s="28"/>
      <c r="P47" s="88"/>
      <c r="Q47" s="88"/>
      <c r="R47" s="37"/>
      <c r="S47" s="20"/>
      <c r="T47" s="3"/>
      <c r="U47" s="3"/>
      <c r="V47" s="3"/>
      <c r="W47" s="3"/>
      <c r="X47" s="10"/>
      <c r="Y47" s="17"/>
      <c r="Z47" s="2"/>
      <c r="AA47" s="2"/>
      <c r="AB47" s="2"/>
      <c r="AC47" s="3"/>
      <c r="AD47" s="37"/>
      <c r="AE47" s="9"/>
      <c r="AF47" s="2"/>
      <c r="AG47" s="2"/>
      <c r="AH47" s="2"/>
      <c r="AI47" s="3"/>
      <c r="AJ47" s="10"/>
      <c r="AK47" s="28"/>
      <c r="AL47" s="3"/>
      <c r="AM47" s="3"/>
      <c r="AN47" s="10"/>
      <c r="AO47" s="28"/>
      <c r="AP47" s="28"/>
      <c r="AQ47" s="3"/>
      <c r="AR47" s="10"/>
      <c r="AS47" s="20"/>
      <c r="AT47" s="28"/>
      <c r="AU47" s="3"/>
      <c r="AV47" s="10"/>
      <c r="AW47" s="20"/>
      <c r="AX47" s="28"/>
      <c r="AY47" s="3"/>
      <c r="AZ47" s="10"/>
      <c r="BA47" s="20"/>
      <c r="BB47" s="28"/>
      <c r="BC47" s="3"/>
      <c r="BD47" s="10"/>
      <c r="BE47" s="23"/>
      <c r="BF47" s="28"/>
      <c r="BG47" s="3"/>
      <c r="BH47" s="10"/>
      <c r="BI47" s="20"/>
      <c r="BJ47" s="28"/>
      <c r="BK47" s="3"/>
      <c r="BL47" s="10"/>
    </row>
    <row r="48" spans="2:64" x14ac:dyDescent="0.3">
      <c r="B48" s="62">
        <f t="shared" si="0"/>
        <v>0</v>
      </c>
      <c r="C48" s="47">
        <f t="shared" si="1"/>
        <v>0</v>
      </c>
      <c r="D48" s="47">
        <f t="shared" si="2"/>
        <v>0</v>
      </c>
      <c r="E48" s="47">
        <f t="shared" si="3"/>
        <v>0</v>
      </c>
      <c r="F48" s="47">
        <f t="shared" si="4"/>
        <v>0</v>
      </c>
      <c r="G48" s="47">
        <f t="shared" si="5"/>
        <v>0</v>
      </c>
      <c r="H48" s="47">
        <f t="shared" si="6"/>
        <v>0</v>
      </c>
      <c r="I48" s="47">
        <f t="shared" si="7"/>
        <v>0</v>
      </c>
      <c r="J48" s="47">
        <f t="shared" si="8"/>
        <v>0</v>
      </c>
      <c r="K48" s="63">
        <f t="shared" si="9"/>
        <v>0</v>
      </c>
      <c r="L48" s="55">
        <f t="shared" si="10"/>
        <v>0</v>
      </c>
      <c r="N48" s="33">
        <v>29</v>
      </c>
      <c r="O48" s="28"/>
      <c r="P48" s="88"/>
      <c r="Q48" s="88"/>
      <c r="R48" s="37"/>
      <c r="S48" s="20"/>
      <c r="T48" s="3"/>
      <c r="U48" s="3"/>
      <c r="V48" s="3"/>
      <c r="W48" s="3"/>
      <c r="X48" s="10"/>
      <c r="Y48" s="17"/>
      <c r="Z48" s="2"/>
      <c r="AA48" s="2"/>
      <c r="AB48" s="2"/>
      <c r="AC48" s="3"/>
      <c r="AD48" s="37"/>
      <c r="AE48" s="9"/>
      <c r="AF48" s="2"/>
      <c r="AG48" s="2"/>
      <c r="AH48" s="2"/>
      <c r="AI48" s="3"/>
      <c r="AJ48" s="10"/>
      <c r="AK48" s="28"/>
      <c r="AL48" s="3"/>
      <c r="AM48" s="3"/>
      <c r="AN48" s="10"/>
      <c r="AO48" s="28"/>
      <c r="AP48" s="28"/>
      <c r="AQ48" s="3"/>
      <c r="AR48" s="10"/>
      <c r="AS48" s="20"/>
      <c r="AT48" s="28"/>
      <c r="AU48" s="3"/>
      <c r="AV48" s="10"/>
      <c r="AW48" s="20"/>
      <c r="AX48" s="28"/>
      <c r="AY48" s="3"/>
      <c r="AZ48" s="10"/>
      <c r="BA48" s="20"/>
      <c r="BB48" s="28"/>
      <c r="BC48" s="3"/>
      <c r="BD48" s="10"/>
      <c r="BE48" s="23"/>
      <c r="BF48" s="28"/>
      <c r="BG48" s="3"/>
      <c r="BH48" s="10"/>
      <c r="BI48" s="20"/>
      <c r="BJ48" s="28"/>
      <c r="BK48" s="3"/>
      <c r="BL48" s="10"/>
    </row>
    <row r="49" spans="2:64" x14ac:dyDescent="0.3">
      <c r="B49" s="62">
        <f t="shared" si="0"/>
        <v>0</v>
      </c>
      <c r="C49" s="47">
        <f t="shared" si="1"/>
        <v>0</v>
      </c>
      <c r="D49" s="47">
        <f t="shared" si="2"/>
        <v>0</v>
      </c>
      <c r="E49" s="47">
        <f t="shared" si="3"/>
        <v>0</v>
      </c>
      <c r="F49" s="47">
        <f t="shared" si="4"/>
        <v>0</v>
      </c>
      <c r="G49" s="47">
        <f t="shared" si="5"/>
        <v>0</v>
      </c>
      <c r="H49" s="47">
        <f t="shared" si="6"/>
        <v>0</v>
      </c>
      <c r="I49" s="47">
        <f t="shared" si="7"/>
        <v>0</v>
      </c>
      <c r="J49" s="47">
        <f t="shared" si="8"/>
        <v>0</v>
      </c>
      <c r="K49" s="63">
        <f t="shared" si="9"/>
        <v>0</v>
      </c>
      <c r="L49" s="55">
        <f t="shared" si="10"/>
        <v>0</v>
      </c>
      <c r="N49" s="33">
        <v>30</v>
      </c>
      <c r="O49" s="28"/>
      <c r="P49" s="88"/>
      <c r="Q49" s="88"/>
      <c r="R49" s="37"/>
      <c r="S49" s="20"/>
      <c r="T49" s="3"/>
      <c r="U49" s="3"/>
      <c r="V49" s="3"/>
      <c r="W49" s="3"/>
      <c r="X49" s="10"/>
      <c r="Y49" s="17"/>
      <c r="Z49" s="2"/>
      <c r="AA49" s="2"/>
      <c r="AB49" s="2"/>
      <c r="AC49" s="3"/>
      <c r="AD49" s="37"/>
      <c r="AE49" s="9"/>
      <c r="AF49" s="2"/>
      <c r="AG49" s="2"/>
      <c r="AH49" s="2"/>
      <c r="AI49" s="3"/>
      <c r="AJ49" s="10"/>
      <c r="AK49" s="28"/>
      <c r="AL49" s="3"/>
      <c r="AM49" s="3"/>
      <c r="AN49" s="10"/>
      <c r="AO49" s="28"/>
      <c r="AP49" s="28"/>
      <c r="AQ49" s="3"/>
      <c r="AR49" s="10"/>
      <c r="AS49" s="20"/>
      <c r="AT49" s="28"/>
      <c r="AU49" s="3"/>
      <c r="AV49" s="10"/>
      <c r="AW49" s="20"/>
      <c r="AX49" s="28"/>
      <c r="AY49" s="3"/>
      <c r="AZ49" s="10"/>
      <c r="BA49" s="20"/>
      <c r="BB49" s="28"/>
      <c r="BC49" s="3"/>
      <c r="BD49" s="10"/>
      <c r="BE49" s="23"/>
      <c r="BF49" s="28"/>
      <c r="BG49" s="3"/>
      <c r="BH49" s="10"/>
      <c r="BI49" s="20"/>
      <c r="BJ49" s="28"/>
      <c r="BK49" s="3"/>
      <c r="BL49" s="10"/>
    </row>
    <row r="50" spans="2:64" x14ac:dyDescent="0.3">
      <c r="B50" s="62">
        <f t="shared" si="0"/>
        <v>0</v>
      </c>
      <c r="C50" s="47">
        <f t="shared" si="1"/>
        <v>0</v>
      </c>
      <c r="D50" s="47">
        <f t="shared" si="2"/>
        <v>0</v>
      </c>
      <c r="E50" s="47">
        <f t="shared" si="3"/>
        <v>0</v>
      </c>
      <c r="F50" s="47">
        <f t="shared" si="4"/>
        <v>0</v>
      </c>
      <c r="G50" s="47">
        <f t="shared" si="5"/>
        <v>0</v>
      </c>
      <c r="H50" s="47">
        <f t="shared" si="6"/>
        <v>0</v>
      </c>
      <c r="I50" s="47">
        <f t="shared" si="7"/>
        <v>0</v>
      </c>
      <c r="J50" s="47">
        <f t="shared" si="8"/>
        <v>0</v>
      </c>
      <c r="K50" s="63">
        <f t="shared" si="9"/>
        <v>0</v>
      </c>
      <c r="L50" s="55">
        <f t="shared" si="10"/>
        <v>0</v>
      </c>
      <c r="N50" s="33">
        <v>31</v>
      </c>
      <c r="O50" s="28"/>
      <c r="P50" s="88"/>
      <c r="Q50" s="88"/>
      <c r="R50" s="37"/>
      <c r="S50" s="20"/>
      <c r="T50" s="3"/>
      <c r="U50" s="3"/>
      <c r="V50" s="3"/>
      <c r="W50" s="3"/>
      <c r="X50" s="10"/>
      <c r="Y50" s="17"/>
      <c r="Z50" s="2"/>
      <c r="AA50" s="2"/>
      <c r="AB50" s="2"/>
      <c r="AC50" s="3"/>
      <c r="AD50" s="37"/>
      <c r="AE50" s="9"/>
      <c r="AF50" s="2"/>
      <c r="AG50" s="2"/>
      <c r="AH50" s="2"/>
      <c r="AI50" s="3"/>
      <c r="AJ50" s="10"/>
      <c r="AK50" s="28"/>
      <c r="AL50" s="3"/>
      <c r="AM50" s="3"/>
      <c r="AN50" s="10"/>
      <c r="AO50" s="28"/>
      <c r="AP50" s="28"/>
      <c r="AQ50" s="3"/>
      <c r="AR50" s="10"/>
      <c r="AS50" s="20"/>
      <c r="AT50" s="28"/>
      <c r="AU50" s="3"/>
      <c r="AV50" s="10"/>
      <c r="AW50" s="20"/>
      <c r="AX50" s="28"/>
      <c r="AY50" s="3"/>
      <c r="AZ50" s="10"/>
      <c r="BA50" s="20"/>
      <c r="BB50" s="28"/>
      <c r="BC50" s="3"/>
      <c r="BD50" s="10"/>
      <c r="BE50" s="23"/>
      <c r="BF50" s="28"/>
      <c r="BG50" s="3"/>
      <c r="BH50" s="10"/>
      <c r="BI50" s="20"/>
      <c r="BJ50" s="28"/>
      <c r="BK50" s="3"/>
      <c r="BL50" s="10"/>
    </row>
    <row r="51" spans="2:64" ht="15" thickBot="1" x14ac:dyDescent="0.35">
      <c r="B51" s="64">
        <f t="shared" si="0"/>
        <v>0</v>
      </c>
      <c r="C51" s="65">
        <f t="shared" si="1"/>
        <v>0</v>
      </c>
      <c r="D51" s="65">
        <f t="shared" si="2"/>
        <v>0</v>
      </c>
      <c r="E51" s="65">
        <f t="shared" si="3"/>
        <v>0</v>
      </c>
      <c r="F51" s="65">
        <f t="shared" si="4"/>
        <v>0</v>
      </c>
      <c r="G51" s="65">
        <f t="shared" si="5"/>
        <v>0</v>
      </c>
      <c r="H51" s="65">
        <f t="shared" si="6"/>
        <v>0</v>
      </c>
      <c r="I51" s="65">
        <f t="shared" si="7"/>
        <v>0</v>
      </c>
      <c r="J51" s="65">
        <f t="shared" si="8"/>
        <v>0</v>
      </c>
      <c r="K51" s="66">
        <f t="shared" si="9"/>
        <v>0</v>
      </c>
      <c r="L51" s="55">
        <f t="shared" si="10"/>
        <v>0</v>
      </c>
      <c r="N51" s="33">
        <v>32</v>
      </c>
      <c r="O51" s="28"/>
      <c r="P51" s="88"/>
      <c r="Q51" s="88"/>
      <c r="R51" s="37"/>
      <c r="S51" s="20"/>
      <c r="T51" s="3"/>
      <c r="U51" s="3"/>
      <c r="V51" s="3"/>
      <c r="W51" s="3"/>
      <c r="X51" s="10"/>
      <c r="Y51" s="17"/>
      <c r="Z51" s="2"/>
      <c r="AA51" s="2"/>
      <c r="AB51" s="2"/>
      <c r="AC51" s="3"/>
      <c r="AD51" s="37"/>
      <c r="AE51" s="9"/>
      <c r="AF51" s="2"/>
      <c r="AG51" s="2"/>
      <c r="AH51" s="2"/>
      <c r="AI51" s="3"/>
      <c r="AJ51" s="10"/>
      <c r="AK51" s="28"/>
      <c r="AL51" s="3"/>
      <c r="AM51" s="3"/>
      <c r="AN51" s="10"/>
      <c r="AO51" s="28"/>
      <c r="AP51" s="28"/>
      <c r="AQ51" s="3"/>
      <c r="AR51" s="10"/>
      <c r="AS51" s="20"/>
      <c r="AT51" s="28"/>
      <c r="AU51" s="3"/>
      <c r="AV51" s="10"/>
      <c r="AW51" s="20"/>
      <c r="AX51" s="28"/>
      <c r="AY51" s="3"/>
      <c r="AZ51" s="10"/>
      <c r="BA51" s="20"/>
      <c r="BB51" s="28"/>
      <c r="BC51" s="3"/>
      <c r="BD51" s="10"/>
      <c r="BE51" s="23"/>
      <c r="BF51" s="28"/>
      <c r="BG51" s="3"/>
      <c r="BH51" s="10"/>
      <c r="BI51" s="20"/>
      <c r="BJ51" s="28"/>
      <c r="BK51" s="3"/>
      <c r="BL51" s="10"/>
    </row>
    <row r="52" spans="2:64" x14ac:dyDescent="0.3">
      <c r="N52" s="34" t="s">
        <v>25</v>
      </c>
      <c r="O52" s="29"/>
      <c r="P52" s="89"/>
      <c r="Q52" s="89"/>
      <c r="R52" s="38"/>
      <c r="S52" s="18">
        <f>AVERAGE(S20:S51)</f>
        <v>1.6666666666666665E-7</v>
      </c>
      <c r="T52" s="4">
        <f>AVERAGE(T20:T51)</f>
        <v>1.6666666666666665E-7</v>
      </c>
      <c r="U52" s="4">
        <f>AVERAGE(U20:U51)</f>
        <v>0.16666683333333332</v>
      </c>
      <c r="V52" s="4">
        <f>AVERAGE(V20:V51)</f>
        <v>2.2999999999999998</v>
      </c>
      <c r="W52" s="4">
        <f>(SUM(D20:D51)+SUM(T20:T51)+SUM(S20:S51)*0.35)/SUM(S20:U51)</f>
        <v>1.34999595001215E-6</v>
      </c>
      <c r="X52" s="48">
        <f>AVERAGE(X20:X51)</f>
        <v>8</v>
      </c>
      <c r="Y52" s="58">
        <f>AVERAGE(Y20:Y51)</f>
        <v>9.9999999999999995E-7</v>
      </c>
      <c r="Z52" s="56">
        <f>AVERAGE(Z20:Z51)</f>
        <v>9.9999999999999995E-7</v>
      </c>
      <c r="AA52" s="56">
        <f>AVERAGE(AA20:AA51)</f>
        <v>9.9999999999999995E-7</v>
      </c>
      <c r="AB52" s="56" t="e">
        <f>AVERAGE(AB20:AB51)</f>
        <v>#DIV/0!</v>
      </c>
      <c r="AC52" s="56">
        <f>(SUM(B20:B51)+SUM(Z20:Z51)+SUM(Y20:Y51)*0.35)/SUM(Y20:AA51)</f>
        <v>0.45</v>
      </c>
      <c r="AD52" s="76" t="e">
        <f>AVERAGE(AD20:AD51)</f>
        <v>#DIV/0!</v>
      </c>
      <c r="AE52" s="79">
        <f>AVERAGE(AE20:AE51)</f>
        <v>1</v>
      </c>
      <c r="AF52" s="56">
        <f>AVERAGE(AF20:AF51)</f>
        <v>1.6666666666666667</v>
      </c>
      <c r="AG52" s="56">
        <f>AVERAGE(AG20:AG51)</f>
        <v>0.50000016666666669</v>
      </c>
      <c r="AH52" s="56" t="e">
        <f>AVERAGE(AH20:AH51)</f>
        <v>#DIV/0!</v>
      </c>
      <c r="AI52" s="56">
        <f>(SUM(C20:C51)+SUM(AF20:AF51)+SUM(AE20:AE51)*0.35)/SUM(AE20:AG51)</f>
        <v>1.0315788930747951</v>
      </c>
      <c r="AJ52" s="57">
        <f>AVERAGE(AJ20:AJ51)</f>
        <v>8.6666666666666661</v>
      </c>
      <c r="AK52" s="58">
        <f>AVERAGE(AK20:AK51)</f>
        <v>9.1666666666666661</v>
      </c>
      <c r="AL52" s="56" t="e">
        <f>AVERAGE(AL20:AL51)</f>
        <v>#DIV/0!</v>
      </c>
      <c r="AM52" s="56">
        <f>SUM(E20:E51)/SUM(AK20:AK51)</f>
        <v>2.58</v>
      </c>
      <c r="AN52" s="57">
        <f>AVERAGE(AN20:AN51)</f>
        <v>7.6</v>
      </c>
      <c r="AO52" s="58">
        <f>AVERAGE(AO20:AO51)</f>
        <v>6.333333333333333</v>
      </c>
      <c r="AP52" s="56" t="e">
        <f>AVERAGE(AP20:AP51)</f>
        <v>#DIV/0!</v>
      </c>
      <c r="AQ52" s="56">
        <f>SUM(F20:F51)/SUM(AO20:AO51)</f>
        <v>3.2052631578947368</v>
      </c>
      <c r="AR52" s="57">
        <f>AVERAGE(AR20:AR51)</f>
        <v>8.4</v>
      </c>
      <c r="AS52" s="58">
        <f>AVERAGE(AS20:AS51)</f>
        <v>9.9999999999999995E-7</v>
      </c>
      <c r="AT52" s="56" t="e">
        <f>AVERAGE(AT20:AT51)</f>
        <v>#DIV/0!</v>
      </c>
      <c r="AU52" s="56">
        <f>SUM(G20:G51)/SUM(AS20:AS51)</f>
        <v>0</v>
      </c>
      <c r="AV52" s="57" t="e">
        <f>AVERAGE(AV20:AV51)</f>
        <v>#DIV/0!</v>
      </c>
      <c r="AW52" s="58">
        <f>AVERAGE(AW20:AW51)</f>
        <v>2.5000001666666667</v>
      </c>
      <c r="AX52" s="56">
        <f>AVERAGE(AX20:AX51)</f>
        <v>2.4</v>
      </c>
      <c r="AY52" s="56">
        <f>SUM(H20:H51)/SUM(AW20:AW51)</f>
        <v>0</v>
      </c>
      <c r="AZ52" s="57">
        <f>AVERAGE(AZ20:AZ51)</f>
        <v>8</v>
      </c>
      <c r="BA52" s="58">
        <f>AVERAGE(BA20:BA51)</f>
        <v>9.9999999999999995E-7</v>
      </c>
      <c r="BB52" s="56" t="e">
        <f>AVERAGE(BB20:BB51)</f>
        <v>#DIV/0!</v>
      </c>
      <c r="BC52" s="56">
        <f>SUM(I20:I51)/SUM(BA20:BA51)</f>
        <v>0</v>
      </c>
      <c r="BD52" s="57" t="e">
        <f>AVERAGE(BD20:BD51)</f>
        <v>#DIV/0!</v>
      </c>
      <c r="BE52" s="58">
        <f>AVERAGE(BE20:BE51)</f>
        <v>9.9999999999999995E-7</v>
      </c>
      <c r="BF52" s="56" t="e">
        <f>AVERAGE(BF20:BF51)</f>
        <v>#DIV/0!</v>
      </c>
      <c r="BG52" s="56">
        <f>SUM(J20:J51)/SUM(BE20:BE51)</f>
        <v>0</v>
      </c>
      <c r="BH52" s="57" t="e">
        <f>AVERAGE(BH20:BH51)</f>
        <v>#DIV/0!</v>
      </c>
      <c r="BI52" s="58">
        <f>AVERAGE(BI20:BI51)</f>
        <v>2.8333333333333335</v>
      </c>
      <c r="BJ52" s="56" t="e">
        <f>AVERAGE(BJ20:BJ51)</f>
        <v>#DIV/0!</v>
      </c>
      <c r="BK52" s="56">
        <f>SUM(K20:K51)/SUM(BI20:BI51)</f>
        <v>1.0176470588235293</v>
      </c>
      <c r="BL52" s="57">
        <f>AVERAGE(BL20:BL51)</f>
        <v>5.666666666666667</v>
      </c>
    </row>
    <row r="53" spans="2:64" x14ac:dyDescent="0.3">
      <c r="N53" s="34" t="s">
        <v>30</v>
      </c>
      <c r="O53" s="29"/>
      <c r="P53" s="89"/>
      <c r="Q53" s="89"/>
      <c r="R53" s="38"/>
      <c r="S53" s="18"/>
      <c r="T53" s="4"/>
      <c r="U53" s="4"/>
      <c r="V53" s="4"/>
      <c r="W53" s="5">
        <f>SUM(D20:D51)/SUM(U20:U51)</f>
        <v>0</v>
      </c>
      <c r="X53" s="38"/>
      <c r="Y53" s="58"/>
      <c r="Z53" s="56"/>
      <c r="AA53" s="56"/>
      <c r="AB53" s="56"/>
      <c r="AC53" s="77">
        <f>SUM(B20:B51)/SUM(AA20:AA51)</f>
        <v>0</v>
      </c>
      <c r="AD53" s="78"/>
      <c r="AE53" s="79"/>
      <c r="AF53" s="56"/>
      <c r="AG53" s="56"/>
      <c r="AH53" s="56"/>
      <c r="AI53" s="77">
        <f>SUM(C20:C51)/SUM(AG20:AG51)</f>
        <v>2.4999991666669441</v>
      </c>
      <c r="AJ53" s="80"/>
      <c r="AK53" s="29"/>
      <c r="AL53" s="5"/>
      <c r="AM53" s="5"/>
      <c r="AN53" s="12"/>
      <c r="AO53" s="29"/>
      <c r="AP53" s="29"/>
      <c r="AQ53" s="5"/>
      <c r="AR53" s="12"/>
      <c r="AS53" s="21"/>
      <c r="AT53" s="29"/>
      <c r="AU53" s="5"/>
      <c r="AV53" s="12"/>
      <c r="AW53" s="21"/>
      <c r="AX53" s="29"/>
      <c r="AY53" s="5"/>
      <c r="AZ53" s="12"/>
      <c r="BA53" s="21"/>
      <c r="BB53" s="29"/>
      <c r="BC53" s="5"/>
      <c r="BD53" s="12"/>
      <c r="BE53" s="21"/>
      <c r="BF53" s="29"/>
      <c r="BG53" s="5"/>
      <c r="BH53" s="12"/>
      <c r="BI53" s="21"/>
      <c r="BJ53" s="29"/>
      <c r="BK53" s="5"/>
      <c r="BL53" s="12"/>
    </row>
    <row r="54" spans="2:64" x14ac:dyDescent="0.3">
      <c r="N54" s="34" t="s">
        <v>11</v>
      </c>
      <c r="O54" s="29"/>
      <c r="P54" s="89"/>
      <c r="Q54" s="89"/>
      <c r="R54" s="38"/>
      <c r="S54" s="21"/>
      <c r="T54" s="5"/>
      <c r="U54" s="5"/>
      <c r="V54" s="5"/>
      <c r="W54" s="5"/>
      <c r="X54" s="12"/>
      <c r="Y54" s="18"/>
      <c r="Z54" s="4"/>
      <c r="AA54" s="4"/>
      <c r="AB54" s="4"/>
      <c r="AC54" s="5"/>
      <c r="AD54" s="38"/>
      <c r="AE54" s="11"/>
      <c r="AF54" s="4"/>
      <c r="AG54" s="4"/>
      <c r="AH54" s="4"/>
      <c r="AI54" s="5"/>
      <c r="AJ54" s="12"/>
      <c r="AK54" s="29"/>
      <c r="AL54" s="5"/>
      <c r="AM54" s="5"/>
      <c r="AN54" s="12"/>
      <c r="AO54" s="29"/>
      <c r="AP54" s="29"/>
      <c r="AQ54" s="5"/>
      <c r="AR54" s="12"/>
      <c r="AS54" s="21"/>
      <c r="AT54" s="29"/>
      <c r="AU54" s="5"/>
      <c r="AV54" s="12"/>
      <c r="AW54" s="21"/>
      <c r="AX54" s="29"/>
      <c r="AY54" s="5"/>
      <c r="AZ54" s="12"/>
      <c r="BA54" s="21"/>
      <c r="BB54" s="29"/>
      <c r="BC54" s="5"/>
      <c r="BD54" s="12"/>
      <c r="BE54" s="21"/>
      <c r="BF54" s="29"/>
      <c r="BG54" s="5"/>
      <c r="BH54" s="12"/>
      <c r="BI54" s="21"/>
      <c r="BJ54" s="29"/>
      <c r="BK54" s="5"/>
      <c r="BL54" s="12"/>
    </row>
    <row r="55" spans="2:64" ht="15" thickBot="1" x14ac:dyDescent="0.35">
      <c r="N55" s="35" t="s">
        <v>12</v>
      </c>
      <c r="O55" s="30"/>
      <c r="P55" s="90"/>
      <c r="Q55" s="90"/>
      <c r="R55" s="39"/>
      <c r="S55" s="22"/>
      <c r="T55" s="15"/>
      <c r="U55" s="15"/>
      <c r="V55" s="15"/>
      <c r="W55" s="15"/>
      <c r="X55" s="16"/>
      <c r="Y55" s="19"/>
      <c r="Z55" s="14"/>
      <c r="AA55" s="14"/>
      <c r="AB55" s="14"/>
      <c r="AC55" s="15"/>
      <c r="AD55" s="39"/>
      <c r="AE55" s="13"/>
      <c r="AF55" s="14"/>
      <c r="AG55" s="14"/>
      <c r="AH55" s="14"/>
      <c r="AI55" s="15"/>
      <c r="AJ55" s="16"/>
      <c r="AK55" s="30"/>
      <c r="AL55" s="15"/>
      <c r="AM55" s="15"/>
      <c r="AN55" s="16"/>
      <c r="AO55" s="30"/>
      <c r="AP55" s="30"/>
      <c r="AQ55" s="15"/>
      <c r="AR55" s="16"/>
      <c r="AS55" s="22"/>
      <c r="AT55" s="30"/>
      <c r="AU55" s="15"/>
      <c r="AV55" s="16"/>
      <c r="AW55" s="22"/>
      <c r="AX55" s="30"/>
      <c r="AY55" s="15"/>
      <c r="AZ55" s="16"/>
      <c r="BA55" s="22"/>
      <c r="BB55" s="30"/>
      <c r="BC55" s="15"/>
      <c r="BD55" s="16"/>
      <c r="BE55" s="22"/>
      <c r="BF55" s="30"/>
      <c r="BG55" s="15"/>
      <c r="BH55" s="16"/>
      <c r="BI55" s="22"/>
      <c r="BJ55" s="30"/>
      <c r="BK55" s="15"/>
      <c r="BL55" s="16"/>
    </row>
    <row r="60" spans="2:64" ht="15" thickBot="1" x14ac:dyDescent="0.35">
      <c r="U60">
        <f>T13</f>
        <v>0</v>
      </c>
      <c r="V60" t="s">
        <v>33</v>
      </c>
    </row>
    <row r="61" spans="2:64" ht="15" thickBot="1" x14ac:dyDescent="0.35">
      <c r="B61" s="59" t="s">
        <v>44</v>
      </c>
      <c r="C61" s="60"/>
      <c r="D61" s="61"/>
      <c r="E61" s="47"/>
      <c r="F61" s="47"/>
      <c r="I61" s="47"/>
      <c r="J61" s="47"/>
      <c r="K61" s="47"/>
      <c r="O61" t="s">
        <v>161</v>
      </c>
    </row>
    <row r="62" spans="2:64" ht="15" thickBot="1" x14ac:dyDescent="0.35">
      <c r="B62" s="73" t="str">
        <f>V62</f>
        <v>D, см</v>
      </c>
      <c r="C62" s="74" t="str">
        <f>W62</f>
        <v>h, м</v>
      </c>
      <c r="D62" s="75" t="str">
        <f>X62</f>
        <v>A, лет</v>
      </c>
      <c r="E62" s="47"/>
      <c r="F62" s="47"/>
      <c r="I62" s="47"/>
      <c r="J62" s="47"/>
      <c r="K62" s="47"/>
      <c r="O62" s="115"/>
      <c r="P62" s="116"/>
      <c r="Q62" s="116"/>
      <c r="R62" s="116"/>
      <c r="S62" s="116"/>
      <c r="T62" s="116"/>
      <c r="U62" s="116" t="s">
        <v>24</v>
      </c>
      <c r="V62" s="116" t="str">
        <f>AB19</f>
        <v>D, см</v>
      </c>
      <c r="W62" s="116" t="str">
        <f>AC19</f>
        <v>h, м</v>
      </c>
      <c r="X62" s="117" t="str">
        <f>AD19</f>
        <v>A, лет</v>
      </c>
    </row>
    <row r="63" spans="2:64" x14ac:dyDescent="0.3">
      <c r="B63" s="81">
        <f>V63*U63</f>
        <v>0.38408498539479463</v>
      </c>
      <c r="C63" s="82">
        <f>W63*U63</f>
        <v>2.2544051075802112E-7</v>
      </c>
      <c r="D63" s="83">
        <f>X63*U63</f>
        <v>1.3359477752862423</v>
      </c>
      <c r="E63" s="47"/>
      <c r="F63" s="85"/>
      <c r="H63" s="47"/>
      <c r="I63" s="47"/>
      <c r="J63" s="47"/>
      <c r="K63" s="47"/>
      <c r="O63" s="138">
        <f t="shared" ref="O63:O72" si="11">U63/$U$75*10</f>
        <v>6.8965704637283493E-2</v>
      </c>
      <c r="P63" s="139"/>
      <c r="Q63" s="139"/>
      <c r="R63" s="47" t="str">
        <f>S18</f>
        <v>Сосна</v>
      </c>
      <c r="S63" s="47"/>
      <c r="T63" s="47"/>
      <c r="U63" s="123">
        <f>SUM(S52:U52)/(AE16*AE16*3.15/10000*1000)</f>
        <v>0.16699347191078029</v>
      </c>
      <c r="V63" s="139">
        <f>V52</f>
        <v>2.2999999999999998</v>
      </c>
      <c r="W63" s="139">
        <f>W52</f>
        <v>1.34999595001215E-6</v>
      </c>
      <c r="X63" s="140">
        <f>X52</f>
        <v>8</v>
      </c>
      <c r="Y63" s="55"/>
    </row>
    <row r="64" spans="2:64" x14ac:dyDescent="0.3">
      <c r="B64" s="81" t="e">
        <f t="shared" ref="B64:B72" si="12">V64*U64</f>
        <v>#DIV/0!</v>
      </c>
      <c r="C64" s="82">
        <f t="shared" ref="C64:C72" si="13">W64*U64</f>
        <v>1.352643064548127E-6</v>
      </c>
      <c r="D64" s="83" t="e">
        <f t="shared" ref="D64:D72" si="14">X64*U64</f>
        <v>#DIV/0!</v>
      </c>
      <c r="E64" s="47"/>
      <c r="F64" s="85"/>
      <c r="H64" s="47"/>
      <c r="I64" s="47"/>
      <c r="J64" s="47"/>
      <c r="K64" s="47"/>
      <c r="O64" s="138">
        <f t="shared" si="11"/>
        <v>1.2413789593342251E-6</v>
      </c>
      <c r="P64" s="139"/>
      <c r="Q64" s="139"/>
      <c r="R64" s="47" t="str">
        <f>Y18</f>
        <v>Ель из подроста</v>
      </c>
      <c r="S64" s="47"/>
      <c r="T64" s="47"/>
      <c r="U64" s="123">
        <f>SUM(Y52:AA52)/(AE16*AE16*3.15/10000*1000)</f>
        <v>3.0058734767736153E-6</v>
      </c>
      <c r="V64" s="139" t="e">
        <f>AB52</f>
        <v>#DIV/0!</v>
      </c>
      <c r="W64" s="139">
        <f>AC52</f>
        <v>0.45</v>
      </c>
      <c r="X64" s="140" t="e">
        <f>AD52</f>
        <v>#DIV/0!</v>
      </c>
      <c r="Y64" s="55"/>
    </row>
    <row r="65" spans="2:25" x14ac:dyDescent="0.3">
      <c r="B65" s="81" t="e">
        <f t="shared" si="12"/>
        <v>#DIV/0!</v>
      </c>
      <c r="C65" s="82">
        <f t="shared" si="13"/>
        <v>3.2730622302646037</v>
      </c>
      <c r="D65" s="83">
        <f t="shared" si="14"/>
        <v>27.498177327386603</v>
      </c>
      <c r="E65" s="47"/>
      <c r="F65" s="47"/>
      <c r="G65" s="47"/>
      <c r="H65" s="47"/>
      <c r="I65" s="47"/>
      <c r="J65" s="47"/>
      <c r="K65" s="47"/>
      <c r="O65" s="138">
        <f t="shared" si="11"/>
        <v>1.3103445260405133</v>
      </c>
      <c r="P65" s="139"/>
      <c r="Q65" s="139"/>
      <c r="R65" s="47" t="str">
        <f>AE18</f>
        <v>ЕЛЬ лесные культуры</v>
      </c>
      <c r="S65" s="47"/>
      <c r="T65" s="47"/>
      <c r="U65" s="123">
        <f>SUM(AE52:AG52)/(AE16*AE16*3.15/10000*1000)</f>
        <v>3.1728666146984543</v>
      </c>
      <c r="V65" s="139" t="e">
        <f>AH52</f>
        <v>#DIV/0!</v>
      </c>
      <c r="W65" s="139">
        <f>AI52</f>
        <v>1.0315788930747951</v>
      </c>
      <c r="X65" s="140">
        <f>AJ52</f>
        <v>8.6666666666666661</v>
      </c>
      <c r="Y65" s="55"/>
    </row>
    <row r="66" spans="2:25" x14ac:dyDescent="0.3">
      <c r="B66" s="81" t="e">
        <f t="shared" si="12"/>
        <v>#DIV/0!</v>
      </c>
      <c r="C66" s="82">
        <f t="shared" si="13"/>
        <v>23.696302575232</v>
      </c>
      <c r="D66" s="83">
        <f t="shared" si="14"/>
        <v>69.803061849520617</v>
      </c>
      <c r="E66" s="47"/>
      <c r="F66" s="47"/>
      <c r="G66" s="47"/>
      <c r="H66" s="47"/>
      <c r="I66" s="47"/>
      <c r="J66" s="47"/>
      <c r="K66" s="47"/>
      <c r="O66" s="138">
        <f t="shared" si="11"/>
        <v>3.7931023757434659</v>
      </c>
      <c r="P66" s="139"/>
      <c r="Q66" s="139"/>
      <c r="R66" s="47" t="str">
        <f>AK18</f>
        <v>Берёза</v>
      </c>
      <c r="S66" s="47"/>
      <c r="T66" s="47"/>
      <c r="U66" s="123">
        <f>AK52/(AE16*AE16*3.15/10000*1000)</f>
        <v>9.1846134012527134</v>
      </c>
      <c r="V66" s="139" t="e">
        <f>AL52</f>
        <v>#DIV/0!</v>
      </c>
      <c r="W66" s="139">
        <f>AM52</f>
        <v>2.58</v>
      </c>
      <c r="X66" s="140">
        <f>AN52</f>
        <v>7.6</v>
      </c>
      <c r="Y66" s="55"/>
    </row>
    <row r="67" spans="2:25" x14ac:dyDescent="0.3">
      <c r="B67" s="81" t="e">
        <f t="shared" si="12"/>
        <v>#DIV/0!</v>
      </c>
      <c r="C67" s="82">
        <f t="shared" si="13"/>
        <v>20.339743859501464</v>
      </c>
      <c r="D67" s="83">
        <f t="shared" si="14"/>
        <v>53.304156321452112</v>
      </c>
      <c r="E67" s="47"/>
      <c r="F67" s="47"/>
      <c r="G67" s="47"/>
      <c r="H67" s="47"/>
      <c r="I67" s="47"/>
      <c r="J67" s="47"/>
      <c r="K67" s="47"/>
      <c r="O67" s="138">
        <f t="shared" si="11"/>
        <v>2.6206889141500307</v>
      </c>
      <c r="P67" s="139"/>
      <c r="Q67" s="139"/>
      <c r="R67" s="47" t="str">
        <f>AO18</f>
        <v>Осина</v>
      </c>
      <c r="S67" s="47"/>
      <c r="T67" s="47"/>
      <c r="U67" s="123">
        <f>AO52/(AE16*AE16*3.15/10000*1000)</f>
        <v>6.3457328954109657</v>
      </c>
      <c r="V67" s="139" t="e">
        <f>AP52</f>
        <v>#DIV/0!</v>
      </c>
      <c r="W67" s="139">
        <f>AQ52</f>
        <v>3.2052631578947368</v>
      </c>
      <c r="X67" s="140">
        <f>AR52</f>
        <v>8.4</v>
      </c>
      <c r="Y67" s="55"/>
    </row>
    <row r="68" spans="2:25" x14ac:dyDescent="0.3">
      <c r="B68" s="81" t="e">
        <f t="shared" si="12"/>
        <v>#DIV/0!</v>
      </c>
      <c r="C68" s="82">
        <f t="shared" si="13"/>
        <v>0</v>
      </c>
      <c r="D68" s="83" t="e">
        <f t="shared" si="14"/>
        <v>#DIV/0!</v>
      </c>
      <c r="E68" s="47"/>
      <c r="F68" s="47"/>
      <c r="G68" s="47"/>
      <c r="H68" s="47"/>
      <c r="I68" s="47"/>
      <c r="J68" s="47"/>
      <c r="K68" s="47"/>
      <c r="O68" s="138">
        <f t="shared" si="11"/>
        <v>4.1379298644474162E-7</v>
      </c>
      <c r="P68" s="139"/>
      <c r="Q68" s="139"/>
      <c r="R68" s="47" t="str">
        <f>AS18</f>
        <v>Ольха серая</v>
      </c>
      <c r="S68" s="47"/>
      <c r="T68" s="47"/>
      <c r="U68" s="123">
        <f>AS52/(AE16*AE16*3.15/10000*1000)</f>
        <v>1.001957825591205E-6</v>
      </c>
      <c r="V68" s="139" t="e">
        <f>AT52</f>
        <v>#DIV/0!</v>
      </c>
      <c r="W68" s="139">
        <f>AU52</f>
        <v>0</v>
      </c>
      <c r="X68" s="140" t="e">
        <f>AV52</f>
        <v>#DIV/0!</v>
      </c>
      <c r="Y68" s="55"/>
    </row>
    <row r="69" spans="2:25" x14ac:dyDescent="0.3">
      <c r="B69" s="81">
        <f t="shared" si="12"/>
        <v>6.0117473543303612</v>
      </c>
      <c r="C69" s="82">
        <f t="shared" si="13"/>
        <v>0</v>
      </c>
      <c r="D69" s="83">
        <f t="shared" si="14"/>
        <v>20.039157847767871</v>
      </c>
      <c r="E69" s="47"/>
      <c r="F69" s="47"/>
      <c r="G69" s="47"/>
      <c r="H69" s="47"/>
      <c r="I69" s="47"/>
      <c r="J69" s="47"/>
      <c r="K69" s="47"/>
      <c r="O69" s="138">
        <f t="shared" si="11"/>
        <v>1.0344825350773521</v>
      </c>
      <c r="P69" s="139"/>
      <c r="Q69" s="139"/>
      <c r="R69" s="47" t="str">
        <f>AW18</f>
        <v>Ива</v>
      </c>
      <c r="S69" s="47"/>
      <c r="T69" s="47"/>
      <c r="U69" s="123">
        <f>AW52/(AE16*AE16*3.15/10000*1000)</f>
        <v>2.5048947309709839</v>
      </c>
      <c r="V69" s="139">
        <f>AX52</f>
        <v>2.4</v>
      </c>
      <c r="W69" s="139">
        <f>AY52</f>
        <v>0</v>
      </c>
      <c r="X69" s="140">
        <f>AZ52</f>
        <v>8</v>
      </c>
      <c r="Y69" s="55"/>
    </row>
    <row r="70" spans="2:25" x14ac:dyDescent="0.3">
      <c r="B70" s="81" t="e">
        <f t="shared" si="12"/>
        <v>#DIV/0!</v>
      </c>
      <c r="C70" s="82">
        <f t="shared" si="13"/>
        <v>0</v>
      </c>
      <c r="D70" s="83" t="e">
        <f t="shared" si="14"/>
        <v>#DIV/0!</v>
      </c>
      <c r="E70" s="47"/>
      <c r="F70" s="47"/>
      <c r="G70" s="47"/>
      <c r="H70" s="47"/>
      <c r="I70" s="47"/>
      <c r="J70" s="47"/>
      <c r="K70" s="47"/>
      <c r="O70" s="138">
        <f t="shared" si="11"/>
        <v>4.1379298644474162E-7</v>
      </c>
      <c r="P70" s="139"/>
      <c r="Q70" s="139"/>
      <c r="R70" s="47" t="str">
        <f>BA18</f>
        <v>Чёрёмуха</v>
      </c>
      <c r="S70" s="47"/>
      <c r="T70" s="47"/>
      <c r="U70" s="123">
        <f>BA52/(AE16*AE16*3.15/10000*1000)</f>
        <v>1.001957825591205E-6</v>
      </c>
      <c r="V70" s="139" t="e">
        <f>BB52</f>
        <v>#DIV/0!</v>
      </c>
      <c r="W70" s="139">
        <f>BC52</f>
        <v>0</v>
      </c>
      <c r="X70" s="140" t="e">
        <f>BD52</f>
        <v>#DIV/0!</v>
      </c>
      <c r="Y70" s="55"/>
    </row>
    <row r="71" spans="2:25" x14ac:dyDescent="0.3">
      <c r="B71" s="81" t="e">
        <f t="shared" si="12"/>
        <v>#DIV/0!</v>
      </c>
      <c r="C71" s="82">
        <f t="shared" si="13"/>
        <v>0</v>
      </c>
      <c r="D71" s="83" t="e">
        <f t="shared" si="14"/>
        <v>#DIV/0!</v>
      </c>
      <c r="E71" s="47"/>
      <c r="F71" s="47"/>
      <c r="G71" s="47"/>
      <c r="H71" s="47"/>
      <c r="I71" s="47"/>
      <c r="J71" s="47"/>
      <c r="K71" s="47"/>
      <c r="O71" s="138">
        <f t="shared" si="11"/>
        <v>4.1379298644474162E-7</v>
      </c>
      <c r="P71" s="139"/>
      <c r="Q71" s="139"/>
      <c r="R71" s="47" t="str">
        <f>BE18</f>
        <v>Дуб</v>
      </c>
      <c r="S71" s="47"/>
      <c r="T71" s="47"/>
      <c r="U71" s="123">
        <f>BE52/(AE16*AE16*3.15/10000*1000)</f>
        <v>1.001957825591205E-6</v>
      </c>
      <c r="V71" s="139" t="e">
        <f>BF52</f>
        <v>#DIV/0!</v>
      </c>
      <c r="W71" s="139">
        <f>BG52</f>
        <v>0</v>
      </c>
      <c r="X71" s="140" t="e">
        <f>BH52</f>
        <v>#DIV/0!</v>
      </c>
      <c r="Y71" s="55"/>
    </row>
    <row r="72" spans="2:25" x14ac:dyDescent="0.3">
      <c r="B72" s="81" t="e">
        <f t="shared" si="12"/>
        <v>#DIV/0!</v>
      </c>
      <c r="C72" s="82">
        <f t="shared" si="13"/>
        <v>2.8889783971213081</v>
      </c>
      <c r="D72" s="83">
        <f t="shared" si="14"/>
        <v>16.086989533103239</v>
      </c>
      <c r="E72" s="47"/>
      <c r="F72" s="47"/>
      <c r="G72" s="47"/>
      <c r="H72" s="47"/>
      <c r="I72" s="47"/>
      <c r="J72" s="47"/>
      <c r="K72" s="47"/>
      <c r="O72" s="138">
        <f t="shared" si="11"/>
        <v>1.172413461593435</v>
      </c>
      <c r="P72" s="139"/>
      <c r="Q72" s="139"/>
      <c r="R72" s="47" t="str">
        <f>BI18</f>
        <v>Рябина</v>
      </c>
      <c r="S72" s="47"/>
      <c r="T72" s="47"/>
      <c r="U72" s="123">
        <f>BI52/(AE16*AE16*3.15/10000*1000)</f>
        <v>2.8388805058417481</v>
      </c>
      <c r="V72" s="139" t="e">
        <f>BJ52</f>
        <v>#DIV/0!</v>
      </c>
      <c r="W72" s="139">
        <f>BK52</f>
        <v>1.0176470588235293</v>
      </c>
      <c r="X72" s="140">
        <f>BL52</f>
        <v>5.666666666666667</v>
      </c>
      <c r="Y72" s="55"/>
    </row>
    <row r="73" spans="2:25" x14ac:dyDescent="0.3">
      <c r="B73" s="62">
        <f>AC72*AA72</f>
        <v>0</v>
      </c>
      <c r="C73" s="71">
        <f>AI72*AG72</f>
        <v>0</v>
      </c>
      <c r="D73" s="63"/>
      <c r="E73" s="47"/>
      <c r="F73" s="47"/>
      <c r="G73" s="47"/>
      <c r="H73" s="47"/>
      <c r="I73" s="47"/>
      <c r="J73" s="47"/>
      <c r="K73" s="47"/>
      <c r="O73" s="118"/>
      <c r="P73" s="47"/>
      <c r="Q73" s="47"/>
      <c r="R73" s="47"/>
      <c r="S73" s="47"/>
      <c r="T73" s="47"/>
      <c r="U73" s="141"/>
      <c r="V73" s="141"/>
      <c r="W73" s="141"/>
      <c r="X73" s="140"/>
      <c r="Y73" s="55"/>
    </row>
    <row r="74" spans="2:25" x14ac:dyDescent="0.3">
      <c r="B74" s="62">
        <f>AC73*AA73</f>
        <v>0</v>
      </c>
      <c r="C74" s="71">
        <f>AI73*AG73</f>
        <v>0</v>
      </c>
      <c r="D74" s="63">
        <f>W73*U73</f>
        <v>0</v>
      </c>
      <c r="E74" s="47"/>
      <c r="F74" s="47"/>
      <c r="G74" s="47"/>
      <c r="H74" s="47"/>
      <c r="I74" s="47"/>
      <c r="J74" s="47"/>
      <c r="K74" s="47"/>
      <c r="O74" s="118"/>
      <c r="P74" s="47"/>
      <c r="Q74" s="47"/>
      <c r="R74" s="47"/>
      <c r="S74" s="47"/>
      <c r="T74" s="47"/>
      <c r="U74" s="141"/>
      <c r="V74" s="141"/>
      <c r="W74" s="141"/>
      <c r="X74" s="140"/>
      <c r="Y74" s="55"/>
    </row>
    <row r="75" spans="2:25" x14ac:dyDescent="0.3">
      <c r="B75" s="62">
        <f>AC74*AA74</f>
        <v>0</v>
      </c>
      <c r="C75" s="71">
        <f>AI74*AG74</f>
        <v>0</v>
      </c>
      <c r="D75" s="63">
        <f>W74*U74</f>
        <v>0</v>
      </c>
      <c r="E75" s="47"/>
      <c r="F75" s="47"/>
      <c r="G75" s="47"/>
      <c r="H75" s="47"/>
      <c r="I75" s="47"/>
      <c r="J75" s="47"/>
      <c r="K75" s="47"/>
      <c r="O75" s="142">
        <f>SUM(O63:O72)</f>
        <v>9.9999999999999964</v>
      </c>
      <c r="P75" s="143"/>
      <c r="Q75" s="143"/>
      <c r="R75" s="45" t="s">
        <v>27</v>
      </c>
      <c r="S75" s="45"/>
      <c r="T75" s="45"/>
      <c r="U75" s="144">
        <f>SUM(U63:U72)</f>
        <v>24.213987631832602</v>
      </c>
      <c r="V75" s="144" t="e">
        <f>SUM(B63:B72)/$U$75</f>
        <v>#DIV/0!</v>
      </c>
      <c r="W75" s="144">
        <f>SUM(C63:C72)/$U$75</f>
        <v>2.0731029272605515</v>
      </c>
      <c r="X75" s="145" t="e">
        <f>SUM(D63:D72)/$U$75</f>
        <v>#DIV/0!</v>
      </c>
      <c r="Y75" s="55"/>
    </row>
    <row r="76" spans="2:25" x14ac:dyDescent="0.3">
      <c r="B76" s="62">
        <f>AC75*AA75</f>
        <v>0</v>
      </c>
      <c r="C76" s="71">
        <f>AI75*AG75</f>
        <v>0</v>
      </c>
      <c r="D76" s="63"/>
      <c r="E76" s="47"/>
      <c r="F76" s="47"/>
      <c r="G76" s="47"/>
      <c r="H76" s="47"/>
      <c r="I76" s="47"/>
      <c r="J76" s="47"/>
      <c r="K76" s="47"/>
    </row>
    <row r="77" spans="2:25" ht="15" thickBot="1" x14ac:dyDescent="0.35">
      <c r="B77" s="64">
        <f>AC93*AA93</f>
        <v>0</v>
      </c>
      <c r="C77" s="72">
        <f>AI93*AG93</f>
        <v>0</v>
      </c>
      <c r="D77" s="66">
        <f>W93*U93</f>
        <v>0</v>
      </c>
      <c r="E77" s="47"/>
      <c r="F77" s="47"/>
      <c r="G77" s="47"/>
      <c r="H77" s="47"/>
      <c r="I77" s="47"/>
      <c r="J77" s="47"/>
      <c r="K77" s="47"/>
    </row>
  </sheetData>
  <mergeCells count="11">
    <mergeCell ref="AO18:AR18"/>
    <mergeCell ref="O18:R18"/>
    <mergeCell ref="S18:X18"/>
    <mergeCell ref="Y18:AD18"/>
    <mergeCell ref="AE18:AJ18"/>
    <mergeCell ref="AK18:AN18"/>
    <mergeCell ref="AS18:AV18"/>
    <mergeCell ref="AW18:AZ18"/>
    <mergeCell ref="BA18:BD18"/>
    <mergeCell ref="BE18:BH18"/>
    <mergeCell ref="BI18:BL18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BL77"/>
  <sheetViews>
    <sheetView zoomScale="80" zoomScaleNormal="80" workbookViewId="0">
      <pane xSplit="18" ySplit="19" topLeftCell="S20" activePane="bottomRight" state="frozen"/>
      <selection pane="topRight" activeCell="Q1" sqref="Q1"/>
      <selection pane="bottomLeft" activeCell="A11" sqref="A11"/>
      <selection pane="bottomRight" activeCell="R25" sqref="R25"/>
    </sheetView>
  </sheetViews>
  <sheetFormatPr defaultRowHeight="14.4" x14ac:dyDescent="0.3"/>
  <cols>
    <col min="2" max="2" width="16.109375" hidden="1" customWidth="1"/>
    <col min="3" max="3" width="17.5546875" hidden="1" customWidth="1"/>
    <col min="4" max="11" width="12.88671875" hidden="1" customWidth="1"/>
    <col min="18" max="18" width="11" customWidth="1"/>
    <col min="21" max="21" width="9" customWidth="1"/>
    <col min="34" max="56" width="9.88671875" bestFit="1" customWidth="1"/>
  </cols>
  <sheetData>
    <row r="1" spans="14:39" ht="15" thickBot="1" x14ac:dyDescent="0.35"/>
    <row r="2" spans="14:39" x14ac:dyDescent="0.3">
      <c r="V2" s="59"/>
      <c r="W2" s="67" t="s">
        <v>38</v>
      </c>
      <c r="X2" s="67"/>
      <c r="Y2" s="60"/>
      <c r="Z2" s="60"/>
      <c r="AA2" s="60"/>
      <c r="AB2" s="60"/>
      <c r="AC2" s="60"/>
      <c r="AD2" s="60"/>
      <c r="AE2" s="60">
        <v>8</v>
      </c>
      <c r="AF2" s="60" t="s">
        <v>142</v>
      </c>
      <c r="AG2" s="60"/>
      <c r="AH2" s="60"/>
      <c r="AI2" s="60"/>
      <c r="AJ2" s="60"/>
      <c r="AK2" s="60"/>
      <c r="AL2" s="60"/>
      <c r="AM2" s="61"/>
    </row>
    <row r="3" spans="14:39" x14ac:dyDescent="0.3">
      <c r="V3" s="62">
        <v>1</v>
      </c>
      <c r="W3" s="47" t="s">
        <v>158</v>
      </c>
      <c r="X3" s="47"/>
      <c r="Y3" s="47"/>
      <c r="Z3" s="47"/>
      <c r="AA3" s="47"/>
      <c r="AB3" s="47"/>
      <c r="AC3" s="47"/>
      <c r="AD3" s="47"/>
      <c r="AE3" s="47">
        <v>9</v>
      </c>
      <c r="AF3" s="47" t="s">
        <v>156</v>
      </c>
      <c r="AG3" s="47"/>
      <c r="AH3" s="47"/>
      <c r="AI3" s="47"/>
      <c r="AJ3" s="47"/>
      <c r="AK3" s="47"/>
      <c r="AL3" s="47"/>
      <c r="AM3" s="63"/>
    </row>
    <row r="4" spans="14:39" x14ac:dyDescent="0.3">
      <c r="V4" s="62">
        <v>2</v>
      </c>
      <c r="W4" s="47" t="s">
        <v>159</v>
      </c>
      <c r="X4" s="47"/>
      <c r="Y4" s="47"/>
      <c r="Z4" s="47"/>
      <c r="AA4" s="47"/>
      <c r="AB4" s="47"/>
      <c r="AC4" s="47"/>
      <c r="AD4" s="47"/>
      <c r="AE4" s="47">
        <v>10</v>
      </c>
      <c r="AF4" s="47" t="s">
        <v>157</v>
      </c>
      <c r="AG4" s="47"/>
      <c r="AH4" s="47"/>
      <c r="AI4" s="47"/>
      <c r="AJ4" s="47"/>
      <c r="AK4" s="47"/>
      <c r="AL4" s="47"/>
      <c r="AM4" s="63"/>
    </row>
    <row r="5" spans="14:39" x14ac:dyDescent="0.3">
      <c r="V5" s="62">
        <v>3</v>
      </c>
      <c r="W5" s="47" t="s">
        <v>34</v>
      </c>
      <c r="X5" s="47"/>
      <c r="Y5" s="47"/>
      <c r="Z5" s="47"/>
      <c r="AA5" s="47"/>
      <c r="AB5" s="47"/>
      <c r="AC5" s="47"/>
      <c r="AD5" s="47"/>
      <c r="AE5" s="47">
        <v>11</v>
      </c>
      <c r="AF5" s="47" t="s">
        <v>39</v>
      </c>
      <c r="AG5" s="47"/>
      <c r="AH5" s="47"/>
      <c r="AI5" s="47"/>
      <c r="AJ5" s="47"/>
      <c r="AK5" s="47"/>
      <c r="AL5" s="47"/>
      <c r="AM5" s="63"/>
    </row>
    <row r="6" spans="14:39" x14ac:dyDescent="0.3">
      <c r="V6" s="62">
        <v>4</v>
      </c>
      <c r="W6" s="47" t="s">
        <v>35</v>
      </c>
      <c r="X6" s="47"/>
      <c r="Y6" s="47"/>
      <c r="Z6" s="47"/>
      <c r="AA6" s="47"/>
      <c r="AB6" s="47"/>
      <c r="AC6" s="47"/>
      <c r="AD6" s="47"/>
      <c r="AE6" s="47">
        <v>12</v>
      </c>
      <c r="AF6" s="47" t="s">
        <v>40</v>
      </c>
      <c r="AG6" s="47"/>
      <c r="AH6" s="47"/>
      <c r="AI6" s="47"/>
      <c r="AJ6" s="47"/>
      <c r="AK6" s="47"/>
      <c r="AL6" s="47"/>
      <c r="AM6" s="63"/>
    </row>
    <row r="7" spans="14:39" x14ac:dyDescent="0.3">
      <c r="V7" s="62">
        <v>5</v>
      </c>
      <c r="W7" s="47" t="s">
        <v>36</v>
      </c>
      <c r="X7" s="47"/>
      <c r="Y7" s="47"/>
      <c r="Z7" s="47"/>
      <c r="AA7" s="47"/>
      <c r="AB7" s="47"/>
      <c r="AC7" s="47"/>
      <c r="AD7" s="47"/>
      <c r="AE7" s="47">
        <v>13</v>
      </c>
      <c r="AF7" s="47" t="s">
        <v>41</v>
      </c>
      <c r="AG7" s="47"/>
      <c r="AH7" s="47"/>
      <c r="AI7" s="47"/>
      <c r="AJ7" s="47"/>
      <c r="AK7" s="47"/>
      <c r="AL7" s="47"/>
      <c r="AM7" s="63"/>
    </row>
    <row r="8" spans="14:39" x14ac:dyDescent="0.3">
      <c r="V8" s="62">
        <v>6</v>
      </c>
      <c r="W8" s="47" t="s">
        <v>141</v>
      </c>
      <c r="X8" s="47"/>
      <c r="Y8" s="47"/>
      <c r="Z8" s="47"/>
      <c r="AA8" s="47"/>
      <c r="AB8" s="47"/>
      <c r="AC8" s="47"/>
      <c r="AD8" s="47"/>
      <c r="AE8" s="47">
        <v>14</v>
      </c>
      <c r="AF8" s="47"/>
      <c r="AG8" s="47"/>
      <c r="AH8" s="47"/>
      <c r="AI8" s="47"/>
      <c r="AJ8" s="47"/>
      <c r="AK8" s="47"/>
      <c r="AL8" s="47"/>
      <c r="AM8" s="63"/>
    </row>
    <row r="9" spans="14:39" ht="15" thickBot="1" x14ac:dyDescent="0.35">
      <c r="V9" s="64">
        <v>7</v>
      </c>
      <c r="W9" s="65" t="s">
        <v>37</v>
      </c>
      <c r="X9" s="65"/>
      <c r="Y9" s="65"/>
      <c r="Z9" s="65"/>
      <c r="AA9" s="65"/>
      <c r="AB9" s="65"/>
      <c r="AC9" s="65"/>
      <c r="AD9" s="65"/>
      <c r="AE9" s="65">
        <v>15</v>
      </c>
      <c r="AF9" s="65"/>
      <c r="AG9" s="65"/>
      <c r="AH9" s="65"/>
      <c r="AI9" s="65"/>
      <c r="AJ9" s="65"/>
      <c r="AK9" s="65"/>
      <c r="AL9" s="65"/>
      <c r="AM9" s="66"/>
    </row>
    <row r="13" spans="14:39" x14ac:dyDescent="0.3">
      <c r="N13" t="s">
        <v>32</v>
      </c>
      <c r="T13" s="45"/>
    </row>
    <row r="16" spans="14:39" x14ac:dyDescent="0.3">
      <c r="N16" s="46" t="s">
        <v>13</v>
      </c>
      <c r="S16">
        <v>1</v>
      </c>
      <c r="U16" s="45" t="s">
        <v>14</v>
      </c>
      <c r="V16" s="45"/>
      <c r="W16" s="45"/>
      <c r="X16" s="45" t="s">
        <v>15</v>
      </c>
      <c r="Y16" s="45"/>
      <c r="Z16" s="45" t="s">
        <v>16</v>
      </c>
      <c r="AA16" s="45"/>
      <c r="AB16" s="47"/>
      <c r="AC16" s="85" t="s">
        <v>45</v>
      </c>
      <c r="AE16" s="45">
        <v>1.78</v>
      </c>
      <c r="AG16" s="44" t="s">
        <v>28</v>
      </c>
      <c r="AI16" s="44"/>
    </row>
    <row r="17" spans="2:64" ht="15" thickBot="1" x14ac:dyDescent="0.35"/>
    <row r="18" spans="2:64" ht="15.6" thickTop="1" thickBot="1" x14ac:dyDescent="0.35">
      <c r="B18" s="59" t="s">
        <v>31</v>
      </c>
      <c r="C18" s="60"/>
      <c r="D18" s="60"/>
      <c r="E18" s="60"/>
      <c r="F18" s="60"/>
      <c r="G18" s="60"/>
      <c r="H18" s="60"/>
      <c r="I18" s="60"/>
      <c r="J18" s="60"/>
      <c r="K18" s="61"/>
      <c r="N18" s="1" t="s">
        <v>0</v>
      </c>
      <c r="O18" s="202" t="s">
        <v>1</v>
      </c>
      <c r="P18" s="194"/>
      <c r="Q18" s="194"/>
      <c r="R18" s="195"/>
      <c r="S18" s="193" t="s">
        <v>43</v>
      </c>
      <c r="T18" s="194"/>
      <c r="U18" s="194"/>
      <c r="V18" s="194"/>
      <c r="W18" s="194"/>
      <c r="X18" s="195"/>
      <c r="Y18" s="203" t="s">
        <v>17</v>
      </c>
      <c r="Z18" s="204"/>
      <c r="AA18" s="204"/>
      <c r="AB18" s="204"/>
      <c r="AC18" s="204"/>
      <c r="AD18" s="205"/>
      <c r="AE18" s="206" t="s">
        <v>18</v>
      </c>
      <c r="AF18" s="207"/>
      <c r="AG18" s="207"/>
      <c r="AH18" s="207"/>
      <c r="AI18" s="207"/>
      <c r="AJ18" s="208"/>
      <c r="AK18" s="193" t="s">
        <v>19</v>
      </c>
      <c r="AL18" s="194"/>
      <c r="AM18" s="194"/>
      <c r="AN18" s="195"/>
      <c r="AO18" s="193" t="s">
        <v>20</v>
      </c>
      <c r="AP18" s="194"/>
      <c r="AQ18" s="194"/>
      <c r="AR18" s="195"/>
      <c r="AS18" s="193" t="s">
        <v>21</v>
      </c>
      <c r="AT18" s="194"/>
      <c r="AU18" s="194"/>
      <c r="AV18" s="195"/>
      <c r="AW18" s="193" t="s">
        <v>26</v>
      </c>
      <c r="AX18" s="194"/>
      <c r="AY18" s="194"/>
      <c r="AZ18" s="195"/>
      <c r="BA18" s="193" t="s">
        <v>22</v>
      </c>
      <c r="BB18" s="194"/>
      <c r="BC18" s="194"/>
      <c r="BD18" s="195"/>
      <c r="BE18" s="193" t="s">
        <v>29</v>
      </c>
      <c r="BF18" s="194"/>
      <c r="BG18" s="194"/>
      <c r="BH18" s="195"/>
      <c r="BI18" s="193" t="s">
        <v>42</v>
      </c>
      <c r="BJ18" s="194"/>
      <c r="BK18" s="194"/>
      <c r="BL18" s="195"/>
    </row>
    <row r="19" spans="2:64" ht="21" thickBot="1" x14ac:dyDescent="0.35">
      <c r="B19" s="64" t="str">
        <f>Y18</f>
        <v>Ель из подроста</v>
      </c>
      <c r="C19" s="65" t="str">
        <f>AE18</f>
        <v>ЕЛЬ лесные культуры</v>
      </c>
      <c r="D19" s="65" t="str">
        <f>S18</f>
        <v>Сосна</v>
      </c>
      <c r="E19" s="65" t="str">
        <f>AK18</f>
        <v>Берёза</v>
      </c>
      <c r="F19" s="65" t="str">
        <f>AO18</f>
        <v>Осина</v>
      </c>
      <c r="G19" s="65" t="str">
        <f>AS18</f>
        <v>Ольха серая</v>
      </c>
      <c r="H19" s="65" t="str">
        <f>AW18</f>
        <v>Ива</v>
      </c>
      <c r="I19" s="65" t="str">
        <f>BA18</f>
        <v>Чёрёмуха</v>
      </c>
      <c r="J19" s="65" t="str">
        <f>BE18</f>
        <v>Дуб</v>
      </c>
      <c r="K19" s="66" t="str">
        <f>BI18</f>
        <v>Рябина</v>
      </c>
      <c r="L19" t="s">
        <v>46</v>
      </c>
      <c r="N19" s="31" t="s">
        <v>2</v>
      </c>
      <c r="O19" s="25" t="s">
        <v>3</v>
      </c>
      <c r="P19" s="86" t="s">
        <v>48</v>
      </c>
      <c r="Q19" s="86" t="s">
        <v>47</v>
      </c>
      <c r="R19" s="68" t="s">
        <v>4</v>
      </c>
      <c r="S19" s="41" t="s">
        <v>5</v>
      </c>
      <c r="T19" s="42" t="s">
        <v>6</v>
      </c>
      <c r="U19" s="42" t="s">
        <v>7</v>
      </c>
      <c r="V19" s="42" t="s">
        <v>23</v>
      </c>
      <c r="W19" s="43" t="s">
        <v>8</v>
      </c>
      <c r="X19" s="26" t="s">
        <v>9</v>
      </c>
      <c r="Y19" s="70" t="s">
        <v>5</v>
      </c>
      <c r="Z19" s="42" t="s">
        <v>6</v>
      </c>
      <c r="AA19" s="42" t="s">
        <v>7</v>
      </c>
      <c r="AB19" s="42" t="s">
        <v>23</v>
      </c>
      <c r="AC19" s="43" t="s">
        <v>8</v>
      </c>
      <c r="AD19" s="26" t="s">
        <v>9</v>
      </c>
      <c r="AE19" s="53" t="s">
        <v>5</v>
      </c>
      <c r="AF19" s="50" t="s">
        <v>6</v>
      </c>
      <c r="AG19" s="50" t="s">
        <v>7</v>
      </c>
      <c r="AH19" s="50" t="s">
        <v>23</v>
      </c>
      <c r="AI19" s="51" t="s">
        <v>8</v>
      </c>
      <c r="AJ19" s="54" t="s">
        <v>9</v>
      </c>
      <c r="AK19" s="49" t="s">
        <v>10</v>
      </c>
      <c r="AL19" s="50" t="s">
        <v>23</v>
      </c>
      <c r="AM19" s="51" t="s">
        <v>8</v>
      </c>
      <c r="AN19" s="52" t="s">
        <v>9</v>
      </c>
      <c r="AO19" s="25" t="s">
        <v>10</v>
      </c>
      <c r="AP19" s="42" t="s">
        <v>23</v>
      </c>
      <c r="AQ19" s="43" t="s">
        <v>8</v>
      </c>
      <c r="AR19" s="26" t="s">
        <v>9</v>
      </c>
      <c r="AS19" s="25" t="s">
        <v>10</v>
      </c>
      <c r="AT19" s="42" t="s">
        <v>23</v>
      </c>
      <c r="AU19" s="43" t="s">
        <v>8</v>
      </c>
      <c r="AV19" s="26" t="s">
        <v>9</v>
      </c>
      <c r="AW19" s="25" t="s">
        <v>10</v>
      </c>
      <c r="AX19" s="42" t="s">
        <v>23</v>
      </c>
      <c r="AY19" s="43" t="s">
        <v>8</v>
      </c>
      <c r="AZ19" s="26" t="s">
        <v>9</v>
      </c>
      <c r="BA19" s="25" t="s">
        <v>10</v>
      </c>
      <c r="BB19" s="42" t="s">
        <v>23</v>
      </c>
      <c r="BC19" s="43" t="s">
        <v>8</v>
      </c>
      <c r="BD19" s="26" t="s">
        <v>9</v>
      </c>
      <c r="BE19" s="25" t="s">
        <v>10</v>
      </c>
      <c r="BF19" s="42" t="s">
        <v>23</v>
      </c>
      <c r="BG19" s="43" t="s">
        <v>8</v>
      </c>
      <c r="BH19" s="26" t="s">
        <v>9</v>
      </c>
      <c r="BI19" s="25" t="s">
        <v>10</v>
      </c>
      <c r="BJ19" s="42" t="s">
        <v>23</v>
      </c>
      <c r="BK19" s="43" t="s">
        <v>8</v>
      </c>
      <c r="BL19" s="26" t="s">
        <v>9</v>
      </c>
    </row>
    <row r="20" spans="2:64" x14ac:dyDescent="0.3">
      <c r="B20" s="62">
        <f>AC20*AA20</f>
        <v>0</v>
      </c>
      <c r="C20" s="47">
        <f>AI20*AG20</f>
        <v>1.9</v>
      </c>
      <c r="D20" s="47">
        <f>W20*U20</f>
        <v>0</v>
      </c>
      <c r="E20" s="47">
        <f>AK20*AM20</f>
        <v>31.5</v>
      </c>
      <c r="F20" s="47">
        <f>AO20*AQ20</f>
        <v>36</v>
      </c>
      <c r="G20" s="47">
        <f>AS20*AU20</f>
        <v>5.4</v>
      </c>
      <c r="H20" s="47">
        <f>AW20*AY20</f>
        <v>2.8</v>
      </c>
      <c r="I20" s="47">
        <f>BA20*BC20</f>
        <v>0</v>
      </c>
      <c r="J20" s="47">
        <f>BE20*BG20</f>
        <v>0</v>
      </c>
      <c r="K20" s="63">
        <f>BI20*BK20</f>
        <v>6.8</v>
      </c>
      <c r="L20" s="55">
        <f>SUM(S20:U20,Y20:AA20,AE20:AG20,AK20,AO20,AS20,AW20,BA20,BE20,BI20)/($AE$16*$AE$16*3.15/10000*1000)</f>
        <v>30.058744787314414</v>
      </c>
      <c r="N20" s="32">
        <v>1</v>
      </c>
      <c r="O20" s="27">
        <v>936</v>
      </c>
      <c r="P20" s="87" t="s">
        <v>175</v>
      </c>
      <c r="Q20" s="87" t="s">
        <v>182</v>
      </c>
      <c r="R20" s="69" t="s">
        <v>192</v>
      </c>
      <c r="S20" s="40">
        <v>9.9999999999999995E-7</v>
      </c>
      <c r="T20" s="40">
        <v>9.9999999999999995E-7</v>
      </c>
      <c r="U20" s="40">
        <v>9.9999999999999995E-7</v>
      </c>
      <c r="V20" s="40"/>
      <c r="W20" s="40"/>
      <c r="X20" s="24"/>
      <c r="Y20" s="40">
        <v>9.9999999999999995E-7</v>
      </c>
      <c r="Z20" s="40">
        <v>9.9999999999999995E-7</v>
      </c>
      <c r="AA20" s="40">
        <v>9.9999999999999995E-7</v>
      </c>
      <c r="AB20" s="6"/>
      <c r="AC20" s="7"/>
      <c r="AD20" s="36"/>
      <c r="AE20" s="40">
        <v>9.9999999999999995E-7</v>
      </c>
      <c r="AF20" s="40">
        <v>9.9999999999999995E-7</v>
      </c>
      <c r="AG20" s="40">
        <v>1</v>
      </c>
      <c r="AH20" s="6"/>
      <c r="AI20" s="7">
        <v>1.9</v>
      </c>
      <c r="AJ20" s="8">
        <v>10</v>
      </c>
      <c r="AK20" s="40">
        <v>9</v>
      </c>
      <c r="AL20" s="7"/>
      <c r="AM20" s="7">
        <v>3.5</v>
      </c>
      <c r="AN20" s="8">
        <v>9</v>
      </c>
      <c r="AO20" s="40">
        <v>9</v>
      </c>
      <c r="AP20" s="27"/>
      <c r="AQ20" s="40">
        <v>4</v>
      </c>
      <c r="AR20" s="24">
        <v>10</v>
      </c>
      <c r="AS20" s="40">
        <v>3</v>
      </c>
      <c r="AT20" s="27"/>
      <c r="AU20" s="40">
        <v>1.8</v>
      </c>
      <c r="AV20" s="24">
        <v>9</v>
      </c>
      <c r="AW20" s="40">
        <v>4</v>
      </c>
      <c r="AX20" s="27"/>
      <c r="AY20" s="40">
        <v>0.7</v>
      </c>
      <c r="AZ20" s="24">
        <v>5</v>
      </c>
      <c r="BA20" s="40">
        <v>9.9999999999999995E-7</v>
      </c>
      <c r="BB20" s="27"/>
      <c r="BC20" s="40"/>
      <c r="BD20" s="24"/>
      <c r="BE20" s="40">
        <v>9.9999999999999995E-7</v>
      </c>
      <c r="BF20" s="27"/>
      <c r="BG20" s="40"/>
      <c r="BH20" s="24"/>
      <c r="BI20" s="40">
        <v>4</v>
      </c>
      <c r="BJ20" s="27"/>
      <c r="BK20" s="40">
        <v>1.7</v>
      </c>
      <c r="BL20" s="24">
        <v>9</v>
      </c>
    </row>
    <row r="21" spans="2:64" x14ac:dyDescent="0.3">
      <c r="B21" s="62">
        <f t="shared" ref="B21:B51" si="0">AC21*AA21</f>
        <v>0</v>
      </c>
      <c r="C21" s="47">
        <f t="shared" ref="C21:C51" si="1">AI21*AG21</f>
        <v>0</v>
      </c>
      <c r="D21" s="47">
        <f t="shared" ref="D21:D51" si="2">W21*U21</f>
        <v>0</v>
      </c>
      <c r="E21" s="47">
        <f t="shared" ref="E21:E51" si="3">AK21*AM21</f>
        <v>13.5</v>
      </c>
      <c r="F21" s="47">
        <f t="shared" ref="F21:F51" si="4">AO21*AQ21</f>
        <v>10.5</v>
      </c>
      <c r="G21" s="47">
        <f t="shared" ref="G21:G51" si="5">AS21*AU21</f>
        <v>0</v>
      </c>
      <c r="H21" s="47">
        <f t="shared" ref="H21:H51" si="6">AW21*AY21</f>
        <v>0</v>
      </c>
      <c r="I21" s="47">
        <f t="shared" ref="I21:I51" si="7">BA21*BC21</f>
        <v>0</v>
      </c>
      <c r="J21" s="47">
        <f t="shared" ref="J21:J51" si="8">BE21*BG21</f>
        <v>0</v>
      </c>
      <c r="K21" s="63">
        <f t="shared" ref="K21:K51" si="9">BI21*BK21</f>
        <v>18</v>
      </c>
      <c r="L21" s="55">
        <f t="shared" ref="L21:L51" si="10">SUM(S21:U21,Y21:AA21,AE21:AG21,AK21,AO21,AS21,AW21,BA21,BE21,BI21)/($AE$16*$AE$16*3.15/10000*1000)</f>
        <v>26.050903465371334</v>
      </c>
      <c r="N21" s="33">
        <v>2</v>
      </c>
      <c r="O21" s="28">
        <v>937</v>
      </c>
      <c r="P21" s="88" t="s">
        <v>175</v>
      </c>
      <c r="Q21" s="88" t="s">
        <v>177</v>
      </c>
      <c r="R21" s="37" t="s">
        <v>192</v>
      </c>
      <c r="S21" s="20">
        <v>0</v>
      </c>
      <c r="T21" s="3">
        <v>0</v>
      </c>
      <c r="U21" s="3">
        <v>0</v>
      </c>
      <c r="V21" s="3"/>
      <c r="W21" s="3"/>
      <c r="X21" s="10"/>
      <c r="Y21" s="17"/>
      <c r="Z21" s="2"/>
      <c r="AA21" s="2"/>
      <c r="AB21" s="2"/>
      <c r="AC21" s="3"/>
      <c r="AD21" s="37"/>
      <c r="AE21" s="9">
        <v>0</v>
      </c>
      <c r="AF21" s="2">
        <v>0</v>
      </c>
      <c r="AG21" s="2">
        <v>2</v>
      </c>
      <c r="AH21" s="2"/>
      <c r="AI21" s="3">
        <v>0</v>
      </c>
      <c r="AJ21" s="10">
        <v>9</v>
      </c>
      <c r="AK21" s="28">
        <v>9</v>
      </c>
      <c r="AL21" s="3"/>
      <c r="AM21" s="3">
        <v>1.5</v>
      </c>
      <c r="AN21" s="10">
        <v>5</v>
      </c>
      <c r="AO21" s="28">
        <v>3</v>
      </c>
      <c r="AP21" s="28"/>
      <c r="AQ21" s="3">
        <v>3.5</v>
      </c>
      <c r="AR21" s="10">
        <v>9</v>
      </c>
      <c r="AS21" s="20">
        <v>0</v>
      </c>
      <c r="AT21" s="28"/>
      <c r="AU21" s="3"/>
      <c r="AV21" s="10"/>
      <c r="AW21" s="20">
        <v>0</v>
      </c>
      <c r="AX21" s="28"/>
      <c r="AY21" s="3"/>
      <c r="AZ21" s="10"/>
      <c r="BA21" s="20"/>
      <c r="BB21" s="28"/>
      <c r="BC21" s="3"/>
      <c r="BD21" s="10"/>
      <c r="BE21" s="23"/>
      <c r="BF21" s="28"/>
      <c r="BG21" s="3"/>
      <c r="BH21" s="10"/>
      <c r="BI21" s="23">
        <v>12</v>
      </c>
      <c r="BJ21" s="28"/>
      <c r="BK21" s="3">
        <v>1.5</v>
      </c>
      <c r="BL21" s="10">
        <v>7</v>
      </c>
    </row>
    <row r="22" spans="2:64" x14ac:dyDescent="0.3">
      <c r="B22" s="62">
        <f t="shared" si="0"/>
        <v>0</v>
      </c>
      <c r="C22" s="47">
        <f t="shared" si="1"/>
        <v>0</v>
      </c>
      <c r="D22" s="47">
        <f t="shared" si="2"/>
        <v>0</v>
      </c>
      <c r="E22" s="47">
        <f t="shared" si="3"/>
        <v>49</v>
      </c>
      <c r="F22" s="47">
        <f t="shared" si="4"/>
        <v>29.6</v>
      </c>
      <c r="G22" s="47">
        <f t="shared" si="5"/>
        <v>0</v>
      </c>
      <c r="H22" s="47">
        <f t="shared" si="6"/>
        <v>0</v>
      </c>
      <c r="I22" s="47">
        <f t="shared" si="7"/>
        <v>0</v>
      </c>
      <c r="J22" s="47">
        <f t="shared" si="8"/>
        <v>0</v>
      </c>
      <c r="K22" s="63">
        <f t="shared" si="9"/>
        <v>17.5</v>
      </c>
      <c r="L22" s="55">
        <f t="shared" si="10"/>
        <v>30.058734767736155</v>
      </c>
      <c r="N22" s="33">
        <v>3</v>
      </c>
      <c r="O22" s="28">
        <v>938</v>
      </c>
      <c r="P22" s="88" t="s">
        <v>175</v>
      </c>
      <c r="Q22" s="88" t="s">
        <v>187</v>
      </c>
      <c r="R22" s="37"/>
      <c r="S22" s="20">
        <v>0</v>
      </c>
      <c r="T22" s="3">
        <v>0</v>
      </c>
      <c r="U22" s="3">
        <v>0</v>
      </c>
      <c r="V22" s="3"/>
      <c r="W22" s="3"/>
      <c r="X22" s="10"/>
      <c r="Y22" s="17"/>
      <c r="Z22" s="2"/>
      <c r="AA22" s="2"/>
      <c r="AB22" s="2"/>
      <c r="AC22" s="3"/>
      <c r="AD22" s="37"/>
      <c r="AE22" s="9">
        <v>0</v>
      </c>
      <c r="AF22" s="2">
        <v>1</v>
      </c>
      <c r="AG22" s="2">
        <v>0</v>
      </c>
      <c r="AH22" s="2"/>
      <c r="AI22" s="3">
        <v>0</v>
      </c>
      <c r="AJ22" s="10">
        <v>9</v>
      </c>
      <c r="AK22" s="28">
        <v>14</v>
      </c>
      <c r="AL22" s="3"/>
      <c r="AM22" s="3">
        <v>3.5</v>
      </c>
      <c r="AN22" s="10">
        <v>9</v>
      </c>
      <c r="AO22" s="28">
        <v>8</v>
      </c>
      <c r="AP22" s="28"/>
      <c r="AQ22" s="3">
        <v>3.7</v>
      </c>
      <c r="AR22" s="10">
        <v>10</v>
      </c>
      <c r="AS22" s="20">
        <v>0</v>
      </c>
      <c r="AT22" s="28"/>
      <c r="AU22" s="3"/>
      <c r="AV22" s="10"/>
      <c r="AW22" s="20">
        <v>0</v>
      </c>
      <c r="AX22" s="28"/>
      <c r="AY22" s="3"/>
      <c r="AZ22" s="10"/>
      <c r="BA22" s="20"/>
      <c r="BB22" s="28"/>
      <c r="BC22" s="3"/>
      <c r="BD22" s="10"/>
      <c r="BE22" s="23"/>
      <c r="BF22" s="28"/>
      <c r="BG22" s="3"/>
      <c r="BH22" s="10"/>
      <c r="BI22" s="23">
        <v>7</v>
      </c>
      <c r="BJ22" s="28"/>
      <c r="BK22" s="3">
        <v>2.5</v>
      </c>
      <c r="BL22" s="10">
        <v>9</v>
      </c>
    </row>
    <row r="23" spans="2:64" x14ac:dyDescent="0.3">
      <c r="B23" s="62">
        <f t="shared" si="0"/>
        <v>0</v>
      </c>
      <c r="C23" s="47">
        <f t="shared" si="1"/>
        <v>1.7</v>
      </c>
      <c r="D23" s="47">
        <f t="shared" si="2"/>
        <v>0</v>
      </c>
      <c r="E23" s="47">
        <f t="shared" si="3"/>
        <v>0</v>
      </c>
      <c r="F23" s="47">
        <f t="shared" si="4"/>
        <v>0</v>
      </c>
      <c r="G23" s="47">
        <f t="shared" si="5"/>
        <v>0</v>
      </c>
      <c r="H23" s="47">
        <f t="shared" si="6"/>
        <v>8.8000000000000007</v>
      </c>
      <c r="I23" s="47">
        <f t="shared" si="7"/>
        <v>0</v>
      </c>
      <c r="J23" s="47">
        <f t="shared" si="8"/>
        <v>0</v>
      </c>
      <c r="K23" s="63">
        <f t="shared" si="9"/>
        <v>25.200000000000003</v>
      </c>
      <c r="L23" s="55">
        <f t="shared" si="10"/>
        <v>21.041114337415308</v>
      </c>
      <c r="N23" s="33">
        <v>4</v>
      </c>
      <c r="O23" s="27">
        <v>939</v>
      </c>
      <c r="P23" s="87" t="s">
        <v>175</v>
      </c>
      <c r="Q23" s="87" t="s">
        <v>189</v>
      </c>
      <c r="R23" s="37" t="s">
        <v>192</v>
      </c>
      <c r="S23" s="20">
        <v>0</v>
      </c>
      <c r="T23" s="3">
        <v>0</v>
      </c>
      <c r="U23" s="3">
        <v>0</v>
      </c>
      <c r="V23" s="3"/>
      <c r="W23" s="3"/>
      <c r="X23" s="10"/>
      <c r="Y23" s="17"/>
      <c r="Z23" s="2"/>
      <c r="AA23" s="2"/>
      <c r="AB23" s="2"/>
      <c r="AC23" s="3"/>
      <c r="AD23" s="37"/>
      <c r="AE23" s="9">
        <v>0</v>
      </c>
      <c r="AF23" s="2">
        <v>0</v>
      </c>
      <c r="AG23" s="2">
        <v>1</v>
      </c>
      <c r="AH23" s="2"/>
      <c r="AI23" s="3">
        <v>1.7</v>
      </c>
      <c r="AJ23" s="10">
        <v>10</v>
      </c>
      <c r="AK23" s="28">
        <v>0</v>
      </c>
      <c r="AL23" s="3"/>
      <c r="AM23" s="3"/>
      <c r="AN23" s="10"/>
      <c r="AO23" s="28">
        <v>0</v>
      </c>
      <c r="AP23" s="28"/>
      <c r="AQ23" s="3">
        <v>0</v>
      </c>
      <c r="AR23" s="10"/>
      <c r="AS23" s="20">
        <v>0</v>
      </c>
      <c r="AT23" s="28"/>
      <c r="AU23" s="3"/>
      <c r="AV23" s="10"/>
      <c r="AW23" s="20">
        <v>8</v>
      </c>
      <c r="AX23" s="28"/>
      <c r="AY23" s="3">
        <v>1.1000000000000001</v>
      </c>
      <c r="AZ23" s="10">
        <v>5</v>
      </c>
      <c r="BA23" s="20"/>
      <c r="BB23" s="28"/>
      <c r="BC23" s="3"/>
      <c r="BD23" s="10"/>
      <c r="BE23" s="23"/>
      <c r="BF23" s="28"/>
      <c r="BG23" s="3"/>
      <c r="BH23" s="10"/>
      <c r="BI23" s="23">
        <v>12</v>
      </c>
      <c r="BJ23" s="28"/>
      <c r="BK23" s="3">
        <v>2.1</v>
      </c>
      <c r="BL23" s="10">
        <v>9</v>
      </c>
    </row>
    <row r="24" spans="2:64" x14ac:dyDescent="0.3">
      <c r="B24" s="62">
        <f t="shared" si="0"/>
        <v>0</v>
      </c>
      <c r="C24" s="47">
        <f t="shared" si="1"/>
        <v>3.6</v>
      </c>
      <c r="D24" s="47">
        <f t="shared" si="2"/>
        <v>0</v>
      </c>
      <c r="E24" s="47">
        <f t="shared" si="3"/>
        <v>13.6</v>
      </c>
      <c r="F24" s="47">
        <f t="shared" si="4"/>
        <v>8.4</v>
      </c>
      <c r="G24" s="47">
        <f t="shared" si="5"/>
        <v>0</v>
      </c>
      <c r="H24" s="47">
        <f t="shared" si="6"/>
        <v>3.5999999999999996</v>
      </c>
      <c r="I24" s="47">
        <f t="shared" si="7"/>
        <v>0</v>
      </c>
      <c r="J24" s="47">
        <f t="shared" si="8"/>
        <v>0</v>
      </c>
      <c r="K24" s="63">
        <f t="shared" si="9"/>
        <v>4.5</v>
      </c>
      <c r="L24" s="55">
        <f t="shared" si="10"/>
        <v>27.052861290962539</v>
      </c>
      <c r="N24" s="33">
        <v>5</v>
      </c>
      <c r="O24" s="28">
        <v>940</v>
      </c>
      <c r="P24" s="88" t="s">
        <v>175</v>
      </c>
      <c r="Q24" s="88" t="s">
        <v>177</v>
      </c>
      <c r="R24" s="37" t="s">
        <v>192</v>
      </c>
      <c r="S24" s="20">
        <v>0</v>
      </c>
      <c r="T24" s="3">
        <v>2</v>
      </c>
      <c r="U24" s="3">
        <v>0</v>
      </c>
      <c r="V24" s="3"/>
      <c r="W24" s="3">
        <v>2</v>
      </c>
      <c r="X24" s="10">
        <v>7</v>
      </c>
      <c r="Y24" s="17"/>
      <c r="Z24" s="2"/>
      <c r="AA24" s="2"/>
      <c r="AB24" s="2"/>
      <c r="AC24" s="3"/>
      <c r="AD24" s="37"/>
      <c r="AE24" s="9">
        <v>0</v>
      </c>
      <c r="AF24" s="2">
        <v>2</v>
      </c>
      <c r="AG24" s="2">
        <v>2</v>
      </c>
      <c r="AH24" s="2"/>
      <c r="AI24" s="3">
        <v>1.8</v>
      </c>
      <c r="AJ24" s="10">
        <v>9</v>
      </c>
      <c r="AK24" s="28">
        <v>8</v>
      </c>
      <c r="AL24" s="3"/>
      <c r="AM24" s="3">
        <v>1.7</v>
      </c>
      <c r="AN24" s="10">
        <v>8</v>
      </c>
      <c r="AO24" s="28">
        <v>7</v>
      </c>
      <c r="AP24" s="28"/>
      <c r="AQ24" s="3">
        <v>1.2</v>
      </c>
      <c r="AR24" s="10">
        <v>5</v>
      </c>
      <c r="AS24" s="20">
        <v>0</v>
      </c>
      <c r="AT24" s="28"/>
      <c r="AU24" s="3"/>
      <c r="AV24" s="10"/>
      <c r="AW24" s="20">
        <v>3</v>
      </c>
      <c r="AX24" s="28"/>
      <c r="AY24" s="3">
        <v>1.2</v>
      </c>
      <c r="AZ24" s="10">
        <v>5</v>
      </c>
      <c r="BA24" s="20"/>
      <c r="BB24" s="28"/>
      <c r="BC24" s="3"/>
      <c r="BD24" s="10"/>
      <c r="BE24" s="23"/>
      <c r="BF24" s="28"/>
      <c r="BG24" s="3"/>
      <c r="BH24" s="10"/>
      <c r="BI24" s="20">
        <v>3</v>
      </c>
      <c r="BJ24" s="28"/>
      <c r="BK24" s="3">
        <v>1.5</v>
      </c>
      <c r="BL24" s="10">
        <v>6</v>
      </c>
    </row>
    <row r="25" spans="2:64" x14ac:dyDescent="0.3">
      <c r="B25" s="62">
        <f t="shared" si="0"/>
        <v>0</v>
      </c>
      <c r="C25" s="47">
        <f t="shared" si="1"/>
        <v>1.8</v>
      </c>
      <c r="D25" s="47">
        <f t="shared" si="2"/>
        <v>0</v>
      </c>
      <c r="E25" s="47">
        <f t="shared" si="3"/>
        <v>8.4</v>
      </c>
      <c r="F25" s="47">
        <f t="shared" si="4"/>
        <v>40.700000000000003</v>
      </c>
      <c r="G25" s="47">
        <f t="shared" si="5"/>
        <v>0</v>
      </c>
      <c r="H25" s="47">
        <f t="shared" si="6"/>
        <v>0</v>
      </c>
      <c r="I25" s="47">
        <f t="shared" si="7"/>
        <v>0</v>
      </c>
      <c r="J25" s="47">
        <f t="shared" si="8"/>
        <v>0</v>
      </c>
      <c r="K25" s="63">
        <f t="shared" si="9"/>
        <v>35</v>
      </c>
      <c r="L25" s="55">
        <f t="shared" si="10"/>
        <v>32.062650418918565</v>
      </c>
      <c r="N25" s="33">
        <v>6</v>
      </c>
      <c r="O25" s="28">
        <v>941</v>
      </c>
      <c r="P25" s="88" t="s">
        <v>175</v>
      </c>
      <c r="Q25" s="88" t="s">
        <v>190</v>
      </c>
      <c r="R25" s="37" t="s">
        <v>191</v>
      </c>
      <c r="S25" s="20">
        <v>0</v>
      </c>
      <c r="T25" s="3">
        <v>0</v>
      </c>
      <c r="U25" s="3">
        <v>0</v>
      </c>
      <c r="V25" s="3"/>
      <c r="W25" s="3"/>
      <c r="X25" s="10"/>
      <c r="Y25" s="17"/>
      <c r="Z25" s="2"/>
      <c r="AA25" s="2"/>
      <c r="AB25" s="2"/>
      <c r="AC25" s="3"/>
      <c r="AD25" s="37"/>
      <c r="AE25" s="9">
        <v>1</v>
      </c>
      <c r="AF25" s="2">
        <v>1</v>
      </c>
      <c r="AG25" s="2">
        <v>1</v>
      </c>
      <c r="AH25" s="2"/>
      <c r="AI25" s="3">
        <v>1.8</v>
      </c>
      <c r="AJ25" s="10">
        <v>10</v>
      </c>
      <c r="AK25" s="28">
        <v>4</v>
      </c>
      <c r="AL25" s="3"/>
      <c r="AM25" s="3">
        <v>2.1</v>
      </c>
      <c r="AN25" s="10">
        <v>8</v>
      </c>
      <c r="AO25" s="28">
        <v>11</v>
      </c>
      <c r="AP25" s="28"/>
      <c r="AQ25" s="3">
        <v>3.7</v>
      </c>
      <c r="AR25" s="10">
        <v>10</v>
      </c>
      <c r="AS25" s="20">
        <v>0</v>
      </c>
      <c r="AT25" s="28"/>
      <c r="AU25" s="3"/>
      <c r="AV25" s="10"/>
      <c r="AW25" s="20">
        <v>0</v>
      </c>
      <c r="AX25" s="28"/>
      <c r="AY25" s="3"/>
      <c r="AZ25" s="10"/>
      <c r="BA25" s="20"/>
      <c r="BB25" s="28"/>
      <c r="BC25" s="3"/>
      <c r="BD25" s="10"/>
      <c r="BE25" s="23"/>
      <c r="BF25" s="28"/>
      <c r="BG25" s="3"/>
      <c r="BH25" s="10"/>
      <c r="BI25" s="20">
        <v>14</v>
      </c>
      <c r="BJ25" s="28"/>
      <c r="BK25" s="3">
        <v>2.5</v>
      </c>
      <c r="BL25" s="10">
        <v>9</v>
      </c>
    </row>
    <row r="26" spans="2:64" x14ac:dyDescent="0.3">
      <c r="B26" s="62">
        <f t="shared" si="0"/>
        <v>0</v>
      </c>
      <c r="C26" s="47">
        <f t="shared" si="1"/>
        <v>0</v>
      </c>
      <c r="D26" s="47">
        <f t="shared" si="2"/>
        <v>0</v>
      </c>
      <c r="E26" s="47">
        <f t="shared" si="3"/>
        <v>0</v>
      </c>
      <c r="F26" s="47">
        <f t="shared" si="4"/>
        <v>0</v>
      </c>
      <c r="G26" s="47">
        <f t="shared" si="5"/>
        <v>0</v>
      </c>
      <c r="H26" s="47">
        <f t="shared" si="6"/>
        <v>0.3</v>
      </c>
      <c r="I26" s="47">
        <f t="shared" si="7"/>
        <v>0</v>
      </c>
      <c r="J26" s="47">
        <f t="shared" si="8"/>
        <v>0</v>
      </c>
      <c r="K26" s="63">
        <f t="shared" si="9"/>
        <v>1</v>
      </c>
      <c r="L26" s="55">
        <f t="shared" si="10"/>
        <v>6.011746953547231</v>
      </c>
      <c r="N26" s="33">
        <v>7</v>
      </c>
      <c r="O26" s="27">
        <v>942</v>
      </c>
      <c r="P26" s="87" t="s">
        <v>175</v>
      </c>
      <c r="Q26" s="87" t="s">
        <v>49</v>
      </c>
      <c r="R26" s="37"/>
      <c r="S26" s="20">
        <v>0</v>
      </c>
      <c r="T26" s="3">
        <v>0</v>
      </c>
      <c r="U26" s="3">
        <v>0</v>
      </c>
      <c r="V26" s="3"/>
      <c r="W26" s="3"/>
      <c r="X26" s="10"/>
      <c r="Y26" s="17"/>
      <c r="Z26" s="2"/>
      <c r="AA26" s="2"/>
      <c r="AB26" s="2"/>
      <c r="AC26" s="3"/>
      <c r="AD26" s="37"/>
      <c r="AE26" s="9">
        <v>0</v>
      </c>
      <c r="AF26" s="2">
        <v>4</v>
      </c>
      <c r="AG26" s="2">
        <v>0</v>
      </c>
      <c r="AH26" s="2"/>
      <c r="AI26" s="3">
        <v>0</v>
      </c>
      <c r="AJ26" s="10">
        <v>10</v>
      </c>
      <c r="AK26" s="28">
        <v>0</v>
      </c>
      <c r="AL26" s="3"/>
      <c r="AM26" s="3"/>
      <c r="AN26" s="10"/>
      <c r="AO26" s="28">
        <v>0</v>
      </c>
      <c r="AP26" s="28"/>
      <c r="AQ26" s="3"/>
      <c r="AR26" s="10"/>
      <c r="AS26" s="20">
        <v>0</v>
      </c>
      <c r="AT26" s="28"/>
      <c r="AU26" s="3"/>
      <c r="AV26" s="10"/>
      <c r="AW26" s="20">
        <v>1</v>
      </c>
      <c r="AX26" s="28"/>
      <c r="AY26" s="3">
        <v>0.3</v>
      </c>
      <c r="AZ26" s="10">
        <v>2</v>
      </c>
      <c r="BA26" s="20"/>
      <c r="BB26" s="28"/>
      <c r="BC26" s="3"/>
      <c r="BD26" s="10"/>
      <c r="BE26" s="23"/>
      <c r="BF26" s="28"/>
      <c r="BG26" s="3"/>
      <c r="BH26" s="10"/>
      <c r="BI26" s="20">
        <v>1</v>
      </c>
      <c r="BJ26" s="28"/>
      <c r="BK26" s="3">
        <v>1</v>
      </c>
      <c r="BL26" s="10">
        <v>5</v>
      </c>
    </row>
    <row r="27" spans="2:64" x14ac:dyDescent="0.3">
      <c r="B27" s="62">
        <f t="shared" si="0"/>
        <v>0</v>
      </c>
      <c r="C27" s="47">
        <f t="shared" si="1"/>
        <v>0</v>
      </c>
      <c r="D27" s="47">
        <f t="shared" si="2"/>
        <v>0</v>
      </c>
      <c r="E27" s="47">
        <f t="shared" si="3"/>
        <v>0</v>
      </c>
      <c r="F27" s="47">
        <f t="shared" si="4"/>
        <v>0</v>
      </c>
      <c r="G27" s="47">
        <f t="shared" si="5"/>
        <v>0</v>
      </c>
      <c r="H27" s="47">
        <f t="shared" si="6"/>
        <v>0</v>
      </c>
      <c r="I27" s="47">
        <f t="shared" si="7"/>
        <v>0</v>
      </c>
      <c r="J27" s="47">
        <f t="shared" si="8"/>
        <v>0</v>
      </c>
      <c r="K27" s="63">
        <f t="shared" si="9"/>
        <v>0</v>
      </c>
      <c r="L27" s="55">
        <f t="shared" si="10"/>
        <v>0</v>
      </c>
      <c r="N27" s="33">
        <v>8</v>
      </c>
      <c r="O27" s="28"/>
      <c r="P27" s="88"/>
      <c r="Q27" s="88"/>
      <c r="R27" s="37"/>
      <c r="S27" s="20"/>
      <c r="T27" s="3"/>
      <c r="U27" s="3"/>
      <c r="V27" s="3"/>
      <c r="W27" s="3"/>
      <c r="X27" s="10"/>
      <c r="Y27" s="17"/>
      <c r="Z27" s="2"/>
      <c r="AA27" s="2"/>
      <c r="AB27" s="2"/>
      <c r="AC27" s="3"/>
      <c r="AD27" s="37"/>
      <c r="AE27" s="9"/>
      <c r="AF27" s="2"/>
      <c r="AG27" s="2"/>
      <c r="AH27" s="2"/>
      <c r="AI27" s="3"/>
      <c r="AJ27" s="10"/>
      <c r="AK27" s="28"/>
      <c r="AL27" s="3"/>
      <c r="AM27" s="3"/>
      <c r="AN27" s="10"/>
      <c r="AO27" s="28"/>
      <c r="AP27" s="28"/>
      <c r="AQ27" s="3"/>
      <c r="AR27" s="10"/>
      <c r="AS27" s="20"/>
      <c r="AT27" s="28"/>
      <c r="AU27" s="3"/>
      <c r="AV27" s="10"/>
      <c r="AW27" s="20"/>
      <c r="AX27" s="28"/>
      <c r="AY27" s="3"/>
      <c r="AZ27" s="10"/>
      <c r="BA27" s="20"/>
      <c r="BB27" s="28"/>
      <c r="BC27" s="3"/>
      <c r="BD27" s="10"/>
      <c r="BE27" s="23"/>
      <c r="BF27" s="28"/>
      <c r="BG27" s="3"/>
      <c r="BH27" s="10"/>
      <c r="BI27" s="20"/>
      <c r="BJ27" s="28"/>
      <c r="BK27" s="3"/>
      <c r="BL27" s="10"/>
    </row>
    <row r="28" spans="2:64" x14ac:dyDescent="0.3">
      <c r="B28" s="62">
        <f t="shared" si="0"/>
        <v>0</v>
      </c>
      <c r="C28" s="47">
        <f t="shared" si="1"/>
        <v>0</v>
      </c>
      <c r="D28" s="47">
        <f t="shared" si="2"/>
        <v>0</v>
      </c>
      <c r="E28" s="47">
        <f t="shared" si="3"/>
        <v>0</v>
      </c>
      <c r="F28" s="47">
        <f t="shared" si="4"/>
        <v>0</v>
      </c>
      <c r="G28" s="47">
        <f t="shared" si="5"/>
        <v>0</v>
      </c>
      <c r="H28" s="47">
        <f t="shared" si="6"/>
        <v>0</v>
      </c>
      <c r="I28" s="47">
        <f t="shared" si="7"/>
        <v>0</v>
      </c>
      <c r="J28" s="47">
        <f t="shared" si="8"/>
        <v>0</v>
      </c>
      <c r="K28" s="63">
        <f t="shared" si="9"/>
        <v>0</v>
      </c>
      <c r="L28" s="55">
        <f t="shared" si="10"/>
        <v>0</v>
      </c>
      <c r="N28" s="33">
        <v>9</v>
      </c>
      <c r="O28" s="28"/>
      <c r="P28" s="88"/>
      <c r="Q28" s="88"/>
      <c r="R28" s="37"/>
      <c r="S28" s="20"/>
      <c r="T28" s="3"/>
      <c r="U28" s="3"/>
      <c r="V28" s="3"/>
      <c r="W28" s="3"/>
      <c r="X28" s="10"/>
      <c r="Y28" s="17"/>
      <c r="Z28" s="2"/>
      <c r="AA28" s="2"/>
      <c r="AB28" s="2"/>
      <c r="AC28" s="3"/>
      <c r="AD28" s="37"/>
      <c r="AE28" s="9"/>
      <c r="AF28" s="2"/>
      <c r="AG28" s="2"/>
      <c r="AH28" s="2"/>
      <c r="AI28" s="3"/>
      <c r="AJ28" s="10"/>
      <c r="AK28" s="28"/>
      <c r="AL28" s="3"/>
      <c r="AM28" s="3"/>
      <c r="AN28" s="10"/>
      <c r="AO28" s="28"/>
      <c r="AP28" s="28"/>
      <c r="AQ28" s="3"/>
      <c r="AR28" s="10"/>
      <c r="AS28" s="20"/>
      <c r="AT28" s="28"/>
      <c r="AU28" s="3"/>
      <c r="AV28" s="10"/>
      <c r="AW28" s="20"/>
      <c r="AX28" s="28"/>
      <c r="AY28" s="3"/>
      <c r="AZ28" s="10"/>
      <c r="BA28" s="20"/>
      <c r="BB28" s="28"/>
      <c r="BC28" s="3"/>
      <c r="BD28" s="10"/>
      <c r="BE28" s="23"/>
      <c r="BF28" s="28"/>
      <c r="BG28" s="3"/>
      <c r="BH28" s="10"/>
      <c r="BI28" s="20"/>
      <c r="BJ28" s="28"/>
      <c r="BK28" s="3"/>
      <c r="BL28" s="10"/>
    </row>
    <row r="29" spans="2:64" x14ac:dyDescent="0.3">
      <c r="B29" s="62">
        <f t="shared" si="0"/>
        <v>0</v>
      </c>
      <c r="C29" s="47">
        <f t="shared" si="1"/>
        <v>0</v>
      </c>
      <c r="D29" s="47">
        <f t="shared" si="2"/>
        <v>0</v>
      </c>
      <c r="E29" s="47">
        <f t="shared" si="3"/>
        <v>0</v>
      </c>
      <c r="F29" s="47">
        <f t="shared" si="4"/>
        <v>0</v>
      </c>
      <c r="G29" s="47">
        <f t="shared" si="5"/>
        <v>0</v>
      </c>
      <c r="H29" s="47">
        <f t="shared" si="6"/>
        <v>0</v>
      </c>
      <c r="I29" s="47">
        <f t="shared" si="7"/>
        <v>0</v>
      </c>
      <c r="J29" s="47">
        <f t="shared" si="8"/>
        <v>0</v>
      </c>
      <c r="K29" s="63">
        <f t="shared" si="9"/>
        <v>0</v>
      </c>
      <c r="L29" s="55">
        <f t="shared" si="10"/>
        <v>0</v>
      </c>
      <c r="N29" s="33">
        <v>10</v>
      </c>
      <c r="O29" s="27"/>
      <c r="P29" s="87"/>
      <c r="Q29" s="87"/>
      <c r="R29" s="37"/>
      <c r="S29" s="20"/>
      <c r="T29" s="3"/>
      <c r="U29" s="3"/>
      <c r="V29" s="3"/>
      <c r="W29" s="3"/>
      <c r="X29" s="10"/>
      <c r="Y29" s="17"/>
      <c r="Z29" s="2"/>
      <c r="AA29" s="2"/>
      <c r="AB29" s="2"/>
      <c r="AC29" s="3"/>
      <c r="AD29" s="37"/>
      <c r="AE29" s="9"/>
      <c r="AF29" s="2"/>
      <c r="AG29" s="2"/>
      <c r="AH29" s="2"/>
      <c r="AI29" s="3"/>
      <c r="AJ29" s="10"/>
      <c r="AK29" s="28"/>
      <c r="AL29" s="3"/>
      <c r="AM29" s="3"/>
      <c r="AN29" s="10"/>
      <c r="AO29" s="28"/>
      <c r="AP29" s="28"/>
      <c r="AQ29" s="3"/>
      <c r="AR29" s="10"/>
      <c r="AS29" s="20"/>
      <c r="AT29" s="28"/>
      <c r="AU29" s="3"/>
      <c r="AV29" s="10"/>
      <c r="AW29" s="20"/>
      <c r="AX29" s="28"/>
      <c r="AY29" s="3"/>
      <c r="AZ29" s="10"/>
      <c r="BA29" s="20"/>
      <c r="BB29" s="28"/>
      <c r="BC29" s="3"/>
      <c r="BD29" s="10"/>
      <c r="BE29" s="23"/>
      <c r="BF29" s="28"/>
      <c r="BG29" s="3"/>
      <c r="BH29" s="10"/>
      <c r="BI29" s="20"/>
      <c r="BJ29" s="28"/>
      <c r="BK29" s="3"/>
      <c r="BL29" s="10"/>
    </row>
    <row r="30" spans="2:64" x14ac:dyDescent="0.3">
      <c r="B30" s="62">
        <f t="shared" si="0"/>
        <v>0</v>
      </c>
      <c r="C30" s="47">
        <f t="shared" si="1"/>
        <v>0</v>
      </c>
      <c r="D30" s="47">
        <f t="shared" si="2"/>
        <v>0</v>
      </c>
      <c r="E30" s="47">
        <f t="shared" si="3"/>
        <v>0</v>
      </c>
      <c r="F30" s="47">
        <f t="shared" si="4"/>
        <v>0</v>
      </c>
      <c r="G30" s="47">
        <f t="shared" si="5"/>
        <v>0</v>
      </c>
      <c r="H30" s="47">
        <f t="shared" si="6"/>
        <v>0</v>
      </c>
      <c r="I30" s="47">
        <f t="shared" si="7"/>
        <v>0</v>
      </c>
      <c r="J30" s="47">
        <f t="shared" si="8"/>
        <v>0</v>
      </c>
      <c r="K30" s="63">
        <f t="shared" si="9"/>
        <v>0</v>
      </c>
      <c r="L30" s="55">
        <f t="shared" si="10"/>
        <v>0</v>
      </c>
      <c r="N30" s="33">
        <v>11</v>
      </c>
      <c r="O30" s="28"/>
      <c r="P30" s="88"/>
      <c r="Q30" s="88"/>
      <c r="R30" s="37"/>
      <c r="S30" s="20"/>
      <c r="T30" s="3"/>
      <c r="U30" s="3"/>
      <c r="V30" s="3"/>
      <c r="W30" s="3"/>
      <c r="X30" s="10"/>
      <c r="Y30" s="17"/>
      <c r="Z30" s="2"/>
      <c r="AA30" s="2"/>
      <c r="AB30" s="2"/>
      <c r="AC30" s="3"/>
      <c r="AD30" s="37"/>
      <c r="AE30" s="9"/>
      <c r="AF30" s="2"/>
      <c r="AG30" s="2"/>
      <c r="AH30" s="2"/>
      <c r="AI30" s="3"/>
      <c r="AJ30" s="10"/>
      <c r="AK30" s="28"/>
      <c r="AL30" s="3"/>
      <c r="AM30" s="3"/>
      <c r="AN30" s="10"/>
      <c r="AO30" s="28"/>
      <c r="AP30" s="28"/>
      <c r="AQ30" s="3"/>
      <c r="AR30" s="10"/>
      <c r="AS30" s="20"/>
      <c r="AT30" s="28"/>
      <c r="AU30" s="3"/>
      <c r="AV30" s="10"/>
      <c r="AW30" s="20"/>
      <c r="AX30" s="28"/>
      <c r="AY30" s="3"/>
      <c r="AZ30" s="10"/>
      <c r="BA30" s="20"/>
      <c r="BB30" s="28"/>
      <c r="BC30" s="3"/>
      <c r="BD30" s="10"/>
      <c r="BE30" s="23"/>
      <c r="BF30" s="28"/>
      <c r="BG30" s="3"/>
      <c r="BH30" s="10"/>
      <c r="BI30" s="20"/>
      <c r="BJ30" s="28"/>
      <c r="BK30" s="3"/>
      <c r="BL30" s="10"/>
    </row>
    <row r="31" spans="2:64" x14ac:dyDescent="0.3">
      <c r="B31" s="62">
        <f t="shared" si="0"/>
        <v>0</v>
      </c>
      <c r="C31" s="47">
        <f t="shared" si="1"/>
        <v>0</v>
      </c>
      <c r="D31" s="47">
        <f t="shared" si="2"/>
        <v>0</v>
      </c>
      <c r="E31" s="47">
        <f t="shared" si="3"/>
        <v>0</v>
      </c>
      <c r="F31" s="47">
        <f t="shared" si="4"/>
        <v>0</v>
      </c>
      <c r="G31" s="47">
        <f t="shared" si="5"/>
        <v>0</v>
      </c>
      <c r="H31" s="47">
        <f t="shared" si="6"/>
        <v>0</v>
      </c>
      <c r="I31" s="47">
        <f t="shared" si="7"/>
        <v>0</v>
      </c>
      <c r="J31" s="47">
        <f t="shared" si="8"/>
        <v>0</v>
      </c>
      <c r="K31" s="63">
        <f t="shared" si="9"/>
        <v>0</v>
      </c>
      <c r="L31" s="55">
        <f t="shared" si="10"/>
        <v>0</v>
      </c>
      <c r="N31" s="33">
        <v>12</v>
      </c>
      <c r="O31" s="28"/>
      <c r="P31" s="88"/>
      <c r="Q31" s="88"/>
      <c r="R31" s="37"/>
      <c r="S31" s="20"/>
      <c r="T31" s="3"/>
      <c r="U31" s="3"/>
      <c r="V31" s="3"/>
      <c r="W31" s="3"/>
      <c r="X31" s="10"/>
      <c r="Y31" s="17"/>
      <c r="Z31" s="2"/>
      <c r="AA31" s="2"/>
      <c r="AB31" s="2"/>
      <c r="AC31" s="3"/>
      <c r="AD31" s="37"/>
      <c r="AE31" s="9"/>
      <c r="AF31" s="2"/>
      <c r="AG31" s="2"/>
      <c r="AH31" s="2"/>
      <c r="AI31" s="3"/>
      <c r="AJ31" s="10"/>
      <c r="AK31" s="28"/>
      <c r="AL31" s="3"/>
      <c r="AM31" s="3"/>
      <c r="AN31" s="10"/>
      <c r="AO31" s="28"/>
      <c r="AP31" s="28"/>
      <c r="AQ31" s="3"/>
      <c r="AR31" s="10"/>
      <c r="AS31" s="20"/>
      <c r="AT31" s="28"/>
      <c r="AU31" s="3"/>
      <c r="AV31" s="10"/>
      <c r="AW31" s="20"/>
      <c r="AX31" s="28"/>
      <c r="AY31" s="3"/>
      <c r="AZ31" s="10"/>
      <c r="BA31" s="20"/>
      <c r="BB31" s="28"/>
      <c r="BC31" s="3"/>
      <c r="BD31" s="10"/>
      <c r="BE31" s="23"/>
      <c r="BF31" s="28"/>
      <c r="BG31" s="3"/>
      <c r="BH31" s="10"/>
      <c r="BI31" s="20"/>
      <c r="BJ31" s="28"/>
      <c r="BK31" s="3"/>
      <c r="BL31" s="10"/>
    </row>
    <row r="32" spans="2:64" x14ac:dyDescent="0.3">
      <c r="B32" s="62">
        <f t="shared" si="0"/>
        <v>0</v>
      </c>
      <c r="C32" s="47">
        <f t="shared" si="1"/>
        <v>0</v>
      </c>
      <c r="D32" s="47">
        <f t="shared" si="2"/>
        <v>0</v>
      </c>
      <c r="E32" s="47">
        <f t="shared" si="3"/>
        <v>0</v>
      </c>
      <c r="F32" s="47">
        <f t="shared" si="4"/>
        <v>0</v>
      </c>
      <c r="G32" s="47">
        <f t="shared" si="5"/>
        <v>0</v>
      </c>
      <c r="H32" s="47">
        <f t="shared" si="6"/>
        <v>0</v>
      </c>
      <c r="I32" s="47">
        <f t="shared" si="7"/>
        <v>0</v>
      </c>
      <c r="J32" s="47">
        <f t="shared" si="8"/>
        <v>0</v>
      </c>
      <c r="K32" s="63">
        <f t="shared" si="9"/>
        <v>0</v>
      </c>
      <c r="L32" s="55">
        <f t="shared" si="10"/>
        <v>0</v>
      </c>
      <c r="N32" s="33">
        <v>13</v>
      </c>
      <c r="O32" s="28"/>
      <c r="P32" s="88"/>
      <c r="Q32" s="88"/>
      <c r="R32" s="37"/>
      <c r="S32" s="20"/>
      <c r="T32" s="3"/>
      <c r="U32" s="3"/>
      <c r="V32" s="3"/>
      <c r="W32" s="3"/>
      <c r="X32" s="10"/>
      <c r="Y32" s="17"/>
      <c r="Z32" s="2"/>
      <c r="AA32" s="2"/>
      <c r="AB32" s="2"/>
      <c r="AC32" s="3"/>
      <c r="AD32" s="37"/>
      <c r="AE32" s="9"/>
      <c r="AF32" s="2"/>
      <c r="AG32" s="2"/>
      <c r="AH32" s="2"/>
      <c r="AI32" s="3"/>
      <c r="AJ32" s="10"/>
      <c r="AK32" s="28"/>
      <c r="AL32" s="3"/>
      <c r="AM32" s="3"/>
      <c r="AN32" s="10"/>
      <c r="AO32" s="28"/>
      <c r="AP32" s="28"/>
      <c r="AQ32" s="3"/>
      <c r="AR32" s="10"/>
      <c r="AS32" s="20"/>
      <c r="AT32" s="28"/>
      <c r="AU32" s="3"/>
      <c r="AV32" s="10"/>
      <c r="AW32" s="20"/>
      <c r="AX32" s="28"/>
      <c r="AY32" s="3"/>
      <c r="AZ32" s="10"/>
      <c r="BA32" s="20"/>
      <c r="BB32" s="28"/>
      <c r="BC32" s="3"/>
      <c r="BD32" s="10"/>
      <c r="BE32" s="23"/>
      <c r="BF32" s="28"/>
      <c r="BG32" s="3"/>
      <c r="BH32" s="10"/>
      <c r="BI32" s="20"/>
      <c r="BJ32" s="28"/>
      <c r="BK32" s="3"/>
      <c r="BL32" s="10"/>
    </row>
    <row r="33" spans="2:64" x14ac:dyDescent="0.3">
      <c r="B33" s="62">
        <f t="shared" si="0"/>
        <v>0</v>
      </c>
      <c r="C33" s="47">
        <f t="shared" si="1"/>
        <v>0</v>
      </c>
      <c r="D33" s="47">
        <f t="shared" si="2"/>
        <v>0</v>
      </c>
      <c r="E33" s="47">
        <f t="shared" si="3"/>
        <v>0</v>
      </c>
      <c r="F33" s="47">
        <f t="shared" si="4"/>
        <v>0</v>
      </c>
      <c r="G33" s="47">
        <f t="shared" si="5"/>
        <v>0</v>
      </c>
      <c r="H33" s="47">
        <f t="shared" si="6"/>
        <v>0</v>
      </c>
      <c r="I33" s="47">
        <f t="shared" si="7"/>
        <v>0</v>
      </c>
      <c r="J33" s="47">
        <f t="shared" si="8"/>
        <v>0</v>
      </c>
      <c r="K33" s="63">
        <f t="shared" si="9"/>
        <v>0</v>
      </c>
      <c r="L33" s="55">
        <f t="shared" si="10"/>
        <v>0</v>
      </c>
      <c r="N33" s="33">
        <v>14</v>
      </c>
      <c r="O33" s="28"/>
      <c r="P33" s="88"/>
      <c r="Q33" s="88"/>
      <c r="R33" s="37"/>
      <c r="S33" s="20"/>
      <c r="T33" s="3"/>
      <c r="U33" s="3"/>
      <c r="V33" s="3"/>
      <c r="W33" s="3"/>
      <c r="X33" s="10"/>
      <c r="Y33" s="17"/>
      <c r="Z33" s="2"/>
      <c r="AA33" s="2"/>
      <c r="AB33" s="2"/>
      <c r="AC33" s="3"/>
      <c r="AD33" s="37"/>
      <c r="AE33" s="9"/>
      <c r="AF33" s="2"/>
      <c r="AG33" s="2"/>
      <c r="AH33" s="2"/>
      <c r="AI33" s="3"/>
      <c r="AJ33" s="10"/>
      <c r="AK33" s="28"/>
      <c r="AL33" s="3"/>
      <c r="AM33" s="3"/>
      <c r="AN33" s="10"/>
      <c r="AO33" s="28"/>
      <c r="AP33" s="28"/>
      <c r="AQ33" s="3"/>
      <c r="AR33" s="10"/>
      <c r="AS33" s="20"/>
      <c r="AT33" s="28"/>
      <c r="AU33" s="3"/>
      <c r="AV33" s="10"/>
      <c r="AW33" s="20"/>
      <c r="AX33" s="28"/>
      <c r="AY33" s="3"/>
      <c r="AZ33" s="10"/>
      <c r="BA33" s="20"/>
      <c r="BB33" s="28"/>
      <c r="BC33" s="3"/>
      <c r="BD33" s="10"/>
      <c r="BE33" s="23"/>
      <c r="BF33" s="28"/>
      <c r="BG33" s="3"/>
      <c r="BH33" s="10"/>
      <c r="BI33" s="20"/>
      <c r="BJ33" s="28"/>
      <c r="BK33" s="3"/>
      <c r="BL33" s="10"/>
    </row>
    <row r="34" spans="2:64" x14ac:dyDescent="0.3">
      <c r="B34" s="62">
        <f t="shared" si="0"/>
        <v>0</v>
      </c>
      <c r="C34" s="47">
        <f t="shared" si="1"/>
        <v>0</v>
      </c>
      <c r="D34" s="47">
        <f t="shared" si="2"/>
        <v>0</v>
      </c>
      <c r="E34" s="47">
        <f t="shared" si="3"/>
        <v>0</v>
      </c>
      <c r="F34" s="47">
        <f t="shared" si="4"/>
        <v>0</v>
      </c>
      <c r="G34" s="47">
        <f t="shared" si="5"/>
        <v>0</v>
      </c>
      <c r="H34" s="47">
        <f t="shared" si="6"/>
        <v>0</v>
      </c>
      <c r="I34" s="47">
        <f t="shared" si="7"/>
        <v>0</v>
      </c>
      <c r="J34" s="47">
        <f t="shared" si="8"/>
        <v>0</v>
      </c>
      <c r="K34" s="63">
        <f t="shared" si="9"/>
        <v>0</v>
      </c>
      <c r="L34" s="55">
        <f t="shared" si="10"/>
        <v>0</v>
      </c>
      <c r="N34" s="33">
        <v>15</v>
      </c>
      <c r="O34" s="28"/>
      <c r="P34" s="88"/>
      <c r="Q34" s="88"/>
      <c r="R34" s="37"/>
      <c r="S34" s="20"/>
      <c r="T34" s="3"/>
      <c r="U34" s="3"/>
      <c r="V34" s="3"/>
      <c r="W34" s="3"/>
      <c r="X34" s="10"/>
      <c r="Y34" s="17"/>
      <c r="Z34" s="2"/>
      <c r="AA34" s="2"/>
      <c r="AB34" s="2"/>
      <c r="AC34" s="3"/>
      <c r="AD34" s="37"/>
      <c r="AE34" s="9"/>
      <c r="AF34" s="2"/>
      <c r="AG34" s="2"/>
      <c r="AH34" s="2"/>
      <c r="AI34" s="3"/>
      <c r="AJ34" s="10"/>
      <c r="AK34" s="28"/>
      <c r="AL34" s="3"/>
      <c r="AM34" s="3"/>
      <c r="AN34" s="10"/>
      <c r="AO34" s="28"/>
      <c r="AP34" s="28"/>
      <c r="AQ34" s="3"/>
      <c r="AR34" s="10"/>
      <c r="AS34" s="20"/>
      <c r="AT34" s="28"/>
      <c r="AU34" s="3"/>
      <c r="AV34" s="10"/>
      <c r="AW34" s="20"/>
      <c r="AX34" s="28"/>
      <c r="AY34" s="3"/>
      <c r="AZ34" s="10"/>
      <c r="BA34" s="20"/>
      <c r="BB34" s="28"/>
      <c r="BC34" s="3"/>
      <c r="BD34" s="10"/>
      <c r="BE34" s="23"/>
      <c r="BF34" s="28"/>
      <c r="BG34" s="3"/>
      <c r="BH34" s="10"/>
      <c r="BI34" s="20"/>
      <c r="BJ34" s="28"/>
      <c r="BK34" s="3"/>
      <c r="BL34" s="10"/>
    </row>
    <row r="35" spans="2:64" x14ac:dyDescent="0.3">
      <c r="B35" s="62">
        <f t="shared" si="0"/>
        <v>0</v>
      </c>
      <c r="C35" s="47">
        <f t="shared" si="1"/>
        <v>0</v>
      </c>
      <c r="D35" s="47">
        <f t="shared" si="2"/>
        <v>0</v>
      </c>
      <c r="E35" s="47">
        <f t="shared" si="3"/>
        <v>0</v>
      </c>
      <c r="F35" s="47">
        <f t="shared" si="4"/>
        <v>0</v>
      </c>
      <c r="G35" s="47">
        <f t="shared" si="5"/>
        <v>0</v>
      </c>
      <c r="H35" s="47">
        <f t="shared" si="6"/>
        <v>0</v>
      </c>
      <c r="I35" s="47">
        <f t="shared" si="7"/>
        <v>0</v>
      </c>
      <c r="J35" s="47">
        <f t="shared" si="8"/>
        <v>0</v>
      </c>
      <c r="K35" s="63">
        <f t="shared" si="9"/>
        <v>0</v>
      </c>
      <c r="L35" s="55">
        <f t="shared" si="10"/>
        <v>0</v>
      </c>
      <c r="N35" s="33">
        <v>16</v>
      </c>
      <c r="O35" s="28"/>
      <c r="P35" s="88"/>
      <c r="Q35" s="88"/>
      <c r="R35" s="37"/>
      <c r="S35" s="20"/>
      <c r="T35" s="3"/>
      <c r="U35" s="3"/>
      <c r="V35" s="3"/>
      <c r="W35" s="3"/>
      <c r="X35" s="10"/>
      <c r="Y35" s="17"/>
      <c r="Z35" s="2"/>
      <c r="AA35" s="2"/>
      <c r="AB35" s="2"/>
      <c r="AC35" s="3"/>
      <c r="AD35" s="37"/>
      <c r="AE35" s="9"/>
      <c r="AF35" s="2"/>
      <c r="AG35" s="2"/>
      <c r="AH35" s="2"/>
      <c r="AI35" s="3"/>
      <c r="AJ35" s="10"/>
      <c r="AK35" s="28"/>
      <c r="AL35" s="3"/>
      <c r="AM35" s="3"/>
      <c r="AN35" s="10"/>
      <c r="AO35" s="28"/>
      <c r="AP35" s="28"/>
      <c r="AQ35" s="3"/>
      <c r="AR35" s="10"/>
      <c r="AS35" s="20"/>
      <c r="AT35" s="28"/>
      <c r="AU35" s="3"/>
      <c r="AV35" s="10"/>
      <c r="AW35" s="20"/>
      <c r="AX35" s="28"/>
      <c r="AY35" s="3"/>
      <c r="AZ35" s="10"/>
      <c r="BA35" s="20"/>
      <c r="BB35" s="28"/>
      <c r="BC35" s="3"/>
      <c r="BD35" s="10"/>
      <c r="BE35" s="23"/>
      <c r="BF35" s="28"/>
      <c r="BG35" s="3"/>
      <c r="BH35" s="10"/>
      <c r="BI35" s="20"/>
      <c r="BJ35" s="28"/>
      <c r="BK35" s="3"/>
      <c r="BL35" s="10"/>
    </row>
    <row r="36" spans="2:64" x14ac:dyDescent="0.3">
      <c r="B36" s="62">
        <f t="shared" si="0"/>
        <v>0</v>
      </c>
      <c r="C36" s="47">
        <f t="shared" si="1"/>
        <v>0</v>
      </c>
      <c r="D36" s="47">
        <f t="shared" si="2"/>
        <v>0</v>
      </c>
      <c r="E36" s="47">
        <f t="shared" si="3"/>
        <v>0</v>
      </c>
      <c r="F36" s="47">
        <f t="shared" si="4"/>
        <v>0</v>
      </c>
      <c r="G36" s="47">
        <f t="shared" si="5"/>
        <v>0</v>
      </c>
      <c r="H36" s="47">
        <f t="shared" si="6"/>
        <v>0</v>
      </c>
      <c r="I36" s="47">
        <f t="shared" si="7"/>
        <v>0</v>
      </c>
      <c r="J36" s="47">
        <f t="shared" si="8"/>
        <v>0</v>
      </c>
      <c r="K36" s="63">
        <f t="shared" si="9"/>
        <v>0</v>
      </c>
      <c r="L36" s="55">
        <f t="shared" si="10"/>
        <v>0</v>
      </c>
      <c r="N36" s="33">
        <v>17</v>
      </c>
      <c r="O36" s="28"/>
      <c r="P36" s="88"/>
      <c r="Q36" s="88"/>
      <c r="R36" s="37"/>
      <c r="S36" s="20"/>
      <c r="T36" s="3"/>
      <c r="U36" s="3"/>
      <c r="V36" s="3"/>
      <c r="W36" s="3"/>
      <c r="X36" s="10"/>
      <c r="Y36" s="17"/>
      <c r="Z36" s="2"/>
      <c r="AA36" s="2"/>
      <c r="AB36" s="2"/>
      <c r="AC36" s="3"/>
      <c r="AD36" s="37"/>
      <c r="AE36" s="9"/>
      <c r="AF36" s="2"/>
      <c r="AG36" s="2"/>
      <c r="AH36" s="2"/>
      <c r="AI36" s="3"/>
      <c r="AJ36" s="10"/>
      <c r="AK36" s="28"/>
      <c r="AL36" s="3"/>
      <c r="AM36" s="3"/>
      <c r="AN36" s="10"/>
      <c r="AO36" s="28"/>
      <c r="AP36" s="28"/>
      <c r="AQ36" s="3"/>
      <c r="AR36" s="10"/>
      <c r="AS36" s="20"/>
      <c r="AT36" s="28"/>
      <c r="AU36" s="3"/>
      <c r="AV36" s="10"/>
      <c r="AW36" s="20"/>
      <c r="AX36" s="28"/>
      <c r="AY36" s="3"/>
      <c r="AZ36" s="10"/>
      <c r="BA36" s="20"/>
      <c r="BB36" s="28"/>
      <c r="BC36" s="3"/>
      <c r="BD36" s="10"/>
      <c r="BE36" s="23"/>
      <c r="BF36" s="28"/>
      <c r="BG36" s="3"/>
      <c r="BH36" s="10"/>
      <c r="BI36" s="20"/>
      <c r="BJ36" s="28"/>
      <c r="BK36" s="3"/>
      <c r="BL36" s="10"/>
    </row>
    <row r="37" spans="2:64" x14ac:dyDescent="0.3">
      <c r="B37" s="62">
        <f t="shared" si="0"/>
        <v>0</v>
      </c>
      <c r="C37" s="47">
        <f t="shared" si="1"/>
        <v>0</v>
      </c>
      <c r="D37" s="47">
        <f t="shared" si="2"/>
        <v>0</v>
      </c>
      <c r="E37" s="47">
        <f t="shared" si="3"/>
        <v>0</v>
      </c>
      <c r="F37" s="47">
        <f t="shared" si="4"/>
        <v>0</v>
      </c>
      <c r="G37" s="47">
        <f t="shared" si="5"/>
        <v>0</v>
      </c>
      <c r="H37" s="47">
        <f t="shared" si="6"/>
        <v>0</v>
      </c>
      <c r="I37" s="47">
        <f t="shared" si="7"/>
        <v>0</v>
      </c>
      <c r="J37" s="47">
        <f t="shared" si="8"/>
        <v>0</v>
      </c>
      <c r="K37" s="63">
        <f t="shared" si="9"/>
        <v>0</v>
      </c>
      <c r="L37" s="55">
        <f t="shared" si="10"/>
        <v>0</v>
      </c>
      <c r="N37" s="33">
        <v>18</v>
      </c>
      <c r="O37" s="28"/>
      <c r="P37" s="88"/>
      <c r="Q37" s="88"/>
      <c r="R37" s="37"/>
      <c r="S37" s="20"/>
      <c r="T37" s="3"/>
      <c r="U37" s="3"/>
      <c r="V37" s="3"/>
      <c r="W37" s="3"/>
      <c r="X37" s="10"/>
      <c r="Y37" s="17"/>
      <c r="Z37" s="2"/>
      <c r="AA37" s="2"/>
      <c r="AB37" s="2"/>
      <c r="AC37" s="3"/>
      <c r="AD37" s="37"/>
      <c r="AE37" s="9"/>
      <c r="AF37" s="2"/>
      <c r="AG37" s="2"/>
      <c r="AH37" s="2"/>
      <c r="AI37" s="3"/>
      <c r="AJ37" s="10"/>
      <c r="AK37" s="28"/>
      <c r="AL37" s="3"/>
      <c r="AM37" s="3"/>
      <c r="AN37" s="10"/>
      <c r="AO37" s="28"/>
      <c r="AP37" s="28"/>
      <c r="AQ37" s="3"/>
      <c r="AR37" s="10"/>
      <c r="AS37" s="20"/>
      <c r="AT37" s="28"/>
      <c r="AU37" s="3"/>
      <c r="AV37" s="10"/>
      <c r="AW37" s="20"/>
      <c r="AX37" s="28"/>
      <c r="AY37" s="3"/>
      <c r="AZ37" s="10"/>
      <c r="BA37" s="20"/>
      <c r="BB37" s="28"/>
      <c r="BC37" s="3"/>
      <c r="BD37" s="10"/>
      <c r="BE37" s="23"/>
      <c r="BF37" s="28"/>
      <c r="BG37" s="3"/>
      <c r="BH37" s="10"/>
      <c r="BI37" s="20"/>
      <c r="BJ37" s="28"/>
      <c r="BK37" s="3"/>
      <c r="BL37" s="10"/>
    </row>
    <row r="38" spans="2:64" x14ac:dyDescent="0.3">
      <c r="B38" s="62">
        <f t="shared" si="0"/>
        <v>0</v>
      </c>
      <c r="C38" s="47">
        <f t="shared" si="1"/>
        <v>0</v>
      </c>
      <c r="D38" s="47">
        <f t="shared" si="2"/>
        <v>0</v>
      </c>
      <c r="E38" s="47">
        <f t="shared" si="3"/>
        <v>0</v>
      </c>
      <c r="F38" s="47">
        <f t="shared" si="4"/>
        <v>0</v>
      </c>
      <c r="G38" s="47">
        <f t="shared" si="5"/>
        <v>0</v>
      </c>
      <c r="H38" s="47">
        <f t="shared" si="6"/>
        <v>0</v>
      </c>
      <c r="I38" s="47">
        <f t="shared" si="7"/>
        <v>0</v>
      </c>
      <c r="J38" s="47">
        <f t="shared" si="8"/>
        <v>0</v>
      </c>
      <c r="K38" s="63">
        <f t="shared" si="9"/>
        <v>0</v>
      </c>
      <c r="L38" s="55">
        <f t="shared" si="10"/>
        <v>0</v>
      </c>
      <c r="N38" s="33">
        <v>19</v>
      </c>
      <c r="O38" s="28"/>
      <c r="P38" s="88"/>
      <c r="Q38" s="88"/>
      <c r="R38" s="37"/>
      <c r="S38" s="20"/>
      <c r="T38" s="3"/>
      <c r="U38" s="3"/>
      <c r="V38" s="3"/>
      <c r="W38" s="3"/>
      <c r="X38" s="10"/>
      <c r="Y38" s="17"/>
      <c r="Z38" s="2"/>
      <c r="AA38" s="2"/>
      <c r="AB38" s="2"/>
      <c r="AC38" s="3"/>
      <c r="AD38" s="37"/>
      <c r="AE38" s="9"/>
      <c r="AF38" s="2"/>
      <c r="AG38" s="2"/>
      <c r="AH38" s="2"/>
      <c r="AI38" s="3"/>
      <c r="AJ38" s="10"/>
      <c r="AK38" s="28"/>
      <c r="AL38" s="3"/>
      <c r="AM38" s="3"/>
      <c r="AN38" s="10"/>
      <c r="AO38" s="28"/>
      <c r="AP38" s="28"/>
      <c r="AQ38" s="3"/>
      <c r="AR38" s="10"/>
      <c r="AS38" s="20"/>
      <c r="AT38" s="28"/>
      <c r="AU38" s="3"/>
      <c r="AV38" s="10"/>
      <c r="AW38" s="20"/>
      <c r="AX38" s="28"/>
      <c r="AY38" s="3"/>
      <c r="AZ38" s="10"/>
      <c r="BA38" s="20"/>
      <c r="BB38" s="28"/>
      <c r="BC38" s="3"/>
      <c r="BD38" s="10"/>
      <c r="BE38" s="23"/>
      <c r="BF38" s="28"/>
      <c r="BG38" s="3"/>
      <c r="BH38" s="10"/>
      <c r="BI38" s="20"/>
      <c r="BJ38" s="28"/>
      <c r="BK38" s="3"/>
      <c r="BL38" s="10"/>
    </row>
    <row r="39" spans="2:64" x14ac:dyDescent="0.3">
      <c r="B39" s="62">
        <f t="shared" si="0"/>
        <v>0</v>
      </c>
      <c r="C39" s="47">
        <f t="shared" si="1"/>
        <v>0</v>
      </c>
      <c r="D39" s="47">
        <f t="shared" si="2"/>
        <v>0</v>
      </c>
      <c r="E39" s="47">
        <f t="shared" si="3"/>
        <v>0</v>
      </c>
      <c r="F39" s="47">
        <f t="shared" si="4"/>
        <v>0</v>
      </c>
      <c r="G39" s="47">
        <f t="shared" si="5"/>
        <v>0</v>
      </c>
      <c r="H39" s="47">
        <f t="shared" si="6"/>
        <v>0</v>
      </c>
      <c r="I39" s="47">
        <f t="shared" si="7"/>
        <v>0</v>
      </c>
      <c r="J39" s="47">
        <f t="shared" si="8"/>
        <v>0</v>
      </c>
      <c r="K39" s="63">
        <f t="shared" si="9"/>
        <v>0</v>
      </c>
      <c r="L39" s="55">
        <f t="shared" si="10"/>
        <v>0</v>
      </c>
      <c r="N39" s="33">
        <v>20</v>
      </c>
      <c r="O39" s="28"/>
      <c r="P39" s="88"/>
      <c r="Q39" s="88"/>
      <c r="R39" s="37"/>
      <c r="S39" s="20"/>
      <c r="T39" s="3"/>
      <c r="U39" s="3"/>
      <c r="V39" s="3"/>
      <c r="W39" s="3"/>
      <c r="X39" s="10"/>
      <c r="Y39" s="17"/>
      <c r="Z39" s="2"/>
      <c r="AA39" s="2"/>
      <c r="AB39" s="2"/>
      <c r="AC39" s="3"/>
      <c r="AD39" s="37"/>
      <c r="AE39" s="9"/>
      <c r="AF39" s="2"/>
      <c r="AG39" s="2"/>
      <c r="AH39" s="2"/>
      <c r="AI39" s="3"/>
      <c r="AJ39" s="10"/>
      <c r="AK39" s="28"/>
      <c r="AL39" s="3"/>
      <c r="AM39" s="3"/>
      <c r="AN39" s="10"/>
      <c r="AO39" s="28"/>
      <c r="AP39" s="28"/>
      <c r="AQ39" s="3"/>
      <c r="AR39" s="10"/>
      <c r="AS39" s="20"/>
      <c r="AT39" s="28"/>
      <c r="AU39" s="3"/>
      <c r="AV39" s="10"/>
      <c r="AW39" s="20"/>
      <c r="AX39" s="28"/>
      <c r="AY39" s="3"/>
      <c r="AZ39" s="10"/>
      <c r="BA39" s="20"/>
      <c r="BB39" s="28"/>
      <c r="BC39" s="3"/>
      <c r="BD39" s="10"/>
      <c r="BE39" s="23"/>
      <c r="BF39" s="28"/>
      <c r="BG39" s="3"/>
      <c r="BH39" s="10"/>
      <c r="BI39" s="20"/>
      <c r="BJ39" s="28"/>
      <c r="BK39" s="3"/>
      <c r="BL39" s="10"/>
    </row>
    <row r="40" spans="2:64" x14ac:dyDescent="0.3">
      <c r="B40" s="62">
        <f t="shared" si="0"/>
        <v>0</v>
      </c>
      <c r="C40" s="47">
        <f t="shared" si="1"/>
        <v>0</v>
      </c>
      <c r="D40" s="47">
        <f t="shared" si="2"/>
        <v>0</v>
      </c>
      <c r="E40" s="47">
        <f t="shared" si="3"/>
        <v>0</v>
      </c>
      <c r="F40" s="47">
        <f t="shared" si="4"/>
        <v>0</v>
      </c>
      <c r="G40" s="47">
        <f t="shared" si="5"/>
        <v>0</v>
      </c>
      <c r="H40" s="47">
        <f t="shared" si="6"/>
        <v>0</v>
      </c>
      <c r="I40" s="47">
        <f t="shared" si="7"/>
        <v>0</v>
      </c>
      <c r="J40" s="47">
        <f t="shared" si="8"/>
        <v>0</v>
      </c>
      <c r="K40" s="63">
        <f t="shared" si="9"/>
        <v>0</v>
      </c>
      <c r="L40" s="55">
        <f t="shared" si="10"/>
        <v>0</v>
      </c>
      <c r="N40" s="33">
        <v>21</v>
      </c>
      <c r="O40" s="28"/>
      <c r="P40" s="88"/>
      <c r="Q40" s="88"/>
      <c r="R40" s="37"/>
      <c r="S40" s="20"/>
      <c r="T40" s="3"/>
      <c r="U40" s="3"/>
      <c r="V40" s="3"/>
      <c r="W40" s="3"/>
      <c r="X40" s="10"/>
      <c r="Y40" s="17"/>
      <c r="Z40" s="2"/>
      <c r="AA40" s="2"/>
      <c r="AB40" s="2"/>
      <c r="AC40" s="3"/>
      <c r="AD40" s="37"/>
      <c r="AE40" s="9"/>
      <c r="AF40" s="2"/>
      <c r="AG40" s="2"/>
      <c r="AH40" s="2"/>
      <c r="AI40" s="3"/>
      <c r="AJ40" s="10"/>
      <c r="AK40" s="28"/>
      <c r="AL40" s="3"/>
      <c r="AM40" s="3"/>
      <c r="AN40" s="10"/>
      <c r="AO40" s="28"/>
      <c r="AP40" s="28"/>
      <c r="AQ40" s="3"/>
      <c r="AR40" s="10"/>
      <c r="AS40" s="20"/>
      <c r="AT40" s="28"/>
      <c r="AU40" s="3"/>
      <c r="AV40" s="10"/>
      <c r="AW40" s="20"/>
      <c r="AX40" s="28"/>
      <c r="AY40" s="3"/>
      <c r="AZ40" s="10"/>
      <c r="BA40" s="20"/>
      <c r="BB40" s="28"/>
      <c r="BC40" s="3"/>
      <c r="BD40" s="10"/>
      <c r="BE40" s="23"/>
      <c r="BF40" s="28"/>
      <c r="BG40" s="3"/>
      <c r="BH40" s="10"/>
      <c r="BI40" s="20"/>
      <c r="BJ40" s="28"/>
      <c r="BK40" s="3"/>
      <c r="BL40" s="10"/>
    </row>
    <row r="41" spans="2:64" x14ac:dyDescent="0.3">
      <c r="B41" s="62">
        <f t="shared" si="0"/>
        <v>0</v>
      </c>
      <c r="C41" s="47">
        <f t="shared" si="1"/>
        <v>0</v>
      </c>
      <c r="D41" s="47">
        <f t="shared" si="2"/>
        <v>0</v>
      </c>
      <c r="E41" s="47">
        <f t="shared" si="3"/>
        <v>0</v>
      </c>
      <c r="F41" s="47">
        <f t="shared" si="4"/>
        <v>0</v>
      </c>
      <c r="G41" s="47">
        <f t="shared" si="5"/>
        <v>0</v>
      </c>
      <c r="H41" s="47">
        <f t="shared" si="6"/>
        <v>0</v>
      </c>
      <c r="I41" s="47">
        <f t="shared" si="7"/>
        <v>0</v>
      </c>
      <c r="J41" s="47">
        <f t="shared" si="8"/>
        <v>0</v>
      </c>
      <c r="K41" s="63">
        <f t="shared" si="9"/>
        <v>0</v>
      </c>
      <c r="L41" s="55">
        <f t="shared" si="10"/>
        <v>0</v>
      </c>
      <c r="N41" s="33">
        <v>22</v>
      </c>
      <c r="O41" s="28"/>
      <c r="P41" s="88"/>
      <c r="Q41" s="88"/>
      <c r="R41" s="37"/>
      <c r="S41" s="20"/>
      <c r="T41" s="3"/>
      <c r="U41" s="3"/>
      <c r="V41" s="3"/>
      <c r="W41" s="3"/>
      <c r="X41" s="10"/>
      <c r="Y41" s="17"/>
      <c r="Z41" s="2"/>
      <c r="AA41" s="2"/>
      <c r="AB41" s="2"/>
      <c r="AC41" s="3"/>
      <c r="AD41" s="37"/>
      <c r="AE41" s="9"/>
      <c r="AF41" s="2"/>
      <c r="AG41" s="2"/>
      <c r="AH41" s="2"/>
      <c r="AI41" s="3"/>
      <c r="AJ41" s="10"/>
      <c r="AK41" s="28"/>
      <c r="AL41" s="3"/>
      <c r="AM41" s="3"/>
      <c r="AN41" s="10"/>
      <c r="AO41" s="28"/>
      <c r="AP41" s="28"/>
      <c r="AQ41" s="3"/>
      <c r="AR41" s="10"/>
      <c r="AS41" s="20"/>
      <c r="AT41" s="28"/>
      <c r="AU41" s="3"/>
      <c r="AV41" s="10"/>
      <c r="AW41" s="20"/>
      <c r="AX41" s="28"/>
      <c r="AY41" s="3"/>
      <c r="AZ41" s="10"/>
      <c r="BA41" s="20"/>
      <c r="BB41" s="28"/>
      <c r="BC41" s="3"/>
      <c r="BD41" s="10"/>
      <c r="BE41" s="23"/>
      <c r="BF41" s="28"/>
      <c r="BG41" s="3"/>
      <c r="BH41" s="10"/>
      <c r="BI41" s="20"/>
      <c r="BJ41" s="28"/>
      <c r="BK41" s="3"/>
      <c r="BL41" s="10"/>
    </row>
    <row r="42" spans="2:64" x14ac:dyDescent="0.3">
      <c r="B42" s="62">
        <f t="shared" si="0"/>
        <v>0</v>
      </c>
      <c r="C42" s="47">
        <f t="shared" si="1"/>
        <v>0</v>
      </c>
      <c r="D42" s="47">
        <f t="shared" si="2"/>
        <v>0</v>
      </c>
      <c r="E42" s="47">
        <f t="shared" si="3"/>
        <v>0</v>
      </c>
      <c r="F42" s="47">
        <f t="shared" si="4"/>
        <v>0</v>
      </c>
      <c r="G42" s="47">
        <f t="shared" si="5"/>
        <v>0</v>
      </c>
      <c r="H42" s="47">
        <f t="shared" si="6"/>
        <v>0</v>
      </c>
      <c r="I42" s="47">
        <f t="shared" si="7"/>
        <v>0</v>
      </c>
      <c r="J42" s="47">
        <f t="shared" si="8"/>
        <v>0</v>
      </c>
      <c r="K42" s="63">
        <f t="shared" si="9"/>
        <v>0</v>
      </c>
      <c r="L42" s="55">
        <f t="shared" si="10"/>
        <v>0</v>
      </c>
      <c r="N42" s="33">
        <v>23</v>
      </c>
      <c r="O42" s="28"/>
      <c r="P42" s="88"/>
      <c r="Q42" s="88"/>
      <c r="R42" s="37"/>
      <c r="S42" s="20"/>
      <c r="T42" s="3"/>
      <c r="U42" s="3"/>
      <c r="V42" s="3"/>
      <c r="W42" s="3"/>
      <c r="X42" s="10"/>
      <c r="Y42" s="17"/>
      <c r="Z42" s="2"/>
      <c r="AA42" s="2"/>
      <c r="AB42" s="2"/>
      <c r="AC42" s="3"/>
      <c r="AD42" s="37"/>
      <c r="AE42" s="9"/>
      <c r="AF42" s="2"/>
      <c r="AG42" s="2"/>
      <c r="AH42" s="2"/>
      <c r="AI42" s="3"/>
      <c r="AJ42" s="10"/>
      <c r="AK42" s="28"/>
      <c r="AL42" s="3"/>
      <c r="AM42" s="3"/>
      <c r="AN42" s="10"/>
      <c r="AO42" s="28"/>
      <c r="AP42" s="28"/>
      <c r="AQ42" s="3"/>
      <c r="AR42" s="10"/>
      <c r="AS42" s="20"/>
      <c r="AT42" s="28"/>
      <c r="AU42" s="3"/>
      <c r="AV42" s="10"/>
      <c r="AW42" s="20"/>
      <c r="AX42" s="28"/>
      <c r="AY42" s="3"/>
      <c r="AZ42" s="10"/>
      <c r="BA42" s="20"/>
      <c r="BB42" s="28"/>
      <c r="BC42" s="3"/>
      <c r="BD42" s="10"/>
      <c r="BE42" s="23"/>
      <c r="BF42" s="28"/>
      <c r="BG42" s="3"/>
      <c r="BH42" s="10"/>
      <c r="BI42" s="20"/>
      <c r="BJ42" s="28"/>
      <c r="BK42" s="3"/>
      <c r="BL42" s="10"/>
    </row>
    <row r="43" spans="2:64" x14ac:dyDescent="0.3">
      <c r="B43" s="62">
        <f t="shared" si="0"/>
        <v>0</v>
      </c>
      <c r="C43" s="47">
        <f t="shared" si="1"/>
        <v>0</v>
      </c>
      <c r="D43" s="47">
        <f t="shared" si="2"/>
        <v>0</v>
      </c>
      <c r="E43" s="47">
        <f t="shared" si="3"/>
        <v>0</v>
      </c>
      <c r="F43" s="47">
        <f t="shared" si="4"/>
        <v>0</v>
      </c>
      <c r="G43" s="47">
        <f t="shared" si="5"/>
        <v>0</v>
      </c>
      <c r="H43" s="47">
        <f t="shared" si="6"/>
        <v>0</v>
      </c>
      <c r="I43" s="47">
        <f t="shared" si="7"/>
        <v>0</v>
      </c>
      <c r="J43" s="47">
        <f t="shared" si="8"/>
        <v>0</v>
      </c>
      <c r="K43" s="63">
        <f t="shared" si="9"/>
        <v>0</v>
      </c>
      <c r="L43" s="55">
        <f t="shared" si="10"/>
        <v>0</v>
      </c>
      <c r="N43" s="33">
        <v>24</v>
      </c>
      <c r="O43" s="28"/>
      <c r="P43" s="88"/>
      <c r="Q43" s="88"/>
      <c r="R43" s="37"/>
      <c r="S43" s="20"/>
      <c r="T43" s="3"/>
      <c r="U43" s="3"/>
      <c r="V43" s="3"/>
      <c r="W43" s="3"/>
      <c r="X43" s="10"/>
      <c r="Y43" s="17"/>
      <c r="Z43" s="2"/>
      <c r="AA43" s="2"/>
      <c r="AB43" s="2"/>
      <c r="AC43" s="3"/>
      <c r="AD43" s="37"/>
      <c r="AE43" s="9"/>
      <c r="AF43" s="2"/>
      <c r="AG43" s="2"/>
      <c r="AH43" s="2"/>
      <c r="AI43" s="3"/>
      <c r="AJ43" s="10"/>
      <c r="AK43" s="28"/>
      <c r="AL43" s="3"/>
      <c r="AM43" s="3"/>
      <c r="AN43" s="10"/>
      <c r="AO43" s="28"/>
      <c r="AP43" s="28"/>
      <c r="AQ43" s="3"/>
      <c r="AR43" s="10"/>
      <c r="AS43" s="20"/>
      <c r="AT43" s="28"/>
      <c r="AU43" s="3"/>
      <c r="AV43" s="10"/>
      <c r="AW43" s="20"/>
      <c r="AX43" s="28"/>
      <c r="AY43" s="3"/>
      <c r="AZ43" s="10"/>
      <c r="BA43" s="20"/>
      <c r="BB43" s="28"/>
      <c r="BC43" s="3"/>
      <c r="BD43" s="10"/>
      <c r="BE43" s="23"/>
      <c r="BF43" s="28"/>
      <c r="BG43" s="3"/>
      <c r="BH43" s="10"/>
      <c r="BI43" s="20"/>
      <c r="BJ43" s="28"/>
      <c r="BK43" s="3"/>
      <c r="BL43" s="10"/>
    </row>
    <row r="44" spans="2:64" x14ac:dyDescent="0.3">
      <c r="B44" s="62">
        <f t="shared" si="0"/>
        <v>0</v>
      </c>
      <c r="C44" s="47">
        <f t="shared" si="1"/>
        <v>0</v>
      </c>
      <c r="D44" s="47">
        <f t="shared" si="2"/>
        <v>0</v>
      </c>
      <c r="E44" s="47">
        <f t="shared" si="3"/>
        <v>0</v>
      </c>
      <c r="F44" s="47">
        <f t="shared" si="4"/>
        <v>0</v>
      </c>
      <c r="G44" s="47">
        <f t="shared" si="5"/>
        <v>0</v>
      </c>
      <c r="H44" s="47">
        <f t="shared" si="6"/>
        <v>0</v>
      </c>
      <c r="I44" s="47">
        <f t="shared" si="7"/>
        <v>0</v>
      </c>
      <c r="J44" s="47">
        <f t="shared" si="8"/>
        <v>0</v>
      </c>
      <c r="K44" s="63">
        <f t="shared" si="9"/>
        <v>0</v>
      </c>
      <c r="L44" s="55">
        <f t="shared" si="10"/>
        <v>0</v>
      </c>
      <c r="N44" s="33">
        <v>25</v>
      </c>
      <c r="O44" s="28"/>
      <c r="P44" s="88"/>
      <c r="Q44" s="88"/>
      <c r="R44" s="37"/>
      <c r="S44" s="20"/>
      <c r="T44" s="3"/>
      <c r="U44" s="3"/>
      <c r="V44" s="3"/>
      <c r="W44" s="3"/>
      <c r="X44" s="10"/>
      <c r="Y44" s="17"/>
      <c r="Z44" s="2"/>
      <c r="AA44" s="2"/>
      <c r="AB44" s="2"/>
      <c r="AC44" s="3"/>
      <c r="AD44" s="37"/>
      <c r="AE44" s="9"/>
      <c r="AF44" s="2"/>
      <c r="AG44" s="2"/>
      <c r="AH44" s="2"/>
      <c r="AI44" s="3"/>
      <c r="AJ44" s="10"/>
      <c r="AK44" s="28"/>
      <c r="AL44" s="3"/>
      <c r="AM44" s="3"/>
      <c r="AN44" s="10"/>
      <c r="AO44" s="28"/>
      <c r="AP44" s="28"/>
      <c r="AQ44" s="3"/>
      <c r="AR44" s="10"/>
      <c r="AS44" s="20"/>
      <c r="AT44" s="28"/>
      <c r="AU44" s="3"/>
      <c r="AV44" s="10"/>
      <c r="AW44" s="20"/>
      <c r="AX44" s="28"/>
      <c r="AY44" s="3"/>
      <c r="AZ44" s="10"/>
      <c r="BA44" s="20"/>
      <c r="BB44" s="28"/>
      <c r="BC44" s="3"/>
      <c r="BD44" s="10"/>
      <c r="BE44" s="23"/>
      <c r="BF44" s="28"/>
      <c r="BG44" s="3"/>
      <c r="BH44" s="10"/>
      <c r="BI44" s="20"/>
      <c r="BJ44" s="28"/>
      <c r="BK44" s="3"/>
      <c r="BL44" s="10"/>
    </row>
    <row r="45" spans="2:64" x14ac:dyDescent="0.3">
      <c r="B45" s="62">
        <f t="shared" si="0"/>
        <v>0</v>
      </c>
      <c r="C45" s="47">
        <f t="shared" si="1"/>
        <v>0</v>
      </c>
      <c r="D45" s="47">
        <f t="shared" si="2"/>
        <v>0</v>
      </c>
      <c r="E45" s="47">
        <f t="shared" si="3"/>
        <v>0</v>
      </c>
      <c r="F45" s="47">
        <f t="shared" si="4"/>
        <v>0</v>
      </c>
      <c r="G45" s="47">
        <f t="shared" si="5"/>
        <v>0</v>
      </c>
      <c r="H45" s="47">
        <f t="shared" si="6"/>
        <v>0</v>
      </c>
      <c r="I45" s="47">
        <f t="shared" si="7"/>
        <v>0</v>
      </c>
      <c r="J45" s="47">
        <f t="shared" si="8"/>
        <v>0</v>
      </c>
      <c r="K45" s="63">
        <f t="shared" si="9"/>
        <v>0</v>
      </c>
      <c r="L45" s="55">
        <f t="shared" si="10"/>
        <v>0</v>
      </c>
      <c r="N45" s="33">
        <v>26</v>
      </c>
      <c r="O45" s="28"/>
      <c r="P45" s="88"/>
      <c r="Q45" s="88"/>
      <c r="R45" s="37"/>
      <c r="S45" s="20"/>
      <c r="T45" s="3"/>
      <c r="U45" s="3"/>
      <c r="V45" s="3"/>
      <c r="W45" s="3"/>
      <c r="X45" s="10"/>
      <c r="Y45" s="17"/>
      <c r="Z45" s="2"/>
      <c r="AA45" s="2"/>
      <c r="AB45" s="2"/>
      <c r="AC45" s="3"/>
      <c r="AD45" s="37"/>
      <c r="AE45" s="9"/>
      <c r="AF45" s="2"/>
      <c r="AG45" s="2"/>
      <c r="AH45" s="2"/>
      <c r="AI45" s="3"/>
      <c r="AJ45" s="10"/>
      <c r="AK45" s="28"/>
      <c r="AL45" s="3"/>
      <c r="AM45" s="3"/>
      <c r="AN45" s="10"/>
      <c r="AO45" s="28"/>
      <c r="AP45" s="28"/>
      <c r="AQ45" s="3"/>
      <c r="AR45" s="10"/>
      <c r="AS45" s="20"/>
      <c r="AT45" s="28"/>
      <c r="AU45" s="3"/>
      <c r="AV45" s="10"/>
      <c r="AW45" s="20"/>
      <c r="AX45" s="28"/>
      <c r="AY45" s="3"/>
      <c r="AZ45" s="10"/>
      <c r="BA45" s="20"/>
      <c r="BB45" s="28"/>
      <c r="BC45" s="3"/>
      <c r="BD45" s="10"/>
      <c r="BE45" s="23"/>
      <c r="BF45" s="28"/>
      <c r="BG45" s="3"/>
      <c r="BH45" s="10"/>
      <c r="BI45" s="20"/>
      <c r="BJ45" s="28"/>
      <c r="BK45" s="3"/>
      <c r="BL45" s="10"/>
    </row>
    <row r="46" spans="2:64" x14ac:dyDescent="0.3">
      <c r="B46" s="62">
        <f t="shared" si="0"/>
        <v>0</v>
      </c>
      <c r="C46" s="47">
        <f t="shared" si="1"/>
        <v>0</v>
      </c>
      <c r="D46" s="47">
        <f t="shared" si="2"/>
        <v>0</v>
      </c>
      <c r="E46" s="47">
        <f t="shared" si="3"/>
        <v>0</v>
      </c>
      <c r="F46" s="47">
        <f t="shared" si="4"/>
        <v>0</v>
      </c>
      <c r="G46" s="47">
        <f t="shared" si="5"/>
        <v>0</v>
      </c>
      <c r="H46" s="47">
        <f t="shared" si="6"/>
        <v>0</v>
      </c>
      <c r="I46" s="47">
        <f t="shared" si="7"/>
        <v>0</v>
      </c>
      <c r="J46" s="47">
        <f t="shared" si="8"/>
        <v>0</v>
      </c>
      <c r="K46" s="63">
        <f t="shared" si="9"/>
        <v>0</v>
      </c>
      <c r="L46" s="55">
        <f t="shared" si="10"/>
        <v>0</v>
      </c>
      <c r="N46" s="33">
        <v>27</v>
      </c>
      <c r="O46" s="28"/>
      <c r="P46" s="88"/>
      <c r="Q46" s="88"/>
      <c r="R46" s="37"/>
      <c r="S46" s="20"/>
      <c r="T46" s="3"/>
      <c r="U46" s="3"/>
      <c r="V46" s="3"/>
      <c r="W46" s="3"/>
      <c r="X46" s="10"/>
      <c r="Y46" s="17"/>
      <c r="Z46" s="2"/>
      <c r="AA46" s="2"/>
      <c r="AB46" s="2"/>
      <c r="AC46" s="3"/>
      <c r="AD46" s="37"/>
      <c r="AE46" s="9"/>
      <c r="AF46" s="2"/>
      <c r="AG46" s="2"/>
      <c r="AH46" s="2"/>
      <c r="AI46" s="3"/>
      <c r="AJ46" s="10"/>
      <c r="AK46" s="28"/>
      <c r="AL46" s="3"/>
      <c r="AM46" s="3"/>
      <c r="AN46" s="10"/>
      <c r="AO46" s="28"/>
      <c r="AP46" s="28"/>
      <c r="AQ46" s="3"/>
      <c r="AR46" s="10"/>
      <c r="AS46" s="20"/>
      <c r="AT46" s="28"/>
      <c r="AU46" s="3"/>
      <c r="AV46" s="10"/>
      <c r="AW46" s="20"/>
      <c r="AX46" s="28"/>
      <c r="AY46" s="3"/>
      <c r="AZ46" s="10"/>
      <c r="BA46" s="20"/>
      <c r="BB46" s="28"/>
      <c r="BC46" s="3"/>
      <c r="BD46" s="10"/>
      <c r="BE46" s="23"/>
      <c r="BF46" s="28"/>
      <c r="BG46" s="3"/>
      <c r="BH46" s="10"/>
      <c r="BI46" s="20"/>
      <c r="BJ46" s="28"/>
      <c r="BK46" s="3"/>
      <c r="BL46" s="10"/>
    </row>
    <row r="47" spans="2:64" x14ac:dyDescent="0.3">
      <c r="B47" s="62">
        <f t="shared" si="0"/>
        <v>0</v>
      </c>
      <c r="C47" s="47">
        <f t="shared" si="1"/>
        <v>0</v>
      </c>
      <c r="D47" s="47">
        <f t="shared" si="2"/>
        <v>0</v>
      </c>
      <c r="E47" s="47">
        <f t="shared" si="3"/>
        <v>0</v>
      </c>
      <c r="F47" s="47">
        <f t="shared" si="4"/>
        <v>0</v>
      </c>
      <c r="G47" s="47">
        <f t="shared" si="5"/>
        <v>0</v>
      </c>
      <c r="H47" s="47">
        <f t="shared" si="6"/>
        <v>0</v>
      </c>
      <c r="I47" s="47">
        <f t="shared" si="7"/>
        <v>0</v>
      </c>
      <c r="J47" s="47">
        <f t="shared" si="8"/>
        <v>0</v>
      </c>
      <c r="K47" s="63">
        <f t="shared" si="9"/>
        <v>0</v>
      </c>
      <c r="L47" s="55">
        <f t="shared" si="10"/>
        <v>0</v>
      </c>
      <c r="N47" s="33">
        <v>28</v>
      </c>
      <c r="O47" s="28"/>
      <c r="P47" s="88"/>
      <c r="Q47" s="88"/>
      <c r="R47" s="37"/>
      <c r="S47" s="20"/>
      <c r="T47" s="3"/>
      <c r="U47" s="3"/>
      <c r="V47" s="3"/>
      <c r="W47" s="3"/>
      <c r="X47" s="10"/>
      <c r="Y47" s="17"/>
      <c r="Z47" s="2"/>
      <c r="AA47" s="2"/>
      <c r="AB47" s="2"/>
      <c r="AC47" s="3"/>
      <c r="AD47" s="37"/>
      <c r="AE47" s="9"/>
      <c r="AF47" s="2"/>
      <c r="AG47" s="2"/>
      <c r="AH47" s="2"/>
      <c r="AI47" s="3"/>
      <c r="AJ47" s="10"/>
      <c r="AK47" s="28"/>
      <c r="AL47" s="3"/>
      <c r="AM47" s="3"/>
      <c r="AN47" s="10"/>
      <c r="AO47" s="28"/>
      <c r="AP47" s="28"/>
      <c r="AQ47" s="3"/>
      <c r="AR47" s="10"/>
      <c r="AS47" s="20"/>
      <c r="AT47" s="28"/>
      <c r="AU47" s="3"/>
      <c r="AV47" s="10"/>
      <c r="AW47" s="20"/>
      <c r="AX47" s="28"/>
      <c r="AY47" s="3"/>
      <c r="AZ47" s="10"/>
      <c r="BA47" s="20"/>
      <c r="BB47" s="28"/>
      <c r="BC47" s="3"/>
      <c r="BD47" s="10"/>
      <c r="BE47" s="23"/>
      <c r="BF47" s="28"/>
      <c r="BG47" s="3"/>
      <c r="BH47" s="10"/>
      <c r="BI47" s="20"/>
      <c r="BJ47" s="28"/>
      <c r="BK47" s="3"/>
      <c r="BL47" s="10"/>
    </row>
    <row r="48" spans="2:64" x14ac:dyDescent="0.3">
      <c r="B48" s="62">
        <f t="shared" si="0"/>
        <v>0</v>
      </c>
      <c r="C48" s="47">
        <f t="shared" si="1"/>
        <v>0</v>
      </c>
      <c r="D48" s="47">
        <f t="shared" si="2"/>
        <v>0</v>
      </c>
      <c r="E48" s="47">
        <f t="shared" si="3"/>
        <v>0</v>
      </c>
      <c r="F48" s="47">
        <f t="shared" si="4"/>
        <v>0</v>
      </c>
      <c r="G48" s="47">
        <f t="shared" si="5"/>
        <v>0</v>
      </c>
      <c r="H48" s="47">
        <f t="shared" si="6"/>
        <v>0</v>
      </c>
      <c r="I48" s="47">
        <f t="shared" si="7"/>
        <v>0</v>
      </c>
      <c r="J48" s="47">
        <f t="shared" si="8"/>
        <v>0</v>
      </c>
      <c r="K48" s="63">
        <f t="shared" si="9"/>
        <v>0</v>
      </c>
      <c r="L48" s="55">
        <f t="shared" si="10"/>
        <v>0</v>
      </c>
      <c r="N48" s="33">
        <v>29</v>
      </c>
      <c r="O48" s="28"/>
      <c r="P48" s="88"/>
      <c r="Q48" s="88"/>
      <c r="R48" s="37"/>
      <c r="S48" s="20"/>
      <c r="T48" s="3"/>
      <c r="U48" s="3"/>
      <c r="V48" s="3"/>
      <c r="W48" s="3"/>
      <c r="X48" s="10"/>
      <c r="Y48" s="17"/>
      <c r="Z48" s="2"/>
      <c r="AA48" s="2"/>
      <c r="AB48" s="2"/>
      <c r="AC48" s="3"/>
      <c r="AD48" s="37"/>
      <c r="AE48" s="9"/>
      <c r="AF48" s="2"/>
      <c r="AG48" s="2"/>
      <c r="AH48" s="2"/>
      <c r="AI48" s="3"/>
      <c r="AJ48" s="10"/>
      <c r="AK48" s="28"/>
      <c r="AL48" s="3"/>
      <c r="AM48" s="3"/>
      <c r="AN48" s="10"/>
      <c r="AO48" s="28"/>
      <c r="AP48" s="28"/>
      <c r="AQ48" s="3"/>
      <c r="AR48" s="10"/>
      <c r="AS48" s="20"/>
      <c r="AT48" s="28"/>
      <c r="AU48" s="3"/>
      <c r="AV48" s="10"/>
      <c r="AW48" s="20"/>
      <c r="AX48" s="28"/>
      <c r="AY48" s="3"/>
      <c r="AZ48" s="10"/>
      <c r="BA48" s="20"/>
      <c r="BB48" s="28"/>
      <c r="BC48" s="3"/>
      <c r="BD48" s="10"/>
      <c r="BE48" s="23"/>
      <c r="BF48" s="28"/>
      <c r="BG48" s="3"/>
      <c r="BH48" s="10"/>
      <c r="BI48" s="20"/>
      <c r="BJ48" s="28"/>
      <c r="BK48" s="3"/>
      <c r="BL48" s="10"/>
    </row>
    <row r="49" spans="2:64" x14ac:dyDescent="0.3">
      <c r="B49" s="62">
        <f t="shared" si="0"/>
        <v>0</v>
      </c>
      <c r="C49" s="47">
        <f t="shared" si="1"/>
        <v>0</v>
      </c>
      <c r="D49" s="47">
        <f t="shared" si="2"/>
        <v>0</v>
      </c>
      <c r="E49" s="47">
        <f t="shared" si="3"/>
        <v>0</v>
      </c>
      <c r="F49" s="47">
        <f t="shared" si="4"/>
        <v>0</v>
      </c>
      <c r="G49" s="47">
        <f t="shared" si="5"/>
        <v>0</v>
      </c>
      <c r="H49" s="47">
        <f t="shared" si="6"/>
        <v>0</v>
      </c>
      <c r="I49" s="47">
        <f t="shared" si="7"/>
        <v>0</v>
      </c>
      <c r="J49" s="47">
        <f t="shared" si="8"/>
        <v>0</v>
      </c>
      <c r="K49" s="63">
        <f t="shared" si="9"/>
        <v>0</v>
      </c>
      <c r="L49" s="55">
        <f t="shared" si="10"/>
        <v>0</v>
      </c>
      <c r="N49" s="33">
        <v>30</v>
      </c>
      <c r="O49" s="28"/>
      <c r="P49" s="88"/>
      <c r="Q49" s="88"/>
      <c r="R49" s="37"/>
      <c r="S49" s="20"/>
      <c r="T49" s="3"/>
      <c r="U49" s="3"/>
      <c r="V49" s="3"/>
      <c r="W49" s="3"/>
      <c r="X49" s="10"/>
      <c r="Y49" s="17"/>
      <c r="Z49" s="2"/>
      <c r="AA49" s="2"/>
      <c r="AB49" s="2"/>
      <c r="AC49" s="3"/>
      <c r="AD49" s="37"/>
      <c r="AE49" s="9"/>
      <c r="AF49" s="2"/>
      <c r="AG49" s="2"/>
      <c r="AH49" s="2"/>
      <c r="AI49" s="3"/>
      <c r="AJ49" s="10"/>
      <c r="AK49" s="28"/>
      <c r="AL49" s="3"/>
      <c r="AM49" s="3"/>
      <c r="AN49" s="10"/>
      <c r="AO49" s="28"/>
      <c r="AP49" s="28"/>
      <c r="AQ49" s="3"/>
      <c r="AR49" s="10"/>
      <c r="AS49" s="20"/>
      <c r="AT49" s="28"/>
      <c r="AU49" s="3"/>
      <c r="AV49" s="10"/>
      <c r="AW49" s="20"/>
      <c r="AX49" s="28"/>
      <c r="AY49" s="3"/>
      <c r="AZ49" s="10"/>
      <c r="BA49" s="20"/>
      <c r="BB49" s="28"/>
      <c r="BC49" s="3"/>
      <c r="BD49" s="10"/>
      <c r="BE49" s="23"/>
      <c r="BF49" s="28"/>
      <c r="BG49" s="3"/>
      <c r="BH49" s="10"/>
      <c r="BI49" s="20"/>
      <c r="BJ49" s="28"/>
      <c r="BK49" s="3"/>
      <c r="BL49" s="10"/>
    </row>
    <row r="50" spans="2:64" x14ac:dyDescent="0.3">
      <c r="B50" s="62">
        <f t="shared" si="0"/>
        <v>0</v>
      </c>
      <c r="C50" s="47">
        <f t="shared" si="1"/>
        <v>0</v>
      </c>
      <c r="D50" s="47">
        <f t="shared" si="2"/>
        <v>0</v>
      </c>
      <c r="E50" s="47">
        <f t="shared" si="3"/>
        <v>0</v>
      </c>
      <c r="F50" s="47">
        <f t="shared" si="4"/>
        <v>0</v>
      </c>
      <c r="G50" s="47">
        <f t="shared" si="5"/>
        <v>0</v>
      </c>
      <c r="H50" s="47">
        <f t="shared" si="6"/>
        <v>0</v>
      </c>
      <c r="I50" s="47">
        <f t="shared" si="7"/>
        <v>0</v>
      </c>
      <c r="J50" s="47">
        <f t="shared" si="8"/>
        <v>0</v>
      </c>
      <c r="K50" s="63">
        <f t="shared" si="9"/>
        <v>0</v>
      </c>
      <c r="L50" s="55">
        <f t="shared" si="10"/>
        <v>0</v>
      </c>
      <c r="N50" s="33">
        <v>31</v>
      </c>
      <c r="O50" s="28"/>
      <c r="P50" s="88"/>
      <c r="Q50" s="88"/>
      <c r="R50" s="37"/>
      <c r="S50" s="20"/>
      <c r="T50" s="3"/>
      <c r="U50" s="3"/>
      <c r="V50" s="3"/>
      <c r="W50" s="3"/>
      <c r="X50" s="10"/>
      <c r="Y50" s="17"/>
      <c r="Z50" s="2"/>
      <c r="AA50" s="2"/>
      <c r="AB50" s="2"/>
      <c r="AC50" s="3"/>
      <c r="AD50" s="37"/>
      <c r="AE50" s="9"/>
      <c r="AF50" s="2"/>
      <c r="AG50" s="2"/>
      <c r="AH50" s="2"/>
      <c r="AI50" s="3"/>
      <c r="AJ50" s="10"/>
      <c r="AK50" s="28"/>
      <c r="AL50" s="3"/>
      <c r="AM50" s="3"/>
      <c r="AN50" s="10"/>
      <c r="AO50" s="28"/>
      <c r="AP50" s="28"/>
      <c r="AQ50" s="3"/>
      <c r="AR50" s="10"/>
      <c r="AS50" s="20"/>
      <c r="AT50" s="28"/>
      <c r="AU50" s="3"/>
      <c r="AV50" s="10"/>
      <c r="AW50" s="20"/>
      <c r="AX50" s="28"/>
      <c r="AY50" s="3"/>
      <c r="AZ50" s="10"/>
      <c r="BA50" s="20"/>
      <c r="BB50" s="28"/>
      <c r="BC50" s="3"/>
      <c r="BD50" s="10"/>
      <c r="BE50" s="23"/>
      <c r="BF50" s="28"/>
      <c r="BG50" s="3"/>
      <c r="BH50" s="10"/>
      <c r="BI50" s="20"/>
      <c r="BJ50" s="28"/>
      <c r="BK50" s="3"/>
      <c r="BL50" s="10"/>
    </row>
    <row r="51" spans="2:64" ht="15" thickBot="1" x14ac:dyDescent="0.35">
      <c r="B51" s="64">
        <f t="shared" si="0"/>
        <v>0</v>
      </c>
      <c r="C51" s="65">
        <f t="shared" si="1"/>
        <v>0</v>
      </c>
      <c r="D51" s="65">
        <f t="shared" si="2"/>
        <v>0</v>
      </c>
      <c r="E51" s="65">
        <f t="shared" si="3"/>
        <v>0</v>
      </c>
      <c r="F51" s="65">
        <f t="shared" si="4"/>
        <v>0</v>
      </c>
      <c r="G51" s="65">
        <f t="shared" si="5"/>
        <v>0</v>
      </c>
      <c r="H51" s="65">
        <f t="shared" si="6"/>
        <v>0</v>
      </c>
      <c r="I51" s="65">
        <f t="shared" si="7"/>
        <v>0</v>
      </c>
      <c r="J51" s="65">
        <f t="shared" si="8"/>
        <v>0</v>
      </c>
      <c r="K51" s="66">
        <f t="shared" si="9"/>
        <v>0</v>
      </c>
      <c r="L51" s="55">
        <f t="shared" si="10"/>
        <v>0</v>
      </c>
      <c r="N51" s="33">
        <v>32</v>
      </c>
      <c r="O51" s="28"/>
      <c r="P51" s="88"/>
      <c r="Q51" s="88"/>
      <c r="R51" s="37"/>
      <c r="S51" s="20"/>
      <c r="T51" s="3"/>
      <c r="U51" s="3"/>
      <c r="V51" s="3"/>
      <c r="W51" s="3"/>
      <c r="X51" s="10"/>
      <c r="Y51" s="17"/>
      <c r="Z51" s="2"/>
      <c r="AA51" s="2"/>
      <c r="AB51" s="2"/>
      <c r="AC51" s="3"/>
      <c r="AD51" s="37"/>
      <c r="AE51" s="9"/>
      <c r="AF51" s="2"/>
      <c r="AG51" s="2"/>
      <c r="AH51" s="2"/>
      <c r="AI51" s="3"/>
      <c r="AJ51" s="10"/>
      <c r="AK51" s="28"/>
      <c r="AL51" s="3"/>
      <c r="AM51" s="3"/>
      <c r="AN51" s="10"/>
      <c r="AO51" s="28"/>
      <c r="AP51" s="28"/>
      <c r="AQ51" s="3"/>
      <c r="AR51" s="10"/>
      <c r="AS51" s="20"/>
      <c r="AT51" s="28"/>
      <c r="AU51" s="3"/>
      <c r="AV51" s="10"/>
      <c r="AW51" s="20"/>
      <c r="AX51" s="28"/>
      <c r="AY51" s="3"/>
      <c r="AZ51" s="10"/>
      <c r="BA51" s="20"/>
      <c r="BB51" s="28"/>
      <c r="BC51" s="3"/>
      <c r="BD51" s="10"/>
      <c r="BE51" s="23"/>
      <c r="BF51" s="28"/>
      <c r="BG51" s="3"/>
      <c r="BH51" s="10"/>
      <c r="BI51" s="20"/>
      <c r="BJ51" s="28"/>
      <c r="BK51" s="3"/>
      <c r="BL51" s="10"/>
    </row>
    <row r="52" spans="2:64" x14ac:dyDescent="0.3">
      <c r="N52" s="34" t="s">
        <v>25</v>
      </c>
      <c r="O52" s="29"/>
      <c r="P52" s="89"/>
      <c r="Q52" s="89"/>
      <c r="R52" s="38"/>
      <c r="S52" s="18">
        <f>AVERAGE(S20:S51)</f>
        <v>1.4285714285714285E-7</v>
      </c>
      <c r="T52" s="4">
        <f>AVERAGE(T20:T51)</f>
        <v>0.28571442857142859</v>
      </c>
      <c r="U52" s="4">
        <f>AVERAGE(U20:U51)</f>
        <v>1.4285714285714285E-7</v>
      </c>
      <c r="V52" s="4" t="e">
        <f>AVERAGE(V20:V51)</f>
        <v>#DIV/0!</v>
      </c>
      <c r="W52" s="4">
        <f>(SUM(D20:D51)+SUM(T20:T51)+SUM(S20:S51)*0.35)/SUM(S20:U51)</f>
        <v>0.99999917500123758</v>
      </c>
      <c r="X52" s="48">
        <f>AVERAGE(X20:X51)</f>
        <v>7</v>
      </c>
      <c r="Y52" s="58">
        <f>AVERAGE(Y20:Y51)</f>
        <v>9.9999999999999995E-7</v>
      </c>
      <c r="Z52" s="56">
        <f>AVERAGE(Z20:Z51)</f>
        <v>9.9999999999999995E-7</v>
      </c>
      <c r="AA52" s="56">
        <f>AVERAGE(AA20:AA51)</f>
        <v>9.9999999999999995E-7</v>
      </c>
      <c r="AB52" s="56" t="e">
        <f>AVERAGE(AB20:AB51)</f>
        <v>#DIV/0!</v>
      </c>
      <c r="AC52" s="56">
        <f>(SUM(B20:B51)+SUM(Z20:Z51)+SUM(Y20:Y51)*0.35)/SUM(Y20:AA51)</f>
        <v>0.45</v>
      </c>
      <c r="AD52" s="76" t="e">
        <f>AVERAGE(AD20:AD51)</f>
        <v>#DIV/0!</v>
      </c>
      <c r="AE52" s="79">
        <f>AVERAGE(AE20:AE51)</f>
        <v>0.14285728571428571</v>
      </c>
      <c r="AF52" s="56">
        <f>AVERAGE(AF20:AF51)</f>
        <v>1.1428572857142858</v>
      </c>
      <c r="AG52" s="56">
        <f>AVERAGE(AG20:AG51)</f>
        <v>1</v>
      </c>
      <c r="AH52" s="56" t="e">
        <f>AVERAGE(AH20:AH51)</f>
        <v>#DIV/0!</v>
      </c>
      <c r="AI52" s="56">
        <f>(SUM(C20:C51)+SUM(AF20:AF51)+SUM(AE20:AE51)*0.35)/SUM(AE20:AG51)</f>
        <v>1.0843749488281311</v>
      </c>
      <c r="AJ52" s="57">
        <f>AVERAGE(AJ20:AJ51)</f>
        <v>9.5714285714285712</v>
      </c>
      <c r="AK52" s="58">
        <f>AVERAGE(AK20:AK51)</f>
        <v>6.2857142857142856</v>
      </c>
      <c r="AL52" s="56" t="e">
        <f>AVERAGE(AL20:AL51)</f>
        <v>#DIV/0!</v>
      </c>
      <c r="AM52" s="56">
        <f>SUM(E20:E51)/SUM(AK20:AK51)</f>
        <v>2.6363636363636362</v>
      </c>
      <c r="AN52" s="57">
        <f>AVERAGE(AN20:AN51)</f>
        <v>7.8</v>
      </c>
      <c r="AO52" s="58">
        <f>AVERAGE(AO20:AO51)</f>
        <v>5.4285714285714288</v>
      </c>
      <c r="AP52" s="56" t="e">
        <f>AVERAGE(AP20:AP51)</f>
        <v>#DIV/0!</v>
      </c>
      <c r="AQ52" s="56">
        <f>SUM(F20:F51)/SUM(AO20:AO51)</f>
        <v>3.2947368421052632</v>
      </c>
      <c r="AR52" s="57">
        <f>AVERAGE(AR20:AR51)</f>
        <v>8.8000000000000007</v>
      </c>
      <c r="AS52" s="58">
        <f>AVERAGE(AS20:AS51)</f>
        <v>0.42857142857142855</v>
      </c>
      <c r="AT52" s="56" t="e">
        <f>AVERAGE(AT20:AT51)</f>
        <v>#DIV/0!</v>
      </c>
      <c r="AU52" s="56">
        <f>SUM(G20:G51)/SUM(AS20:AS51)</f>
        <v>1.8</v>
      </c>
      <c r="AV52" s="57">
        <f>AVERAGE(AV20:AV51)</f>
        <v>9</v>
      </c>
      <c r="AW52" s="58">
        <f>AVERAGE(AW20:AW51)</f>
        <v>2.2857142857142856</v>
      </c>
      <c r="AX52" s="56" t="e">
        <f>AVERAGE(AX20:AX51)</f>
        <v>#DIV/0!</v>
      </c>
      <c r="AY52" s="56">
        <f>SUM(H20:H51)/SUM(AW20:AW51)</f>
        <v>0.96875000000000011</v>
      </c>
      <c r="AZ52" s="57">
        <f>AVERAGE(AZ20:AZ51)</f>
        <v>4.25</v>
      </c>
      <c r="BA52" s="58">
        <f>AVERAGE(BA20:BA51)</f>
        <v>9.9999999999999995E-7</v>
      </c>
      <c r="BB52" s="56" t="e">
        <f>AVERAGE(BB20:BB51)</f>
        <v>#DIV/0!</v>
      </c>
      <c r="BC52" s="56">
        <f>SUM(I20:I51)/SUM(BA20:BA51)</f>
        <v>0</v>
      </c>
      <c r="BD52" s="57" t="e">
        <f>AVERAGE(BD20:BD51)</f>
        <v>#DIV/0!</v>
      </c>
      <c r="BE52" s="58">
        <f>AVERAGE(BE20:BE51)</f>
        <v>9.9999999999999995E-7</v>
      </c>
      <c r="BF52" s="56" t="e">
        <f>AVERAGE(BF20:BF51)</f>
        <v>#DIV/0!</v>
      </c>
      <c r="BG52" s="56">
        <f>SUM(J20:J51)/SUM(BE20:BE51)</f>
        <v>0</v>
      </c>
      <c r="BH52" s="57" t="e">
        <f>AVERAGE(BH20:BH51)</f>
        <v>#DIV/0!</v>
      </c>
      <c r="BI52" s="58">
        <f>AVERAGE(BI20:BI51)</f>
        <v>7.5714285714285712</v>
      </c>
      <c r="BJ52" s="56" t="e">
        <f>AVERAGE(BJ20:BJ51)</f>
        <v>#DIV/0!</v>
      </c>
      <c r="BK52" s="56">
        <f>SUM(K20:K51)/SUM(BI20:BI51)</f>
        <v>2.0377358490566038</v>
      </c>
      <c r="BL52" s="57">
        <f>AVERAGE(BL20:BL51)</f>
        <v>7.7142857142857144</v>
      </c>
    </row>
    <row r="53" spans="2:64" x14ac:dyDescent="0.3">
      <c r="N53" s="34" t="s">
        <v>30</v>
      </c>
      <c r="O53" s="29"/>
      <c r="P53" s="89"/>
      <c r="Q53" s="89"/>
      <c r="R53" s="38"/>
      <c r="S53" s="18"/>
      <c r="T53" s="4"/>
      <c r="U53" s="4"/>
      <c r="V53" s="4"/>
      <c r="W53" s="5">
        <f>SUM(D20:D51)/SUM(U20:U51)</f>
        <v>0</v>
      </c>
      <c r="X53" s="38"/>
      <c r="Y53" s="58"/>
      <c r="Z53" s="56"/>
      <c r="AA53" s="56"/>
      <c r="AB53" s="56"/>
      <c r="AC53" s="77">
        <f>SUM(B20:B51)/SUM(AA20:AA51)</f>
        <v>0</v>
      </c>
      <c r="AD53" s="78"/>
      <c r="AE53" s="79"/>
      <c r="AF53" s="56"/>
      <c r="AG53" s="56"/>
      <c r="AH53" s="56"/>
      <c r="AI53" s="77">
        <f>SUM(C20:C51)/SUM(AG20:AG51)</f>
        <v>1.2857142857142858</v>
      </c>
      <c r="AJ53" s="80"/>
      <c r="AK53" s="29"/>
      <c r="AL53" s="5"/>
      <c r="AM53" s="5"/>
      <c r="AN53" s="12"/>
      <c r="AO53" s="29"/>
      <c r="AP53" s="29"/>
      <c r="AQ53" s="5"/>
      <c r="AR53" s="12"/>
      <c r="AS53" s="21"/>
      <c r="AT53" s="29"/>
      <c r="AU53" s="5"/>
      <c r="AV53" s="12"/>
      <c r="AW53" s="21"/>
      <c r="AX53" s="29"/>
      <c r="AY53" s="5"/>
      <c r="AZ53" s="12"/>
      <c r="BA53" s="21"/>
      <c r="BB53" s="29"/>
      <c r="BC53" s="5"/>
      <c r="BD53" s="12"/>
      <c r="BE53" s="21"/>
      <c r="BF53" s="29"/>
      <c r="BG53" s="5"/>
      <c r="BH53" s="12"/>
      <c r="BI53" s="21"/>
      <c r="BJ53" s="29"/>
      <c r="BK53" s="5"/>
      <c r="BL53" s="12"/>
    </row>
    <row r="54" spans="2:64" x14ac:dyDescent="0.3">
      <c r="N54" s="34" t="s">
        <v>11</v>
      </c>
      <c r="O54" s="29"/>
      <c r="P54" s="89"/>
      <c r="Q54" s="89"/>
      <c r="R54" s="38"/>
      <c r="S54" s="21"/>
      <c r="T54" s="5"/>
      <c r="U54" s="5"/>
      <c r="V54" s="5"/>
      <c r="W54" s="5"/>
      <c r="X54" s="12"/>
      <c r="Y54" s="18"/>
      <c r="Z54" s="4"/>
      <c r="AA54" s="4"/>
      <c r="AB54" s="4"/>
      <c r="AC54" s="5"/>
      <c r="AD54" s="38"/>
      <c r="AE54" s="11"/>
      <c r="AF54" s="4"/>
      <c r="AG54" s="4"/>
      <c r="AH54" s="4"/>
      <c r="AI54" s="5"/>
      <c r="AJ54" s="12"/>
      <c r="AK54" s="29"/>
      <c r="AL54" s="5"/>
      <c r="AM54" s="5"/>
      <c r="AN54" s="12"/>
      <c r="AO54" s="29"/>
      <c r="AP54" s="29"/>
      <c r="AQ54" s="5"/>
      <c r="AR54" s="12"/>
      <c r="AS54" s="21"/>
      <c r="AT54" s="29"/>
      <c r="AU54" s="5"/>
      <c r="AV54" s="12"/>
      <c r="AW54" s="21"/>
      <c r="AX54" s="29"/>
      <c r="AY54" s="5"/>
      <c r="AZ54" s="12"/>
      <c r="BA54" s="21"/>
      <c r="BB54" s="29"/>
      <c r="BC54" s="5"/>
      <c r="BD54" s="12"/>
      <c r="BE54" s="21"/>
      <c r="BF54" s="29"/>
      <c r="BG54" s="5"/>
      <c r="BH54" s="12"/>
      <c r="BI54" s="21"/>
      <c r="BJ54" s="29"/>
      <c r="BK54" s="5"/>
      <c r="BL54" s="12"/>
    </row>
    <row r="55" spans="2:64" ht="15" thickBot="1" x14ac:dyDescent="0.35">
      <c r="N55" s="35" t="s">
        <v>12</v>
      </c>
      <c r="O55" s="30"/>
      <c r="P55" s="90"/>
      <c r="Q55" s="90"/>
      <c r="R55" s="39"/>
      <c r="S55" s="22"/>
      <c r="T55" s="15"/>
      <c r="U55" s="15"/>
      <c r="V55" s="15"/>
      <c r="W55" s="15"/>
      <c r="X55" s="16"/>
      <c r="Y55" s="19"/>
      <c r="Z55" s="14"/>
      <c r="AA55" s="14"/>
      <c r="AB55" s="14"/>
      <c r="AC55" s="15"/>
      <c r="AD55" s="39"/>
      <c r="AE55" s="13"/>
      <c r="AF55" s="14"/>
      <c r="AG55" s="14"/>
      <c r="AH55" s="14"/>
      <c r="AI55" s="15"/>
      <c r="AJ55" s="16"/>
      <c r="AK55" s="30"/>
      <c r="AL55" s="15"/>
      <c r="AM55" s="15"/>
      <c r="AN55" s="16"/>
      <c r="AO55" s="30"/>
      <c r="AP55" s="30"/>
      <c r="AQ55" s="15"/>
      <c r="AR55" s="16"/>
      <c r="AS55" s="22"/>
      <c r="AT55" s="30"/>
      <c r="AU55" s="15"/>
      <c r="AV55" s="16"/>
      <c r="AW55" s="22"/>
      <c r="AX55" s="30"/>
      <c r="AY55" s="15"/>
      <c r="AZ55" s="16"/>
      <c r="BA55" s="22"/>
      <c r="BB55" s="30"/>
      <c r="BC55" s="15"/>
      <c r="BD55" s="16"/>
      <c r="BE55" s="22"/>
      <c r="BF55" s="30"/>
      <c r="BG55" s="15"/>
      <c r="BH55" s="16"/>
      <c r="BI55" s="22"/>
      <c r="BJ55" s="30"/>
      <c r="BK55" s="15"/>
      <c r="BL55" s="16"/>
    </row>
    <row r="60" spans="2:64" ht="15" thickBot="1" x14ac:dyDescent="0.35">
      <c r="U60">
        <f>T13</f>
        <v>0</v>
      </c>
      <c r="V60" t="s">
        <v>33</v>
      </c>
    </row>
    <row r="61" spans="2:64" ht="15" thickBot="1" x14ac:dyDescent="0.35">
      <c r="B61" s="59" t="s">
        <v>44</v>
      </c>
      <c r="C61" s="60"/>
      <c r="D61" s="61"/>
      <c r="E61" s="47"/>
      <c r="F61" s="47"/>
      <c r="I61" s="47"/>
      <c r="J61" s="47"/>
      <c r="K61" s="47"/>
      <c r="O61" t="s">
        <v>161</v>
      </c>
    </row>
    <row r="62" spans="2:64" ht="15" thickBot="1" x14ac:dyDescent="0.35">
      <c r="B62" s="73" t="str">
        <f>V62</f>
        <v>D, см</v>
      </c>
      <c r="C62" s="74" t="str">
        <f>W62</f>
        <v>h, м</v>
      </c>
      <c r="D62" s="75" t="str">
        <f>X62</f>
        <v>A, лет</v>
      </c>
      <c r="E62" s="47"/>
      <c r="F62" s="47"/>
      <c r="I62" s="47"/>
      <c r="J62" s="47"/>
      <c r="K62" s="47"/>
      <c r="O62" s="115"/>
      <c r="P62" s="116"/>
      <c r="Q62" s="116"/>
      <c r="R62" s="116"/>
      <c r="S62" s="116"/>
      <c r="T62" s="116"/>
      <c r="U62" s="116" t="s">
        <v>24</v>
      </c>
      <c r="V62" s="116" t="str">
        <f>AB19</f>
        <v>D, см</v>
      </c>
      <c r="W62" s="116" t="str">
        <f>AC19</f>
        <v>h, м</v>
      </c>
      <c r="X62" s="117" t="str">
        <f>AD19</f>
        <v>A, лет</v>
      </c>
    </row>
    <row r="63" spans="2:64" x14ac:dyDescent="0.3">
      <c r="B63" s="81" t="e">
        <f>V63*U63</f>
        <v>#DIV/0!</v>
      </c>
      <c r="C63" s="82">
        <f>W63*U63</f>
        <v>0.28627385768935354</v>
      </c>
      <c r="D63" s="83">
        <f>X63*U63</f>
        <v>2.0039186570558867</v>
      </c>
      <c r="E63" s="47"/>
      <c r="F63" s="85"/>
      <c r="H63" s="47"/>
      <c r="I63" s="47"/>
      <c r="J63" s="47"/>
      <c r="K63" s="47"/>
      <c r="O63" s="138">
        <f t="shared" ref="O63:O72" si="11">U63/$U$75*10</f>
        <v>0.11627921714436808</v>
      </c>
      <c r="P63" s="139"/>
      <c r="Q63" s="139"/>
      <c r="R63" s="47" t="str">
        <f>S18</f>
        <v>Сосна</v>
      </c>
      <c r="S63" s="47"/>
      <c r="T63" s="47"/>
      <c r="U63" s="123">
        <f>SUM(S52:U52)/(AE16*AE16*3.15/10000*1000)</f>
        <v>0.2862740938651267</v>
      </c>
      <c r="V63" s="139" t="e">
        <f>V52</f>
        <v>#DIV/0!</v>
      </c>
      <c r="W63" s="139">
        <f>W52</f>
        <v>0.99999917500123758</v>
      </c>
      <c r="X63" s="140">
        <f>X52</f>
        <v>7</v>
      </c>
      <c r="Y63" s="55"/>
    </row>
    <row r="64" spans="2:64" x14ac:dyDescent="0.3">
      <c r="B64" s="81" t="e">
        <f t="shared" ref="B64:B72" si="12">V64*U64</f>
        <v>#DIV/0!</v>
      </c>
      <c r="C64" s="82">
        <f t="shared" ref="C64:C72" si="13">W64*U64</f>
        <v>1.352643064548127E-6</v>
      </c>
      <c r="D64" s="83" t="e">
        <f t="shared" ref="D64:D72" si="14">X64*U64</f>
        <v>#DIV/0!</v>
      </c>
      <c r="E64" s="47"/>
      <c r="F64" s="85"/>
      <c r="H64" s="47"/>
      <c r="I64" s="47"/>
      <c r="J64" s="47"/>
      <c r="K64" s="47"/>
      <c r="O64" s="138">
        <f t="shared" si="11"/>
        <v>1.2209299486209419E-6</v>
      </c>
      <c r="P64" s="139"/>
      <c r="Q64" s="139"/>
      <c r="R64" s="47" t="str">
        <f>Y18</f>
        <v>Ель из подроста</v>
      </c>
      <c r="S64" s="47"/>
      <c r="T64" s="47"/>
      <c r="U64" s="123">
        <f>SUM(Y52:AA52)/(AE16*AE16*3.15/10000*1000)</f>
        <v>3.0058734767736153E-6</v>
      </c>
      <c r="V64" s="139" t="e">
        <f>AB52</f>
        <v>#DIV/0!</v>
      </c>
      <c r="W64" s="139">
        <f>AC52</f>
        <v>0.45</v>
      </c>
      <c r="X64" s="140" t="e">
        <f>AD52</f>
        <v>#DIV/0!</v>
      </c>
      <c r="Y64" s="55"/>
    </row>
    <row r="65" spans="2:25" x14ac:dyDescent="0.3">
      <c r="B65" s="81" t="e">
        <f t="shared" si="12"/>
        <v>#DIV/0!</v>
      </c>
      <c r="C65" s="82">
        <f t="shared" si="13"/>
        <v>2.4834242323786389</v>
      </c>
      <c r="D65" s="83">
        <f t="shared" si="14"/>
        <v>21.920386189716748</v>
      </c>
      <c r="E65" s="47"/>
      <c r="F65" s="47"/>
      <c r="G65" s="47"/>
      <c r="H65" s="47"/>
      <c r="I65" s="47"/>
      <c r="J65" s="47"/>
      <c r="K65" s="47"/>
      <c r="O65" s="138">
        <f t="shared" si="11"/>
        <v>0.93023245808547483</v>
      </c>
      <c r="P65" s="139"/>
      <c r="Q65" s="139"/>
      <c r="R65" s="47" t="str">
        <f>AE18</f>
        <v>ЕЛЬ лесные культуры</v>
      </c>
      <c r="S65" s="47"/>
      <c r="T65" s="47"/>
      <c r="U65" s="123">
        <f>SUM(AE52:AG52)/(AE16*AE16*3.15/10000*1000)</f>
        <v>2.2901896019107051</v>
      </c>
      <c r="V65" s="139" t="e">
        <f>AH52</f>
        <v>#DIV/0!</v>
      </c>
      <c r="W65" s="139">
        <f>AI52</f>
        <v>1.0843749488281311</v>
      </c>
      <c r="X65" s="140">
        <f>AJ52</f>
        <v>9.5714285714285712</v>
      </c>
      <c r="Y65" s="55"/>
    </row>
    <row r="66" spans="2:25" x14ac:dyDescent="0.3">
      <c r="B66" s="81" t="e">
        <f t="shared" si="12"/>
        <v>#DIV/0!</v>
      </c>
      <c r="C66" s="82">
        <f t="shared" si="13"/>
        <v>16.603872538368542</v>
      </c>
      <c r="D66" s="83">
        <f t="shared" si="14"/>
        <v>49.124560820414509</v>
      </c>
      <c r="E66" s="47"/>
      <c r="F66" s="47"/>
      <c r="G66" s="47"/>
      <c r="H66" s="47"/>
      <c r="I66" s="47"/>
      <c r="J66" s="47"/>
      <c r="K66" s="47"/>
      <c r="O66" s="138">
        <f t="shared" si="11"/>
        <v>2.5581389399676882</v>
      </c>
      <c r="P66" s="139"/>
      <c r="Q66" s="139"/>
      <c r="R66" s="47" t="str">
        <f>AK18</f>
        <v>Берёза</v>
      </c>
      <c r="S66" s="47"/>
      <c r="T66" s="47"/>
      <c r="U66" s="123">
        <f>AK52/(AE16*AE16*3.15/10000*1000)</f>
        <v>6.2980206180018605</v>
      </c>
      <c r="V66" s="139" t="e">
        <f>AL52</f>
        <v>#DIV/0!</v>
      </c>
      <c r="W66" s="139">
        <f>AM52</f>
        <v>2.6363636363636362</v>
      </c>
      <c r="X66" s="140">
        <f>AN52</f>
        <v>7.8</v>
      </c>
      <c r="Y66" s="55"/>
    </row>
    <row r="67" spans="2:25" x14ac:dyDescent="0.3">
      <c r="B67" s="81" t="e">
        <f t="shared" si="12"/>
        <v>#DIV/0!</v>
      </c>
      <c r="C67" s="82">
        <f t="shared" si="13"/>
        <v>17.920731394859843</v>
      </c>
      <c r="D67" s="83">
        <f t="shared" si="14"/>
        <v>47.864956696814147</v>
      </c>
      <c r="E67" s="47"/>
      <c r="F67" s="47"/>
      <c r="G67" s="47"/>
      <c r="H67" s="47"/>
      <c r="I67" s="47"/>
      <c r="J67" s="47"/>
      <c r="K67" s="47"/>
      <c r="O67" s="138">
        <f t="shared" si="11"/>
        <v>2.2093018117902758</v>
      </c>
      <c r="P67" s="139"/>
      <c r="Q67" s="139"/>
      <c r="R67" s="47" t="str">
        <f>AO18</f>
        <v>Осина</v>
      </c>
      <c r="S67" s="47"/>
      <c r="T67" s="47"/>
      <c r="U67" s="123">
        <f>AO52/(AE16*AE16*3.15/10000*1000)</f>
        <v>5.439199624637971</v>
      </c>
      <c r="V67" s="139" t="e">
        <f>AP52</f>
        <v>#DIV/0!</v>
      </c>
      <c r="W67" s="139">
        <f>AQ52</f>
        <v>3.2947368421052632</v>
      </c>
      <c r="X67" s="140">
        <f>AR52</f>
        <v>8.8000000000000007</v>
      </c>
      <c r="Y67" s="55"/>
    </row>
    <row r="68" spans="2:25" x14ac:dyDescent="0.3">
      <c r="B68" s="81" t="e">
        <f t="shared" si="12"/>
        <v>#DIV/0!</v>
      </c>
      <c r="C68" s="82">
        <f t="shared" si="13"/>
        <v>0.77293889402750104</v>
      </c>
      <c r="D68" s="83">
        <f t="shared" si="14"/>
        <v>3.8646944701375054</v>
      </c>
      <c r="E68" s="47"/>
      <c r="F68" s="47"/>
      <c r="G68" s="47"/>
      <c r="H68" s="47"/>
      <c r="I68" s="47"/>
      <c r="J68" s="47"/>
      <c r="K68" s="47"/>
      <c r="O68" s="138">
        <f t="shared" si="11"/>
        <v>0.17441856408870599</v>
      </c>
      <c r="P68" s="139"/>
      <c r="Q68" s="139"/>
      <c r="R68" s="47" t="str">
        <f>AS18</f>
        <v>Ольха серая</v>
      </c>
      <c r="S68" s="47"/>
      <c r="T68" s="47"/>
      <c r="U68" s="123">
        <f>AS52/(AE16*AE16*3.15/10000*1000)</f>
        <v>0.42941049668194503</v>
      </c>
      <c r="V68" s="139" t="e">
        <f>AT52</f>
        <v>#DIV/0!</v>
      </c>
      <c r="W68" s="139">
        <f>AU52</f>
        <v>1.8</v>
      </c>
      <c r="X68" s="140">
        <f>AV52</f>
        <v>9</v>
      </c>
      <c r="Y68" s="55"/>
    </row>
    <row r="69" spans="2:25" x14ac:dyDescent="0.3">
      <c r="B69" s="81" t="e">
        <f t="shared" si="12"/>
        <v>#DIV/0!</v>
      </c>
      <c r="C69" s="82">
        <f t="shared" si="13"/>
        <v>2.2186208995233829</v>
      </c>
      <c r="D69" s="83">
        <f t="shared" si="14"/>
        <v>9.7333045914574221</v>
      </c>
      <c r="E69" s="47"/>
      <c r="F69" s="47"/>
      <c r="G69" s="47"/>
      <c r="H69" s="47"/>
      <c r="I69" s="47"/>
      <c r="J69" s="47"/>
      <c r="K69" s="47"/>
      <c r="O69" s="138">
        <f t="shared" si="11"/>
        <v>0.93023234180643188</v>
      </c>
      <c r="P69" s="139"/>
      <c r="Q69" s="139"/>
      <c r="R69" s="47" t="str">
        <f>AW18</f>
        <v>Ива</v>
      </c>
      <c r="S69" s="47"/>
      <c r="T69" s="47"/>
      <c r="U69" s="123">
        <f>AW52/(AE16*AE16*3.15/10000*1000)</f>
        <v>2.2901893156370403</v>
      </c>
      <c r="V69" s="139" t="e">
        <f>AX52</f>
        <v>#DIV/0!</v>
      </c>
      <c r="W69" s="139">
        <f>AY52</f>
        <v>0.96875000000000011</v>
      </c>
      <c r="X69" s="140">
        <f>AZ52</f>
        <v>4.25</v>
      </c>
      <c r="Y69" s="55"/>
    </row>
    <row r="70" spans="2:25" x14ac:dyDescent="0.3">
      <c r="B70" s="81" t="e">
        <f t="shared" si="12"/>
        <v>#DIV/0!</v>
      </c>
      <c r="C70" s="82">
        <f t="shared" si="13"/>
        <v>0</v>
      </c>
      <c r="D70" s="83" t="e">
        <f t="shared" si="14"/>
        <v>#DIV/0!</v>
      </c>
      <c r="E70" s="47"/>
      <c r="F70" s="47"/>
      <c r="G70" s="47"/>
      <c r="H70" s="47"/>
      <c r="I70" s="47"/>
      <c r="J70" s="47"/>
      <c r="K70" s="47"/>
      <c r="O70" s="138">
        <f t="shared" si="11"/>
        <v>4.0697664954031393E-7</v>
      </c>
      <c r="P70" s="139"/>
      <c r="Q70" s="139"/>
      <c r="R70" s="47" t="str">
        <f>BA18</f>
        <v>Чёрёмуха</v>
      </c>
      <c r="S70" s="47"/>
      <c r="T70" s="47"/>
      <c r="U70" s="123">
        <f>BA52/(AE16*AE16*3.15/10000*1000)</f>
        <v>1.001957825591205E-6</v>
      </c>
      <c r="V70" s="139" t="e">
        <f>BB52</f>
        <v>#DIV/0!</v>
      </c>
      <c r="W70" s="139">
        <f>BC52</f>
        <v>0</v>
      </c>
      <c r="X70" s="140" t="e">
        <f>BD52</f>
        <v>#DIV/0!</v>
      </c>
      <c r="Y70" s="55"/>
    </row>
    <row r="71" spans="2:25" x14ac:dyDescent="0.3">
      <c r="B71" s="81" t="e">
        <f t="shared" si="12"/>
        <v>#DIV/0!</v>
      </c>
      <c r="C71" s="82">
        <f t="shared" si="13"/>
        <v>0</v>
      </c>
      <c r="D71" s="83" t="e">
        <f t="shared" si="14"/>
        <v>#DIV/0!</v>
      </c>
      <c r="E71" s="47"/>
      <c r="F71" s="47"/>
      <c r="G71" s="47"/>
      <c r="H71" s="47"/>
      <c r="I71" s="47"/>
      <c r="J71" s="47"/>
      <c r="K71" s="47"/>
      <c r="O71" s="138">
        <f t="shared" si="11"/>
        <v>4.0697664954031393E-7</v>
      </c>
      <c r="P71" s="139"/>
      <c r="Q71" s="139"/>
      <c r="R71" s="47" t="str">
        <f>BE18</f>
        <v>Дуб</v>
      </c>
      <c r="S71" s="47"/>
      <c r="T71" s="47"/>
      <c r="U71" s="123">
        <f>BE52/(AE16*AE16*3.15/10000*1000)</f>
        <v>1.001957825591205E-6</v>
      </c>
      <c r="V71" s="139" t="e">
        <f>BF52</f>
        <v>#DIV/0!</v>
      </c>
      <c r="W71" s="139">
        <f>BG52</f>
        <v>0</v>
      </c>
      <c r="X71" s="140" t="e">
        <f>BH52</f>
        <v>#DIV/0!</v>
      </c>
      <c r="Y71" s="55"/>
    </row>
    <row r="72" spans="2:25" x14ac:dyDescent="0.3">
      <c r="B72" s="81" t="e">
        <f t="shared" si="12"/>
        <v>#DIV/0!</v>
      </c>
      <c r="C72" s="82">
        <f t="shared" si="13"/>
        <v>15.45877788055002</v>
      </c>
      <c r="D72" s="83">
        <f t="shared" si="14"/>
        <v>58.52251626208222</v>
      </c>
      <c r="E72" s="47"/>
      <c r="F72" s="47"/>
      <c r="G72" s="47"/>
      <c r="H72" s="47"/>
      <c r="I72" s="47"/>
      <c r="J72" s="47"/>
      <c r="K72" s="47"/>
      <c r="O72" s="138">
        <f t="shared" si="11"/>
        <v>3.0813946322338053</v>
      </c>
      <c r="P72" s="139"/>
      <c r="Q72" s="139"/>
      <c r="R72" s="47" t="str">
        <f>BI18</f>
        <v>Рябина</v>
      </c>
      <c r="S72" s="47"/>
      <c r="T72" s="47"/>
      <c r="U72" s="123">
        <f>BI52/(AE16*AE16*3.15/10000*1000)</f>
        <v>7.5862521080476952</v>
      </c>
      <c r="V72" s="139" t="e">
        <f>BJ52</f>
        <v>#DIV/0!</v>
      </c>
      <c r="W72" s="139">
        <f>BK52</f>
        <v>2.0377358490566038</v>
      </c>
      <c r="X72" s="140">
        <f>BL52</f>
        <v>7.7142857142857144</v>
      </c>
      <c r="Y72" s="55"/>
    </row>
    <row r="73" spans="2:25" x14ac:dyDescent="0.3">
      <c r="B73" s="62">
        <f>AC72*AA72</f>
        <v>0</v>
      </c>
      <c r="C73" s="71">
        <f>AI72*AG72</f>
        <v>0</v>
      </c>
      <c r="D73" s="63"/>
      <c r="E73" s="47"/>
      <c r="F73" s="47"/>
      <c r="G73" s="47"/>
      <c r="H73" s="47"/>
      <c r="I73" s="47"/>
      <c r="J73" s="47"/>
      <c r="K73" s="47"/>
      <c r="O73" s="118"/>
      <c r="P73" s="47"/>
      <c r="Q73" s="47"/>
      <c r="R73" s="47"/>
      <c r="S73" s="47"/>
      <c r="T73" s="47"/>
      <c r="U73" s="141"/>
      <c r="V73" s="141"/>
      <c r="W73" s="141"/>
      <c r="X73" s="140"/>
      <c r="Y73" s="55"/>
    </row>
    <row r="74" spans="2:25" x14ac:dyDescent="0.3">
      <c r="B74" s="62">
        <f>AC73*AA73</f>
        <v>0</v>
      </c>
      <c r="C74" s="71">
        <f>AI73*AG73</f>
        <v>0</v>
      </c>
      <c r="D74" s="63">
        <f>W73*U73</f>
        <v>0</v>
      </c>
      <c r="E74" s="47"/>
      <c r="F74" s="47"/>
      <c r="G74" s="47"/>
      <c r="H74" s="47"/>
      <c r="I74" s="47"/>
      <c r="J74" s="47"/>
      <c r="K74" s="47"/>
      <c r="O74" s="118"/>
      <c r="P74" s="47"/>
      <c r="Q74" s="47"/>
      <c r="R74" s="47"/>
      <c r="S74" s="47"/>
      <c r="T74" s="47"/>
      <c r="U74" s="141"/>
      <c r="V74" s="141"/>
      <c r="W74" s="141"/>
      <c r="X74" s="140"/>
      <c r="Y74" s="55"/>
    </row>
    <row r="75" spans="2:25" x14ac:dyDescent="0.3">
      <c r="B75" s="62">
        <f>AC74*AA74</f>
        <v>0</v>
      </c>
      <c r="C75" s="71">
        <f>AI74*AG74</f>
        <v>0</v>
      </c>
      <c r="D75" s="63">
        <f>W74*U74</f>
        <v>0</v>
      </c>
      <c r="E75" s="47"/>
      <c r="F75" s="47"/>
      <c r="G75" s="47"/>
      <c r="H75" s="47"/>
      <c r="I75" s="47"/>
      <c r="J75" s="47"/>
      <c r="K75" s="47"/>
      <c r="O75" s="142">
        <f>SUM(O63:O72)</f>
        <v>9.9999999999999982</v>
      </c>
      <c r="P75" s="143"/>
      <c r="Q75" s="143"/>
      <c r="R75" s="45" t="s">
        <v>27</v>
      </c>
      <c r="S75" s="45"/>
      <c r="T75" s="45"/>
      <c r="U75" s="144">
        <f>SUM(U63:U72)</f>
        <v>24.619540868571477</v>
      </c>
      <c r="V75" s="144" t="e">
        <f>SUM(B63:B72)/$U$75</f>
        <v>#DIV/0!</v>
      </c>
      <c r="W75" s="144">
        <f>SUM(C63:C72)/$U$75</f>
        <v>2.2642437301177365</v>
      </c>
      <c r="X75" s="145" t="e">
        <f>SUM(D63:D72)/$U$75</f>
        <v>#DIV/0!</v>
      </c>
      <c r="Y75" s="55"/>
    </row>
    <row r="76" spans="2:25" x14ac:dyDescent="0.3">
      <c r="B76" s="62">
        <f>AC75*AA75</f>
        <v>0</v>
      </c>
      <c r="C76" s="71">
        <f>AI75*AG75</f>
        <v>0</v>
      </c>
      <c r="D76" s="63"/>
      <c r="E76" s="47"/>
      <c r="F76" s="47"/>
      <c r="G76" s="47"/>
      <c r="H76" s="47"/>
      <c r="I76" s="47"/>
      <c r="J76" s="47"/>
      <c r="K76" s="47"/>
    </row>
    <row r="77" spans="2:25" ht="15" thickBot="1" x14ac:dyDescent="0.35">
      <c r="B77" s="64">
        <f>AC93*AA93</f>
        <v>0</v>
      </c>
      <c r="C77" s="72">
        <f>AI93*AG93</f>
        <v>0</v>
      </c>
      <c r="D77" s="66">
        <f>W93*U93</f>
        <v>0</v>
      </c>
      <c r="E77" s="47"/>
      <c r="F77" s="47"/>
      <c r="G77" s="47"/>
      <c r="H77" s="47"/>
      <c r="I77" s="47"/>
      <c r="J77" s="47"/>
      <c r="K77" s="47"/>
    </row>
  </sheetData>
  <mergeCells count="11">
    <mergeCell ref="AO18:AR18"/>
    <mergeCell ref="O18:R18"/>
    <mergeCell ref="S18:X18"/>
    <mergeCell ref="Y18:AD18"/>
    <mergeCell ref="AE18:AJ18"/>
    <mergeCell ref="AK18:AN18"/>
    <mergeCell ref="AS18:AV18"/>
    <mergeCell ref="AW18:AZ18"/>
    <mergeCell ref="BA18:BD18"/>
    <mergeCell ref="BE18:BH18"/>
    <mergeCell ref="BI18:BL18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BL77"/>
  <sheetViews>
    <sheetView zoomScale="80" zoomScaleNormal="80" workbookViewId="0">
      <pane xSplit="18" ySplit="19" topLeftCell="S62" activePane="bottomRight" state="frozen"/>
      <selection pane="topRight" activeCell="Q1" sqref="Q1"/>
      <selection pane="bottomLeft" activeCell="A11" sqref="A11"/>
      <selection pane="bottomRight" activeCell="BL27" sqref="BL27"/>
    </sheetView>
  </sheetViews>
  <sheetFormatPr defaultRowHeight="14.4" x14ac:dyDescent="0.3"/>
  <cols>
    <col min="2" max="2" width="16.109375" hidden="1" customWidth="1"/>
    <col min="3" max="3" width="17.5546875" hidden="1" customWidth="1"/>
    <col min="4" max="11" width="12.88671875" hidden="1" customWidth="1"/>
    <col min="18" max="18" width="11" customWidth="1"/>
    <col min="21" max="21" width="9" customWidth="1"/>
    <col min="34" max="56" width="9.88671875" bestFit="1" customWidth="1"/>
  </cols>
  <sheetData>
    <row r="1" spans="14:39" ht="15" thickBot="1" x14ac:dyDescent="0.35"/>
    <row r="2" spans="14:39" x14ac:dyDescent="0.3">
      <c r="V2" s="59"/>
      <c r="W2" s="67" t="s">
        <v>38</v>
      </c>
      <c r="X2" s="67"/>
      <c r="Y2" s="60"/>
      <c r="Z2" s="60"/>
      <c r="AA2" s="60"/>
      <c r="AB2" s="60"/>
      <c r="AC2" s="60"/>
      <c r="AD2" s="60"/>
      <c r="AE2" s="60">
        <v>8</v>
      </c>
      <c r="AF2" s="60" t="s">
        <v>142</v>
      </c>
      <c r="AG2" s="60"/>
      <c r="AH2" s="60"/>
      <c r="AI2" s="60"/>
      <c r="AJ2" s="60"/>
      <c r="AK2" s="60"/>
      <c r="AL2" s="60"/>
      <c r="AM2" s="61"/>
    </row>
    <row r="3" spans="14:39" x14ac:dyDescent="0.3">
      <c r="V3" s="62">
        <v>1</v>
      </c>
      <c r="W3" s="47" t="s">
        <v>158</v>
      </c>
      <c r="X3" s="47"/>
      <c r="Y3" s="47"/>
      <c r="Z3" s="47"/>
      <c r="AA3" s="47"/>
      <c r="AB3" s="47"/>
      <c r="AC3" s="47"/>
      <c r="AD3" s="47"/>
      <c r="AE3" s="47">
        <v>9</v>
      </c>
      <c r="AF3" s="47" t="s">
        <v>156</v>
      </c>
      <c r="AG3" s="47"/>
      <c r="AH3" s="47"/>
      <c r="AI3" s="47"/>
      <c r="AJ3" s="47"/>
      <c r="AK3" s="47"/>
      <c r="AL3" s="47"/>
      <c r="AM3" s="63"/>
    </row>
    <row r="4" spans="14:39" x14ac:dyDescent="0.3">
      <c r="V4" s="62">
        <v>2</v>
      </c>
      <c r="W4" s="47" t="s">
        <v>159</v>
      </c>
      <c r="X4" s="47"/>
      <c r="Y4" s="47"/>
      <c r="Z4" s="47"/>
      <c r="AA4" s="47"/>
      <c r="AB4" s="47"/>
      <c r="AC4" s="47"/>
      <c r="AD4" s="47"/>
      <c r="AE4" s="47">
        <v>10</v>
      </c>
      <c r="AF4" s="47" t="s">
        <v>157</v>
      </c>
      <c r="AG4" s="47"/>
      <c r="AH4" s="47"/>
      <c r="AI4" s="47"/>
      <c r="AJ4" s="47"/>
      <c r="AK4" s="47"/>
      <c r="AL4" s="47"/>
      <c r="AM4" s="63"/>
    </row>
    <row r="5" spans="14:39" x14ac:dyDescent="0.3">
      <c r="V5" s="62">
        <v>3</v>
      </c>
      <c r="W5" s="47" t="s">
        <v>34</v>
      </c>
      <c r="X5" s="47"/>
      <c r="Y5" s="47"/>
      <c r="Z5" s="47"/>
      <c r="AA5" s="47"/>
      <c r="AB5" s="47"/>
      <c r="AC5" s="47"/>
      <c r="AD5" s="47"/>
      <c r="AE5" s="47">
        <v>11</v>
      </c>
      <c r="AF5" s="47" t="s">
        <v>39</v>
      </c>
      <c r="AG5" s="47"/>
      <c r="AH5" s="47"/>
      <c r="AI5" s="47"/>
      <c r="AJ5" s="47"/>
      <c r="AK5" s="47"/>
      <c r="AL5" s="47"/>
      <c r="AM5" s="63"/>
    </row>
    <row r="6" spans="14:39" x14ac:dyDescent="0.3">
      <c r="V6" s="62">
        <v>4</v>
      </c>
      <c r="W6" s="47" t="s">
        <v>35</v>
      </c>
      <c r="X6" s="47"/>
      <c r="Y6" s="47"/>
      <c r="Z6" s="47"/>
      <c r="AA6" s="47"/>
      <c r="AB6" s="47"/>
      <c r="AC6" s="47"/>
      <c r="AD6" s="47"/>
      <c r="AE6" s="47">
        <v>12</v>
      </c>
      <c r="AF6" s="47" t="s">
        <v>40</v>
      </c>
      <c r="AG6" s="47"/>
      <c r="AH6" s="47"/>
      <c r="AI6" s="47"/>
      <c r="AJ6" s="47"/>
      <c r="AK6" s="47"/>
      <c r="AL6" s="47"/>
      <c r="AM6" s="63"/>
    </row>
    <row r="7" spans="14:39" x14ac:dyDescent="0.3">
      <c r="V7" s="62">
        <v>5</v>
      </c>
      <c r="W7" s="47" t="s">
        <v>36</v>
      </c>
      <c r="X7" s="47"/>
      <c r="Y7" s="47"/>
      <c r="Z7" s="47"/>
      <c r="AA7" s="47"/>
      <c r="AB7" s="47"/>
      <c r="AC7" s="47"/>
      <c r="AD7" s="47"/>
      <c r="AE7" s="47">
        <v>13</v>
      </c>
      <c r="AF7" s="47" t="s">
        <v>41</v>
      </c>
      <c r="AG7" s="47"/>
      <c r="AH7" s="47"/>
      <c r="AI7" s="47"/>
      <c r="AJ7" s="47"/>
      <c r="AK7" s="47"/>
      <c r="AL7" s="47"/>
      <c r="AM7" s="63"/>
    </row>
    <row r="8" spans="14:39" x14ac:dyDescent="0.3">
      <c r="V8" s="62">
        <v>6</v>
      </c>
      <c r="W8" s="47" t="s">
        <v>141</v>
      </c>
      <c r="X8" s="47"/>
      <c r="Y8" s="47"/>
      <c r="Z8" s="47"/>
      <c r="AA8" s="47"/>
      <c r="AB8" s="47"/>
      <c r="AC8" s="47"/>
      <c r="AD8" s="47"/>
      <c r="AE8" s="47">
        <v>14</v>
      </c>
      <c r="AF8" s="47"/>
      <c r="AG8" s="47"/>
      <c r="AH8" s="47"/>
      <c r="AI8" s="47"/>
      <c r="AJ8" s="47"/>
      <c r="AK8" s="47"/>
      <c r="AL8" s="47"/>
      <c r="AM8" s="63"/>
    </row>
    <row r="9" spans="14:39" ht="15" thickBot="1" x14ac:dyDescent="0.35">
      <c r="V9" s="64">
        <v>7</v>
      </c>
      <c r="W9" s="65" t="s">
        <v>37</v>
      </c>
      <c r="X9" s="65"/>
      <c r="Y9" s="65"/>
      <c r="Z9" s="65"/>
      <c r="AA9" s="65"/>
      <c r="AB9" s="65"/>
      <c r="AC9" s="65"/>
      <c r="AD9" s="65"/>
      <c r="AE9" s="65">
        <v>15</v>
      </c>
      <c r="AF9" s="65"/>
      <c r="AG9" s="65"/>
      <c r="AH9" s="65"/>
      <c r="AI9" s="65"/>
      <c r="AJ9" s="65"/>
      <c r="AK9" s="65"/>
      <c r="AL9" s="65"/>
      <c r="AM9" s="66"/>
    </row>
    <row r="13" spans="14:39" x14ac:dyDescent="0.3">
      <c r="N13" t="s">
        <v>32</v>
      </c>
      <c r="T13" s="45"/>
    </row>
    <row r="16" spans="14:39" x14ac:dyDescent="0.3">
      <c r="N16" s="46" t="s">
        <v>13</v>
      </c>
      <c r="S16">
        <v>1</v>
      </c>
      <c r="U16" s="45" t="s">
        <v>14</v>
      </c>
      <c r="V16" s="45">
        <v>151</v>
      </c>
      <c r="W16" s="45"/>
      <c r="X16" s="45" t="s">
        <v>15</v>
      </c>
      <c r="Y16" s="45">
        <v>8</v>
      </c>
      <c r="Z16" s="45" t="s">
        <v>16</v>
      </c>
      <c r="AA16" s="45">
        <v>1</v>
      </c>
      <c r="AB16" s="47"/>
      <c r="AC16" s="85" t="s">
        <v>45</v>
      </c>
      <c r="AE16" s="45">
        <v>1.78</v>
      </c>
      <c r="AG16" s="44" t="s">
        <v>28</v>
      </c>
      <c r="AI16" s="44"/>
    </row>
    <row r="17" spans="2:64" ht="15" thickBot="1" x14ac:dyDescent="0.35"/>
    <row r="18" spans="2:64" ht="15.6" thickTop="1" thickBot="1" x14ac:dyDescent="0.35">
      <c r="B18" s="59" t="s">
        <v>31</v>
      </c>
      <c r="C18" s="60"/>
      <c r="D18" s="60"/>
      <c r="E18" s="60"/>
      <c r="F18" s="60"/>
      <c r="G18" s="60"/>
      <c r="H18" s="60"/>
      <c r="I18" s="60"/>
      <c r="J18" s="60"/>
      <c r="K18" s="61"/>
      <c r="N18" s="1" t="s">
        <v>0</v>
      </c>
      <c r="O18" s="202" t="s">
        <v>1</v>
      </c>
      <c r="P18" s="194"/>
      <c r="Q18" s="194"/>
      <c r="R18" s="195"/>
      <c r="S18" s="193" t="s">
        <v>43</v>
      </c>
      <c r="T18" s="194"/>
      <c r="U18" s="194"/>
      <c r="V18" s="194"/>
      <c r="W18" s="194"/>
      <c r="X18" s="195"/>
      <c r="Y18" s="203" t="s">
        <v>17</v>
      </c>
      <c r="Z18" s="204"/>
      <c r="AA18" s="204"/>
      <c r="AB18" s="204"/>
      <c r="AC18" s="204"/>
      <c r="AD18" s="205"/>
      <c r="AE18" s="206" t="s">
        <v>18</v>
      </c>
      <c r="AF18" s="207"/>
      <c r="AG18" s="207"/>
      <c r="AH18" s="207"/>
      <c r="AI18" s="207"/>
      <c r="AJ18" s="208"/>
      <c r="AK18" s="193" t="s">
        <v>19</v>
      </c>
      <c r="AL18" s="194"/>
      <c r="AM18" s="194"/>
      <c r="AN18" s="195"/>
      <c r="AO18" s="193" t="s">
        <v>20</v>
      </c>
      <c r="AP18" s="194"/>
      <c r="AQ18" s="194"/>
      <c r="AR18" s="195"/>
      <c r="AS18" s="193" t="s">
        <v>21</v>
      </c>
      <c r="AT18" s="194"/>
      <c r="AU18" s="194"/>
      <c r="AV18" s="195"/>
      <c r="AW18" s="193" t="s">
        <v>26</v>
      </c>
      <c r="AX18" s="194"/>
      <c r="AY18" s="194"/>
      <c r="AZ18" s="195"/>
      <c r="BA18" s="193" t="s">
        <v>22</v>
      </c>
      <c r="BB18" s="194"/>
      <c r="BC18" s="194"/>
      <c r="BD18" s="195"/>
      <c r="BE18" s="193" t="s">
        <v>29</v>
      </c>
      <c r="BF18" s="194"/>
      <c r="BG18" s="194"/>
      <c r="BH18" s="195"/>
      <c r="BI18" s="193" t="s">
        <v>42</v>
      </c>
      <c r="BJ18" s="194"/>
      <c r="BK18" s="194"/>
      <c r="BL18" s="195"/>
    </row>
    <row r="19" spans="2:64" ht="21" thickBot="1" x14ac:dyDescent="0.35">
      <c r="B19" s="64" t="str">
        <f>Y18</f>
        <v>Ель из подроста</v>
      </c>
      <c r="C19" s="65" t="str">
        <f>AE18</f>
        <v>ЕЛЬ лесные культуры</v>
      </c>
      <c r="D19" s="65" t="str">
        <f>S18</f>
        <v>Сосна</v>
      </c>
      <c r="E19" s="65" t="str">
        <f>AK18</f>
        <v>Берёза</v>
      </c>
      <c r="F19" s="65" t="str">
        <f>AO18</f>
        <v>Осина</v>
      </c>
      <c r="G19" s="65" t="str">
        <f>AS18</f>
        <v>Ольха серая</v>
      </c>
      <c r="H19" s="65" t="str">
        <f>AW18</f>
        <v>Ива</v>
      </c>
      <c r="I19" s="65" t="str">
        <f>BA18</f>
        <v>Чёрёмуха</v>
      </c>
      <c r="J19" s="65" t="str">
        <f>BE18</f>
        <v>Дуб</v>
      </c>
      <c r="K19" s="66" t="str">
        <f>BI18</f>
        <v>Рябина</v>
      </c>
      <c r="L19" t="s">
        <v>46</v>
      </c>
      <c r="N19" s="31" t="s">
        <v>2</v>
      </c>
      <c r="O19" s="25" t="s">
        <v>3</v>
      </c>
      <c r="P19" s="86" t="s">
        <v>48</v>
      </c>
      <c r="Q19" s="86" t="s">
        <v>47</v>
      </c>
      <c r="R19" s="68" t="s">
        <v>4</v>
      </c>
      <c r="S19" s="41" t="s">
        <v>5</v>
      </c>
      <c r="T19" s="42" t="s">
        <v>6</v>
      </c>
      <c r="U19" s="42" t="s">
        <v>7</v>
      </c>
      <c r="V19" s="42" t="s">
        <v>23</v>
      </c>
      <c r="W19" s="43" t="s">
        <v>8</v>
      </c>
      <c r="X19" s="26" t="s">
        <v>9</v>
      </c>
      <c r="Y19" s="70" t="s">
        <v>5</v>
      </c>
      <c r="Z19" s="42" t="s">
        <v>6</v>
      </c>
      <c r="AA19" s="42" t="s">
        <v>7</v>
      </c>
      <c r="AB19" s="42" t="s">
        <v>23</v>
      </c>
      <c r="AC19" s="43" t="s">
        <v>8</v>
      </c>
      <c r="AD19" s="26" t="s">
        <v>9</v>
      </c>
      <c r="AE19" s="53" t="s">
        <v>5</v>
      </c>
      <c r="AF19" s="50" t="s">
        <v>6</v>
      </c>
      <c r="AG19" s="50" t="s">
        <v>7</v>
      </c>
      <c r="AH19" s="50" t="s">
        <v>23</v>
      </c>
      <c r="AI19" s="51" t="s">
        <v>8</v>
      </c>
      <c r="AJ19" s="54" t="s">
        <v>9</v>
      </c>
      <c r="AK19" s="49" t="s">
        <v>10</v>
      </c>
      <c r="AL19" s="50" t="s">
        <v>23</v>
      </c>
      <c r="AM19" s="51" t="s">
        <v>8</v>
      </c>
      <c r="AN19" s="52" t="s">
        <v>9</v>
      </c>
      <c r="AO19" s="25" t="s">
        <v>10</v>
      </c>
      <c r="AP19" s="42" t="s">
        <v>23</v>
      </c>
      <c r="AQ19" s="43" t="s">
        <v>8</v>
      </c>
      <c r="AR19" s="26" t="s">
        <v>9</v>
      </c>
      <c r="AS19" s="25" t="s">
        <v>10</v>
      </c>
      <c r="AT19" s="42" t="s">
        <v>23</v>
      </c>
      <c r="AU19" s="43" t="s">
        <v>8</v>
      </c>
      <c r="AV19" s="26" t="s">
        <v>9</v>
      </c>
      <c r="AW19" s="25" t="s">
        <v>10</v>
      </c>
      <c r="AX19" s="42" t="s">
        <v>23</v>
      </c>
      <c r="AY19" s="43" t="s">
        <v>8</v>
      </c>
      <c r="AZ19" s="26" t="s">
        <v>9</v>
      </c>
      <c r="BA19" s="25" t="s">
        <v>10</v>
      </c>
      <c r="BB19" s="42" t="s">
        <v>23</v>
      </c>
      <c r="BC19" s="43" t="s">
        <v>8</v>
      </c>
      <c r="BD19" s="26" t="s">
        <v>9</v>
      </c>
      <c r="BE19" s="25" t="s">
        <v>10</v>
      </c>
      <c r="BF19" s="42" t="s">
        <v>23</v>
      </c>
      <c r="BG19" s="43" t="s">
        <v>8</v>
      </c>
      <c r="BH19" s="26" t="s">
        <v>9</v>
      </c>
      <c r="BI19" s="25" t="s">
        <v>10</v>
      </c>
      <c r="BJ19" s="42" t="s">
        <v>23</v>
      </c>
      <c r="BK19" s="43" t="s">
        <v>8</v>
      </c>
      <c r="BL19" s="26" t="s">
        <v>9</v>
      </c>
    </row>
    <row r="20" spans="2:64" x14ac:dyDescent="0.3">
      <c r="B20" s="62">
        <f>AC20*AA20</f>
        <v>0</v>
      </c>
      <c r="C20" s="47">
        <f>AI20*AG20</f>
        <v>0</v>
      </c>
      <c r="D20" s="47">
        <f>W20*U20</f>
        <v>0</v>
      </c>
      <c r="E20" s="47">
        <f>AK20*AM20</f>
        <v>36</v>
      </c>
      <c r="F20" s="47">
        <f>AO20*AQ20</f>
        <v>6.8</v>
      </c>
      <c r="G20" s="47">
        <f>AS20*AU20</f>
        <v>0</v>
      </c>
      <c r="H20" s="47">
        <f>AW20*AY20</f>
        <v>0</v>
      </c>
      <c r="I20" s="47">
        <f>BA20*BC20</f>
        <v>0</v>
      </c>
      <c r="J20" s="47">
        <f>BE20*BG20</f>
        <v>0</v>
      </c>
      <c r="K20" s="63">
        <f>BI20*BK20</f>
        <v>3.6</v>
      </c>
      <c r="L20" s="55">
        <f>SUM(S20:U20,Y20:AA20,AE20:AG20,AK20,AO20,AS20,AW20,BA20,BE20,BI20)/($AE$16*$AE$16*3.15/10000*1000)</f>
        <v>33.064620268003679</v>
      </c>
      <c r="N20" s="32">
        <v>1</v>
      </c>
      <c r="O20" s="27">
        <v>950</v>
      </c>
      <c r="P20" s="87" t="s">
        <v>175</v>
      </c>
      <c r="Q20" s="87" t="s">
        <v>182</v>
      </c>
      <c r="R20" s="69" t="s">
        <v>191</v>
      </c>
      <c r="S20" s="40">
        <v>9.9999999999999995E-7</v>
      </c>
      <c r="T20" s="40">
        <v>9.9999999999999995E-7</v>
      </c>
      <c r="U20" s="40">
        <v>9.9999999999999995E-7</v>
      </c>
      <c r="V20" s="40"/>
      <c r="W20" s="40"/>
      <c r="X20" s="24"/>
      <c r="Y20" s="40">
        <v>9.9999999999999995E-7</v>
      </c>
      <c r="Z20" s="40">
        <v>9.9999999999999995E-7</v>
      </c>
      <c r="AA20" s="40">
        <v>9.9999999999999995E-7</v>
      </c>
      <c r="AB20" s="6"/>
      <c r="AC20" s="7"/>
      <c r="AD20" s="36"/>
      <c r="AE20" s="40">
        <v>9.9999999999999995E-7</v>
      </c>
      <c r="AF20" s="40">
        <v>1</v>
      </c>
      <c r="AG20" s="40">
        <v>9.9999999999999995E-7</v>
      </c>
      <c r="AH20" s="6"/>
      <c r="AI20" s="7"/>
      <c r="AJ20" s="8">
        <v>8</v>
      </c>
      <c r="AK20" s="40">
        <v>24</v>
      </c>
      <c r="AL20" s="7"/>
      <c r="AM20" s="7">
        <v>1.5</v>
      </c>
      <c r="AN20" s="8">
        <v>6</v>
      </c>
      <c r="AO20" s="40">
        <v>4</v>
      </c>
      <c r="AP20" s="27"/>
      <c r="AQ20" s="40">
        <v>1.7</v>
      </c>
      <c r="AR20" s="24">
        <v>6</v>
      </c>
      <c r="AS20" s="40">
        <v>9.9999999999999995E-7</v>
      </c>
      <c r="AT20" s="27"/>
      <c r="AU20" s="40"/>
      <c r="AV20" s="24"/>
      <c r="AW20" s="40">
        <v>9.9999999999999995E-7</v>
      </c>
      <c r="AX20" s="27"/>
      <c r="AY20" s="40"/>
      <c r="AZ20" s="24"/>
      <c r="BA20" s="40">
        <v>9.9999999999999995E-7</v>
      </c>
      <c r="BB20" s="27"/>
      <c r="BC20" s="40"/>
      <c r="BD20" s="24"/>
      <c r="BE20" s="40">
        <v>9.9999999999999995E-7</v>
      </c>
      <c r="BF20" s="27"/>
      <c r="BG20" s="40"/>
      <c r="BH20" s="24"/>
      <c r="BI20" s="40">
        <v>4</v>
      </c>
      <c r="BJ20" s="27"/>
      <c r="BK20" s="40">
        <v>0.9</v>
      </c>
      <c r="BL20" s="24">
        <v>4</v>
      </c>
    </row>
    <row r="21" spans="2:64" x14ac:dyDescent="0.3">
      <c r="B21" s="62">
        <f t="shared" ref="B21:B51" si="0">AC21*AA21</f>
        <v>0</v>
      </c>
      <c r="C21" s="47">
        <f t="shared" ref="C21:C51" si="1">AI21*AG21</f>
        <v>0</v>
      </c>
      <c r="D21" s="47">
        <f t="shared" ref="D21:D51" si="2">W21*U21</f>
        <v>0</v>
      </c>
      <c r="E21" s="47">
        <f t="shared" ref="E21:E51" si="3">AK21*AM21</f>
        <v>1.8</v>
      </c>
      <c r="F21" s="47">
        <f t="shared" ref="F21:F51" si="4">AO21*AQ21</f>
        <v>49</v>
      </c>
      <c r="G21" s="47">
        <f t="shared" ref="G21:G51" si="5">AS21*AU21</f>
        <v>0</v>
      </c>
      <c r="H21" s="47">
        <f t="shared" ref="H21:H51" si="6">AW21*AY21</f>
        <v>0</v>
      </c>
      <c r="I21" s="47">
        <f t="shared" ref="I21:I51" si="7">BA21*BC21</f>
        <v>0</v>
      </c>
      <c r="J21" s="47">
        <f t="shared" ref="J21:J51" si="8">BE21*BG21</f>
        <v>0</v>
      </c>
      <c r="K21" s="63">
        <f t="shared" ref="K21:K51" si="9">BI21*BK21</f>
        <v>0</v>
      </c>
      <c r="L21" s="55">
        <f t="shared" ref="L21:L51" si="10">SUM(S21:U21,Y21:AA21,AE21:AG21,AK21,AO21,AS21,AW21,BA21,BE21,BI21)/($AE$16*$AE$16*3.15/10000*1000)</f>
        <v>12.023493907094462</v>
      </c>
      <c r="N21" s="33">
        <v>2</v>
      </c>
      <c r="O21" s="28">
        <v>95</v>
      </c>
      <c r="P21" s="88" t="s">
        <v>175</v>
      </c>
      <c r="Q21" s="88" t="s">
        <v>183</v>
      </c>
      <c r="R21" s="37" t="s">
        <v>191</v>
      </c>
      <c r="S21" s="20">
        <v>0</v>
      </c>
      <c r="T21" s="3">
        <v>0</v>
      </c>
      <c r="U21" s="3">
        <v>0</v>
      </c>
      <c r="V21" s="3"/>
      <c r="W21" s="3"/>
      <c r="X21" s="10"/>
      <c r="Y21" s="17"/>
      <c r="Z21" s="2"/>
      <c r="AA21" s="2"/>
      <c r="AB21" s="2"/>
      <c r="AC21" s="3"/>
      <c r="AD21" s="37"/>
      <c r="AE21" s="9">
        <v>0</v>
      </c>
      <c r="AF21" s="2">
        <v>1</v>
      </c>
      <c r="AG21" s="2">
        <v>0</v>
      </c>
      <c r="AH21" s="2"/>
      <c r="AI21" s="3"/>
      <c r="AJ21" s="10">
        <v>8</v>
      </c>
      <c r="AK21" s="28">
        <v>1</v>
      </c>
      <c r="AL21" s="3"/>
      <c r="AM21" s="3">
        <v>1.8</v>
      </c>
      <c r="AN21" s="10">
        <v>8</v>
      </c>
      <c r="AO21" s="28">
        <v>10</v>
      </c>
      <c r="AP21" s="28"/>
      <c r="AQ21" s="3">
        <v>4.9000000000000004</v>
      </c>
      <c r="AR21" s="10">
        <v>9</v>
      </c>
      <c r="AS21" s="20"/>
      <c r="AT21" s="28"/>
      <c r="AU21" s="3"/>
      <c r="AV21" s="10"/>
      <c r="AW21" s="20">
        <v>0</v>
      </c>
      <c r="AX21" s="28"/>
      <c r="AY21" s="3"/>
      <c r="AZ21" s="10"/>
      <c r="BA21" s="20"/>
      <c r="BB21" s="28"/>
      <c r="BC21" s="3"/>
      <c r="BD21" s="10"/>
      <c r="BE21" s="23"/>
      <c r="BF21" s="28"/>
      <c r="BG21" s="3"/>
      <c r="BH21" s="10"/>
      <c r="BI21" s="23">
        <v>0</v>
      </c>
      <c r="BJ21" s="28"/>
      <c r="BK21" s="3"/>
      <c r="BL21" s="10"/>
    </row>
    <row r="22" spans="2:64" x14ac:dyDescent="0.3">
      <c r="B22" s="62">
        <f t="shared" si="0"/>
        <v>0</v>
      </c>
      <c r="C22" s="47">
        <f t="shared" si="1"/>
        <v>0</v>
      </c>
      <c r="D22" s="47">
        <f t="shared" si="2"/>
        <v>0</v>
      </c>
      <c r="E22" s="47">
        <f t="shared" si="3"/>
        <v>4</v>
      </c>
      <c r="F22" s="47">
        <f t="shared" si="4"/>
        <v>10</v>
      </c>
      <c r="G22" s="47">
        <f t="shared" si="5"/>
        <v>0</v>
      </c>
      <c r="H22" s="47">
        <f t="shared" si="6"/>
        <v>0</v>
      </c>
      <c r="I22" s="47">
        <f t="shared" si="7"/>
        <v>0</v>
      </c>
      <c r="J22" s="47">
        <f t="shared" si="8"/>
        <v>0</v>
      </c>
      <c r="K22" s="63">
        <f t="shared" si="9"/>
        <v>0</v>
      </c>
      <c r="L22" s="55">
        <f t="shared" si="10"/>
        <v>10.019578255912052</v>
      </c>
      <c r="N22" s="33">
        <v>3</v>
      </c>
      <c r="O22" s="28">
        <v>952</v>
      </c>
      <c r="P22" s="88" t="s">
        <v>175</v>
      </c>
      <c r="Q22" s="88" t="s">
        <v>182</v>
      </c>
      <c r="R22" s="37" t="s">
        <v>192</v>
      </c>
      <c r="S22" s="20">
        <v>0</v>
      </c>
      <c r="T22" s="3">
        <v>0</v>
      </c>
      <c r="U22" s="3">
        <v>0</v>
      </c>
      <c r="V22" s="3"/>
      <c r="W22" s="3"/>
      <c r="X22" s="10"/>
      <c r="Y22" s="17"/>
      <c r="Z22" s="2"/>
      <c r="AA22" s="2"/>
      <c r="AB22" s="2"/>
      <c r="AC22" s="3"/>
      <c r="AD22" s="37"/>
      <c r="AE22" s="9">
        <v>0</v>
      </c>
      <c r="AF22" s="2">
        <v>1</v>
      </c>
      <c r="AG22" s="2">
        <v>0</v>
      </c>
      <c r="AH22" s="2"/>
      <c r="AI22" s="3"/>
      <c r="AJ22" s="10">
        <v>8</v>
      </c>
      <c r="AK22" s="28">
        <v>4</v>
      </c>
      <c r="AL22" s="3"/>
      <c r="AM22" s="3">
        <v>1</v>
      </c>
      <c r="AN22" s="10">
        <v>4</v>
      </c>
      <c r="AO22" s="28">
        <v>5</v>
      </c>
      <c r="AP22" s="28"/>
      <c r="AQ22" s="3">
        <v>2</v>
      </c>
      <c r="AR22" s="10">
        <v>8</v>
      </c>
      <c r="AS22" s="20"/>
      <c r="AT22" s="28"/>
      <c r="AU22" s="3"/>
      <c r="AV22" s="10"/>
      <c r="AW22" s="20">
        <v>0</v>
      </c>
      <c r="AX22" s="28"/>
      <c r="AY22" s="3"/>
      <c r="AZ22" s="10"/>
      <c r="BA22" s="20"/>
      <c r="BB22" s="28"/>
      <c r="BC22" s="3"/>
      <c r="BD22" s="10"/>
      <c r="BE22" s="23"/>
      <c r="BF22" s="28"/>
      <c r="BG22" s="3"/>
      <c r="BH22" s="10"/>
      <c r="BI22" s="23">
        <v>0</v>
      </c>
      <c r="BJ22" s="28"/>
      <c r="BK22" s="3"/>
      <c r="BL22" s="10"/>
    </row>
    <row r="23" spans="2:64" x14ac:dyDescent="0.3">
      <c r="B23" s="62">
        <f t="shared" si="0"/>
        <v>0</v>
      </c>
      <c r="C23" s="47">
        <f t="shared" si="1"/>
        <v>0</v>
      </c>
      <c r="D23" s="47">
        <f t="shared" si="2"/>
        <v>0</v>
      </c>
      <c r="E23" s="47">
        <f t="shared" si="3"/>
        <v>15</v>
      </c>
      <c r="F23" s="47">
        <f t="shared" si="4"/>
        <v>18</v>
      </c>
      <c r="G23" s="47">
        <f t="shared" si="5"/>
        <v>0</v>
      </c>
      <c r="H23" s="47">
        <f t="shared" si="6"/>
        <v>0</v>
      </c>
      <c r="I23" s="47">
        <f t="shared" si="7"/>
        <v>0</v>
      </c>
      <c r="J23" s="47">
        <f t="shared" si="8"/>
        <v>0</v>
      </c>
      <c r="K23" s="63">
        <f t="shared" si="9"/>
        <v>3</v>
      </c>
      <c r="L23" s="55">
        <f t="shared" si="10"/>
        <v>22.043072163006514</v>
      </c>
      <c r="N23" s="33">
        <v>4</v>
      </c>
      <c r="O23" s="27">
        <v>953</v>
      </c>
      <c r="P23" s="87" t="s">
        <v>175</v>
      </c>
      <c r="Q23" s="87" t="s">
        <v>177</v>
      </c>
      <c r="R23" s="37" t="s">
        <v>192</v>
      </c>
      <c r="S23" s="20">
        <v>0</v>
      </c>
      <c r="T23" s="3">
        <v>0</v>
      </c>
      <c r="U23" s="3">
        <v>0</v>
      </c>
      <c r="V23" s="3"/>
      <c r="W23" s="3"/>
      <c r="X23" s="10"/>
      <c r="Y23" s="17"/>
      <c r="Z23" s="2"/>
      <c r="AA23" s="2"/>
      <c r="AB23" s="2"/>
      <c r="AC23" s="3"/>
      <c r="AD23" s="37"/>
      <c r="AE23" s="9">
        <v>0</v>
      </c>
      <c r="AF23" s="2">
        <v>2</v>
      </c>
      <c r="AG23" s="2">
        <v>0</v>
      </c>
      <c r="AH23" s="2"/>
      <c r="AI23" s="3"/>
      <c r="AJ23" s="10">
        <v>8</v>
      </c>
      <c r="AK23" s="28">
        <v>6</v>
      </c>
      <c r="AL23" s="3"/>
      <c r="AM23" s="3">
        <v>2.5</v>
      </c>
      <c r="AN23" s="10">
        <v>7</v>
      </c>
      <c r="AO23" s="28">
        <v>9</v>
      </c>
      <c r="AP23" s="28"/>
      <c r="AQ23" s="3">
        <v>2</v>
      </c>
      <c r="AR23" s="10">
        <v>7</v>
      </c>
      <c r="AS23" s="20"/>
      <c r="AT23" s="28"/>
      <c r="AU23" s="3"/>
      <c r="AV23" s="10"/>
      <c r="AW23" s="20">
        <v>0</v>
      </c>
      <c r="AX23" s="28"/>
      <c r="AY23" s="3"/>
      <c r="AZ23" s="10"/>
      <c r="BA23" s="20"/>
      <c r="BB23" s="28"/>
      <c r="BC23" s="3"/>
      <c r="BD23" s="10"/>
      <c r="BE23" s="23"/>
      <c r="BF23" s="28"/>
      <c r="BG23" s="3"/>
      <c r="BH23" s="10"/>
      <c r="BI23" s="23">
        <v>5</v>
      </c>
      <c r="BJ23" s="28"/>
      <c r="BK23" s="3">
        <v>0.6</v>
      </c>
      <c r="BL23" s="10">
        <v>3</v>
      </c>
    </row>
    <row r="24" spans="2:64" x14ac:dyDescent="0.3">
      <c r="B24" s="62">
        <f t="shared" si="0"/>
        <v>0</v>
      </c>
      <c r="C24" s="47">
        <f t="shared" si="1"/>
        <v>0</v>
      </c>
      <c r="D24" s="47">
        <f t="shared" si="2"/>
        <v>1.8</v>
      </c>
      <c r="E24" s="47">
        <f t="shared" si="3"/>
        <v>13.5</v>
      </c>
      <c r="F24" s="47">
        <f t="shared" si="4"/>
        <v>3.2</v>
      </c>
      <c r="G24" s="47">
        <f t="shared" si="5"/>
        <v>0</v>
      </c>
      <c r="H24" s="47">
        <f t="shared" si="6"/>
        <v>0</v>
      </c>
      <c r="I24" s="47">
        <f t="shared" si="7"/>
        <v>0</v>
      </c>
      <c r="J24" s="47">
        <f t="shared" si="8"/>
        <v>0</v>
      </c>
      <c r="K24" s="63">
        <f t="shared" si="9"/>
        <v>0</v>
      </c>
      <c r="L24" s="55">
        <f t="shared" si="10"/>
        <v>10.019578255912052</v>
      </c>
      <c r="N24" s="33">
        <v>5</v>
      </c>
      <c r="O24" s="28">
        <v>954</v>
      </c>
      <c r="P24" s="88" t="s">
        <v>175</v>
      </c>
      <c r="Q24" s="88" t="s">
        <v>182</v>
      </c>
      <c r="R24" s="37"/>
      <c r="S24" s="20">
        <v>0</v>
      </c>
      <c r="T24" s="3">
        <v>0</v>
      </c>
      <c r="U24" s="3">
        <v>1</v>
      </c>
      <c r="V24" s="3"/>
      <c r="W24" s="3">
        <v>1.8</v>
      </c>
      <c r="X24" s="10">
        <v>7</v>
      </c>
      <c r="Y24" s="17"/>
      <c r="Z24" s="2"/>
      <c r="AA24" s="2"/>
      <c r="AB24" s="2"/>
      <c r="AC24" s="3"/>
      <c r="AD24" s="37"/>
      <c r="AE24" s="9">
        <v>0</v>
      </c>
      <c r="AF24" s="2">
        <v>2</v>
      </c>
      <c r="AG24" s="2">
        <v>0</v>
      </c>
      <c r="AH24" s="2"/>
      <c r="AI24" s="3"/>
      <c r="AJ24" s="10">
        <v>7</v>
      </c>
      <c r="AK24" s="28">
        <v>5</v>
      </c>
      <c r="AL24" s="3"/>
      <c r="AM24" s="3">
        <v>2.7</v>
      </c>
      <c r="AN24" s="10">
        <v>8</v>
      </c>
      <c r="AO24" s="28">
        <v>2</v>
      </c>
      <c r="AP24" s="28"/>
      <c r="AQ24" s="3">
        <v>1.6</v>
      </c>
      <c r="AR24" s="10">
        <v>7</v>
      </c>
      <c r="AS24" s="20"/>
      <c r="AT24" s="28"/>
      <c r="AU24" s="3"/>
      <c r="AV24" s="10"/>
      <c r="AW24" s="20">
        <v>0</v>
      </c>
      <c r="AX24" s="28"/>
      <c r="AY24" s="3"/>
      <c r="AZ24" s="10"/>
      <c r="BA24" s="20"/>
      <c r="BB24" s="28"/>
      <c r="BC24" s="3"/>
      <c r="BD24" s="10"/>
      <c r="BE24" s="23"/>
      <c r="BF24" s="28"/>
      <c r="BG24" s="3"/>
      <c r="BH24" s="10"/>
      <c r="BI24" s="20">
        <v>0</v>
      </c>
      <c r="BJ24" s="28"/>
      <c r="BK24" s="3"/>
      <c r="BL24" s="10"/>
    </row>
    <row r="25" spans="2:64" x14ac:dyDescent="0.3">
      <c r="B25" s="62">
        <f t="shared" si="0"/>
        <v>0</v>
      </c>
      <c r="C25" s="47">
        <f t="shared" si="1"/>
        <v>0</v>
      </c>
      <c r="D25" s="47">
        <f t="shared" si="2"/>
        <v>0</v>
      </c>
      <c r="E25" s="47">
        <f t="shared" si="3"/>
        <v>16.200000000000003</v>
      </c>
      <c r="F25" s="47">
        <f t="shared" si="4"/>
        <v>0</v>
      </c>
      <c r="G25" s="47">
        <f t="shared" si="5"/>
        <v>0</v>
      </c>
      <c r="H25" s="47">
        <f t="shared" si="6"/>
        <v>27</v>
      </c>
      <c r="I25" s="47">
        <f t="shared" si="7"/>
        <v>0</v>
      </c>
      <c r="J25" s="47">
        <f t="shared" si="8"/>
        <v>0</v>
      </c>
      <c r="K25" s="63">
        <f t="shared" si="9"/>
        <v>2.4</v>
      </c>
      <c r="L25" s="55">
        <f t="shared" si="10"/>
        <v>18.035240860641693</v>
      </c>
      <c r="N25" s="33">
        <v>6</v>
      </c>
      <c r="O25" s="28">
        <v>955</v>
      </c>
      <c r="P25" s="88" t="s">
        <v>175</v>
      </c>
      <c r="Q25" s="88" t="s">
        <v>165</v>
      </c>
      <c r="R25" s="37" t="s">
        <v>193</v>
      </c>
      <c r="S25" s="20">
        <v>0</v>
      </c>
      <c r="T25" s="3">
        <v>0</v>
      </c>
      <c r="U25" s="3">
        <v>0</v>
      </c>
      <c r="V25" s="3"/>
      <c r="W25" s="3"/>
      <c r="X25" s="10"/>
      <c r="Y25" s="17"/>
      <c r="Z25" s="2"/>
      <c r="AA25" s="2"/>
      <c r="AB25" s="2"/>
      <c r="AC25" s="3"/>
      <c r="AD25" s="37"/>
      <c r="AE25" s="9">
        <v>0</v>
      </c>
      <c r="AF25" s="2">
        <v>0</v>
      </c>
      <c r="AG25" s="2">
        <v>0</v>
      </c>
      <c r="AH25" s="2"/>
      <c r="AI25" s="3"/>
      <c r="AJ25" s="10"/>
      <c r="AK25" s="28">
        <v>6</v>
      </c>
      <c r="AL25" s="3"/>
      <c r="AM25" s="3">
        <v>2.7</v>
      </c>
      <c r="AN25" s="10">
        <v>8</v>
      </c>
      <c r="AO25" s="28">
        <v>0</v>
      </c>
      <c r="AP25" s="28"/>
      <c r="AQ25" s="3"/>
      <c r="AR25" s="10"/>
      <c r="AS25" s="20"/>
      <c r="AT25" s="28"/>
      <c r="AU25" s="3"/>
      <c r="AV25" s="10"/>
      <c r="AW25" s="20">
        <v>10</v>
      </c>
      <c r="AX25" s="28"/>
      <c r="AY25" s="3">
        <v>2.7</v>
      </c>
      <c r="AZ25" s="10">
        <v>8</v>
      </c>
      <c r="BA25" s="20"/>
      <c r="BB25" s="28"/>
      <c r="BC25" s="3"/>
      <c r="BD25" s="10"/>
      <c r="BE25" s="23"/>
      <c r="BF25" s="28"/>
      <c r="BG25" s="3"/>
      <c r="BH25" s="10"/>
      <c r="BI25" s="20">
        <v>2</v>
      </c>
      <c r="BJ25" s="28"/>
      <c r="BK25" s="3">
        <v>1.2</v>
      </c>
      <c r="BL25" s="10">
        <v>4</v>
      </c>
    </row>
    <row r="26" spans="2:64" x14ac:dyDescent="0.3">
      <c r="B26" s="62">
        <f t="shared" si="0"/>
        <v>0</v>
      </c>
      <c r="C26" s="47">
        <f t="shared" si="1"/>
        <v>1.6</v>
      </c>
      <c r="D26" s="47">
        <f t="shared" si="2"/>
        <v>0</v>
      </c>
      <c r="E26" s="47">
        <f t="shared" si="3"/>
        <v>12.4</v>
      </c>
      <c r="F26" s="47">
        <f t="shared" si="4"/>
        <v>48.1</v>
      </c>
      <c r="G26" s="47">
        <f t="shared" si="5"/>
        <v>0</v>
      </c>
      <c r="H26" s="47">
        <f t="shared" si="6"/>
        <v>2</v>
      </c>
      <c r="I26" s="47">
        <f t="shared" si="7"/>
        <v>0</v>
      </c>
      <c r="J26" s="47">
        <f t="shared" si="8"/>
        <v>0</v>
      </c>
      <c r="K26" s="63">
        <f t="shared" si="9"/>
        <v>0</v>
      </c>
      <c r="L26" s="55">
        <f t="shared" si="10"/>
        <v>19.037198686232898</v>
      </c>
      <c r="N26" s="33">
        <v>7</v>
      </c>
      <c r="O26" s="27">
        <v>956</v>
      </c>
      <c r="P26" s="87" t="s">
        <v>175</v>
      </c>
      <c r="Q26" s="87" t="s">
        <v>182</v>
      </c>
      <c r="R26" s="37" t="s">
        <v>191</v>
      </c>
      <c r="S26" s="20">
        <v>0</v>
      </c>
      <c r="T26" s="3">
        <v>0</v>
      </c>
      <c r="U26" s="3">
        <v>0</v>
      </c>
      <c r="V26" s="3"/>
      <c r="W26" s="3"/>
      <c r="X26" s="10"/>
      <c r="Y26" s="17"/>
      <c r="Z26" s="2"/>
      <c r="AA26" s="2"/>
      <c r="AB26" s="2"/>
      <c r="AC26" s="3"/>
      <c r="AD26" s="37"/>
      <c r="AE26" s="9">
        <v>0</v>
      </c>
      <c r="AF26" s="2">
        <v>0</v>
      </c>
      <c r="AG26" s="2">
        <v>1</v>
      </c>
      <c r="AH26" s="2"/>
      <c r="AI26" s="3">
        <v>1.6</v>
      </c>
      <c r="AJ26" s="10">
        <v>8</v>
      </c>
      <c r="AK26" s="28">
        <v>4</v>
      </c>
      <c r="AL26" s="3"/>
      <c r="AM26" s="3">
        <v>3.1</v>
      </c>
      <c r="AN26" s="10">
        <v>8</v>
      </c>
      <c r="AO26" s="28">
        <v>13</v>
      </c>
      <c r="AP26" s="28"/>
      <c r="AQ26" s="3">
        <v>3.7</v>
      </c>
      <c r="AR26" s="10">
        <v>8</v>
      </c>
      <c r="AS26" s="20"/>
      <c r="AT26" s="28"/>
      <c r="AU26" s="3"/>
      <c r="AV26" s="10"/>
      <c r="AW26" s="20">
        <v>1</v>
      </c>
      <c r="AX26" s="28"/>
      <c r="AY26" s="3">
        <v>2</v>
      </c>
      <c r="AZ26" s="10">
        <v>6</v>
      </c>
      <c r="BA26" s="20"/>
      <c r="BB26" s="28"/>
      <c r="BC26" s="3"/>
      <c r="BD26" s="10"/>
      <c r="BE26" s="23"/>
      <c r="BF26" s="28"/>
      <c r="BG26" s="3"/>
      <c r="BH26" s="10"/>
      <c r="BI26" s="20">
        <v>0</v>
      </c>
      <c r="BJ26" s="28"/>
      <c r="BK26" s="3"/>
      <c r="BL26" s="10"/>
    </row>
    <row r="27" spans="2:64" x14ac:dyDescent="0.3">
      <c r="B27" s="62">
        <f t="shared" si="0"/>
        <v>0</v>
      </c>
      <c r="C27" s="47">
        <f t="shared" si="1"/>
        <v>0</v>
      </c>
      <c r="D27" s="47">
        <f t="shared" si="2"/>
        <v>0</v>
      </c>
      <c r="E27" s="47">
        <f t="shared" si="3"/>
        <v>0</v>
      </c>
      <c r="F27" s="47">
        <f t="shared" si="4"/>
        <v>0</v>
      </c>
      <c r="G27" s="47">
        <f t="shared" si="5"/>
        <v>0</v>
      </c>
      <c r="H27" s="47">
        <f t="shared" si="6"/>
        <v>0</v>
      </c>
      <c r="I27" s="47">
        <f t="shared" si="7"/>
        <v>0</v>
      </c>
      <c r="J27" s="47">
        <f t="shared" si="8"/>
        <v>0</v>
      </c>
      <c r="K27" s="63">
        <f t="shared" si="9"/>
        <v>0</v>
      </c>
      <c r="L27" s="55">
        <f t="shared" si="10"/>
        <v>0</v>
      </c>
      <c r="N27" s="33">
        <v>8</v>
      </c>
      <c r="O27" s="28"/>
      <c r="P27" s="88"/>
      <c r="Q27" s="88"/>
      <c r="R27" s="37"/>
      <c r="S27" s="20"/>
      <c r="T27" s="3"/>
      <c r="U27" s="3"/>
      <c r="V27" s="3"/>
      <c r="W27" s="3"/>
      <c r="X27" s="10"/>
      <c r="Y27" s="17"/>
      <c r="Z27" s="2"/>
      <c r="AA27" s="2"/>
      <c r="AB27" s="2"/>
      <c r="AC27" s="3"/>
      <c r="AD27" s="37"/>
      <c r="AE27" s="9"/>
      <c r="AF27" s="2"/>
      <c r="AG27" s="2"/>
      <c r="AH27" s="2"/>
      <c r="AI27" s="3"/>
      <c r="AJ27" s="10"/>
      <c r="AK27" s="28"/>
      <c r="AL27" s="3"/>
      <c r="AM27" s="3"/>
      <c r="AN27" s="10"/>
      <c r="AO27" s="28"/>
      <c r="AP27" s="28"/>
      <c r="AQ27" s="3"/>
      <c r="AR27" s="10"/>
      <c r="AS27" s="20"/>
      <c r="AT27" s="28"/>
      <c r="AU27" s="3"/>
      <c r="AV27" s="10"/>
      <c r="AW27" s="20"/>
      <c r="AX27" s="28"/>
      <c r="AY27" s="3"/>
      <c r="AZ27" s="10"/>
      <c r="BA27" s="20"/>
      <c r="BB27" s="28"/>
      <c r="BC27" s="3"/>
      <c r="BD27" s="10"/>
      <c r="BE27" s="23"/>
      <c r="BF27" s="28"/>
      <c r="BG27" s="3"/>
      <c r="BH27" s="10"/>
      <c r="BI27" s="20"/>
      <c r="BJ27" s="28"/>
      <c r="BK27" s="3"/>
      <c r="BL27" s="10"/>
    </row>
    <row r="28" spans="2:64" x14ac:dyDescent="0.3">
      <c r="B28" s="62">
        <f t="shared" si="0"/>
        <v>0</v>
      </c>
      <c r="C28" s="47">
        <f t="shared" si="1"/>
        <v>0</v>
      </c>
      <c r="D28" s="47">
        <f t="shared" si="2"/>
        <v>0</v>
      </c>
      <c r="E28" s="47">
        <f t="shared" si="3"/>
        <v>0</v>
      </c>
      <c r="F28" s="47">
        <f t="shared" si="4"/>
        <v>0</v>
      </c>
      <c r="G28" s="47">
        <f t="shared" si="5"/>
        <v>0</v>
      </c>
      <c r="H28" s="47">
        <f t="shared" si="6"/>
        <v>0</v>
      </c>
      <c r="I28" s="47">
        <f t="shared" si="7"/>
        <v>0</v>
      </c>
      <c r="J28" s="47">
        <f t="shared" si="8"/>
        <v>0</v>
      </c>
      <c r="K28" s="63">
        <f t="shared" si="9"/>
        <v>0</v>
      </c>
      <c r="L28" s="55">
        <f t="shared" si="10"/>
        <v>0</v>
      </c>
      <c r="N28" s="33">
        <v>9</v>
      </c>
      <c r="O28" s="28"/>
      <c r="P28" s="88"/>
      <c r="Q28" s="88"/>
      <c r="R28" s="37"/>
      <c r="S28" s="20"/>
      <c r="T28" s="3"/>
      <c r="U28" s="3"/>
      <c r="V28" s="3"/>
      <c r="W28" s="3"/>
      <c r="X28" s="10"/>
      <c r="Y28" s="17"/>
      <c r="Z28" s="2"/>
      <c r="AA28" s="2"/>
      <c r="AB28" s="2"/>
      <c r="AC28" s="3"/>
      <c r="AD28" s="37"/>
      <c r="AE28" s="9"/>
      <c r="AF28" s="2"/>
      <c r="AG28" s="2"/>
      <c r="AH28" s="2"/>
      <c r="AI28" s="3"/>
      <c r="AJ28" s="10"/>
      <c r="AK28" s="28"/>
      <c r="AL28" s="3"/>
      <c r="AM28" s="3"/>
      <c r="AN28" s="10"/>
      <c r="AO28" s="28"/>
      <c r="AP28" s="28"/>
      <c r="AQ28" s="3"/>
      <c r="AR28" s="10"/>
      <c r="AS28" s="20"/>
      <c r="AT28" s="28"/>
      <c r="AU28" s="3"/>
      <c r="AV28" s="10"/>
      <c r="AW28" s="20"/>
      <c r="AX28" s="28"/>
      <c r="AY28" s="3"/>
      <c r="AZ28" s="10"/>
      <c r="BA28" s="20"/>
      <c r="BB28" s="28"/>
      <c r="BC28" s="3"/>
      <c r="BD28" s="10"/>
      <c r="BE28" s="23"/>
      <c r="BF28" s="28"/>
      <c r="BG28" s="3"/>
      <c r="BH28" s="10"/>
      <c r="BI28" s="20"/>
      <c r="BJ28" s="28"/>
      <c r="BK28" s="3"/>
      <c r="BL28" s="10"/>
    </row>
    <row r="29" spans="2:64" x14ac:dyDescent="0.3">
      <c r="B29" s="62">
        <f t="shared" si="0"/>
        <v>0</v>
      </c>
      <c r="C29" s="47">
        <f t="shared" si="1"/>
        <v>0</v>
      </c>
      <c r="D29" s="47">
        <f t="shared" si="2"/>
        <v>0</v>
      </c>
      <c r="E29" s="47">
        <f t="shared" si="3"/>
        <v>0</v>
      </c>
      <c r="F29" s="47">
        <f t="shared" si="4"/>
        <v>0</v>
      </c>
      <c r="G29" s="47">
        <f t="shared" si="5"/>
        <v>0</v>
      </c>
      <c r="H29" s="47">
        <f t="shared" si="6"/>
        <v>0</v>
      </c>
      <c r="I29" s="47">
        <f t="shared" si="7"/>
        <v>0</v>
      </c>
      <c r="J29" s="47">
        <f t="shared" si="8"/>
        <v>0</v>
      </c>
      <c r="K29" s="63">
        <f t="shared" si="9"/>
        <v>0</v>
      </c>
      <c r="L29" s="55">
        <f t="shared" si="10"/>
        <v>0</v>
      </c>
      <c r="N29" s="33">
        <v>10</v>
      </c>
      <c r="O29" s="27"/>
      <c r="P29" s="87"/>
      <c r="Q29" s="87"/>
      <c r="R29" s="37"/>
      <c r="S29" s="20"/>
      <c r="T29" s="3"/>
      <c r="U29" s="3"/>
      <c r="V29" s="3"/>
      <c r="W29" s="3"/>
      <c r="X29" s="10"/>
      <c r="Y29" s="17"/>
      <c r="Z29" s="2"/>
      <c r="AA29" s="2"/>
      <c r="AB29" s="2"/>
      <c r="AC29" s="3"/>
      <c r="AD29" s="37"/>
      <c r="AE29" s="9"/>
      <c r="AF29" s="2"/>
      <c r="AG29" s="2"/>
      <c r="AH29" s="2"/>
      <c r="AI29" s="3"/>
      <c r="AJ29" s="10"/>
      <c r="AK29" s="28"/>
      <c r="AL29" s="3"/>
      <c r="AM29" s="3"/>
      <c r="AN29" s="10"/>
      <c r="AO29" s="28"/>
      <c r="AP29" s="28"/>
      <c r="AQ29" s="3"/>
      <c r="AR29" s="10"/>
      <c r="AS29" s="20"/>
      <c r="AT29" s="28"/>
      <c r="AU29" s="3"/>
      <c r="AV29" s="10"/>
      <c r="AW29" s="20"/>
      <c r="AX29" s="28"/>
      <c r="AY29" s="3"/>
      <c r="AZ29" s="10"/>
      <c r="BA29" s="20"/>
      <c r="BB29" s="28"/>
      <c r="BC29" s="3"/>
      <c r="BD29" s="10"/>
      <c r="BE29" s="23"/>
      <c r="BF29" s="28"/>
      <c r="BG29" s="3"/>
      <c r="BH29" s="10"/>
      <c r="BI29" s="20"/>
      <c r="BJ29" s="28"/>
      <c r="BK29" s="3"/>
      <c r="BL29" s="10"/>
    </row>
    <row r="30" spans="2:64" x14ac:dyDescent="0.3">
      <c r="B30" s="62">
        <f t="shared" si="0"/>
        <v>0</v>
      </c>
      <c r="C30" s="47">
        <f t="shared" si="1"/>
        <v>0</v>
      </c>
      <c r="D30" s="47">
        <f t="shared" si="2"/>
        <v>0</v>
      </c>
      <c r="E30" s="47">
        <f t="shared" si="3"/>
        <v>0</v>
      </c>
      <c r="F30" s="47">
        <f t="shared" si="4"/>
        <v>0</v>
      </c>
      <c r="G30" s="47">
        <f t="shared" si="5"/>
        <v>0</v>
      </c>
      <c r="H30" s="47">
        <f t="shared" si="6"/>
        <v>0</v>
      </c>
      <c r="I30" s="47">
        <f t="shared" si="7"/>
        <v>0</v>
      </c>
      <c r="J30" s="47">
        <f t="shared" si="8"/>
        <v>0</v>
      </c>
      <c r="K30" s="63">
        <f t="shared" si="9"/>
        <v>0</v>
      </c>
      <c r="L30" s="55">
        <f t="shared" si="10"/>
        <v>0</v>
      </c>
      <c r="N30" s="33">
        <v>11</v>
      </c>
      <c r="O30" s="28"/>
      <c r="P30" s="88"/>
      <c r="Q30" s="88"/>
      <c r="R30" s="37"/>
      <c r="S30" s="20"/>
      <c r="T30" s="3"/>
      <c r="U30" s="3"/>
      <c r="V30" s="3"/>
      <c r="W30" s="3"/>
      <c r="X30" s="10"/>
      <c r="Y30" s="17"/>
      <c r="Z30" s="2"/>
      <c r="AA30" s="2"/>
      <c r="AB30" s="2"/>
      <c r="AC30" s="3"/>
      <c r="AD30" s="37"/>
      <c r="AE30" s="9"/>
      <c r="AF30" s="2"/>
      <c r="AG30" s="2"/>
      <c r="AH30" s="2"/>
      <c r="AI30" s="3"/>
      <c r="AJ30" s="10"/>
      <c r="AK30" s="28"/>
      <c r="AL30" s="3"/>
      <c r="AM30" s="3"/>
      <c r="AN30" s="10"/>
      <c r="AO30" s="28"/>
      <c r="AP30" s="28"/>
      <c r="AQ30" s="3"/>
      <c r="AR30" s="10"/>
      <c r="AS30" s="20"/>
      <c r="AT30" s="28"/>
      <c r="AU30" s="3"/>
      <c r="AV30" s="10"/>
      <c r="AW30" s="20"/>
      <c r="AX30" s="28"/>
      <c r="AY30" s="3"/>
      <c r="AZ30" s="10"/>
      <c r="BA30" s="20"/>
      <c r="BB30" s="28"/>
      <c r="BC30" s="3"/>
      <c r="BD30" s="10"/>
      <c r="BE30" s="23"/>
      <c r="BF30" s="28"/>
      <c r="BG30" s="3"/>
      <c r="BH30" s="10"/>
      <c r="BI30" s="20"/>
      <c r="BJ30" s="28"/>
      <c r="BK30" s="3"/>
      <c r="BL30" s="10"/>
    </row>
    <row r="31" spans="2:64" x14ac:dyDescent="0.3">
      <c r="B31" s="62">
        <f t="shared" si="0"/>
        <v>0</v>
      </c>
      <c r="C31" s="47">
        <f t="shared" si="1"/>
        <v>0</v>
      </c>
      <c r="D31" s="47">
        <f t="shared" si="2"/>
        <v>0</v>
      </c>
      <c r="E31" s="47">
        <f t="shared" si="3"/>
        <v>0</v>
      </c>
      <c r="F31" s="47">
        <f t="shared" si="4"/>
        <v>0</v>
      </c>
      <c r="G31" s="47">
        <f t="shared" si="5"/>
        <v>0</v>
      </c>
      <c r="H31" s="47">
        <f t="shared" si="6"/>
        <v>0</v>
      </c>
      <c r="I31" s="47">
        <f t="shared" si="7"/>
        <v>0</v>
      </c>
      <c r="J31" s="47">
        <f t="shared" si="8"/>
        <v>0</v>
      </c>
      <c r="K31" s="63">
        <f t="shared" si="9"/>
        <v>0</v>
      </c>
      <c r="L31" s="55">
        <f t="shared" si="10"/>
        <v>0</v>
      </c>
      <c r="N31" s="33">
        <v>12</v>
      </c>
      <c r="O31" s="28"/>
      <c r="P31" s="88"/>
      <c r="Q31" s="88"/>
      <c r="R31" s="37"/>
      <c r="S31" s="20"/>
      <c r="T31" s="3"/>
      <c r="U31" s="3"/>
      <c r="V31" s="3"/>
      <c r="W31" s="3"/>
      <c r="X31" s="10"/>
      <c r="Y31" s="17"/>
      <c r="Z31" s="2"/>
      <c r="AA31" s="2"/>
      <c r="AB31" s="2"/>
      <c r="AC31" s="3"/>
      <c r="AD31" s="37"/>
      <c r="AE31" s="9"/>
      <c r="AF31" s="2"/>
      <c r="AG31" s="2"/>
      <c r="AH31" s="2"/>
      <c r="AI31" s="3"/>
      <c r="AJ31" s="10"/>
      <c r="AK31" s="28"/>
      <c r="AL31" s="3"/>
      <c r="AM31" s="3"/>
      <c r="AN31" s="10"/>
      <c r="AO31" s="28"/>
      <c r="AP31" s="28"/>
      <c r="AQ31" s="3"/>
      <c r="AR31" s="10"/>
      <c r="AS31" s="20"/>
      <c r="AT31" s="28"/>
      <c r="AU31" s="3"/>
      <c r="AV31" s="10"/>
      <c r="AW31" s="20"/>
      <c r="AX31" s="28"/>
      <c r="AY31" s="3"/>
      <c r="AZ31" s="10"/>
      <c r="BA31" s="20"/>
      <c r="BB31" s="28"/>
      <c r="BC31" s="3"/>
      <c r="BD31" s="10"/>
      <c r="BE31" s="23"/>
      <c r="BF31" s="28"/>
      <c r="BG31" s="3"/>
      <c r="BH31" s="10"/>
      <c r="BI31" s="20"/>
      <c r="BJ31" s="28"/>
      <c r="BK31" s="3"/>
      <c r="BL31" s="10"/>
    </row>
    <row r="32" spans="2:64" x14ac:dyDescent="0.3">
      <c r="B32" s="62">
        <f t="shared" si="0"/>
        <v>0</v>
      </c>
      <c r="C32" s="47">
        <f t="shared" si="1"/>
        <v>0</v>
      </c>
      <c r="D32" s="47">
        <f t="shared" si="2"/>
        <v>0</v>
      </c>
      <c r="E32" s="47">
        <f t="shared" si="3"/>
        <v>0</v>
      </c>
      <c r="F32" s="47">
        <f t="shared" si="4"/>
        <v>0</v>
      </c>
      <c r="G32" s="47">
        <f t="shared" si="5"/>
        <v>0</v>
      </c>
      <c r="H32" s="47">
        <f t="shared" si="6"/>
        <v>0</v>
      </c>
      <c r="I32" s="47">
        <f t="shared" si="7"/>
        <v>0</v>
      </c>
      <c r="J32" s="47">
        <f t="shared" si="8"/>
        <v>0</v>
      </c>
      <c r="K32" s="63">
        <f t="shared" si="9"/>
        <v>0</v>
      </c>
      <c r="L32" s="55">
        <f t="shared" si="10"/>
        <v>0</v>
      </c>
      <c r="N32" s="33">
        <v>13</v>
      </c>
      <c r="O32" s="28"/>
      <c r="P32" s="88"/>
      <c r="Q32" s="88"/>
      <c r="R32" s="37"/>
      <c r="S32" s="20"/>
      <c r="T32" s="3"/>
      <c r="U32" s="3"/>
      <c r="V32" s="3"/>
      <c r="W32" s="3"/>
      <c r="X32" s="10"/>
      <c r="Y32" s="17"/>
      <c r="Z32" s="2"/>
      <c r="AA32" s="2"/>
      <c r="AB32" s="2"/>
      <c r="AC32" s="3"/>
      <c r="AD32" s="37"/>
      <c r="AE32" s="9"/>
      <c r="AF32" s="2"/>
      <c r="AG32" s="2"/>
      <c r="AH32" s="2"/>
      <c r="AI32" s="3"/>
      <c r="AJ32" s="10"/>
      <c r="AK32" s="28"/>
      <c r="AL32" s="3"/>
      <c r="AM32" s="3"/>
      <c r="AN32" s="10"/>
      <c r="AO32" s="28"/>
      <c r="AP32" s="28"/>
      <c r="AQ32" s="3"/>
      <c r="AR32" s="10"/>
      <c r="AS32" s="20"/>
      <c r="AT32" s="28"/>
      <c r="AU32" s="3"/>
      <c r="AV32" s="10"/>
      <c r="AW32" s="20"/>
      <c r="AX32" s="28"/>
      <c r="AY32" s="3"/>
      <c r="AZ32" s="10"/>
      <c r="BA32" s="20"/>
      <c r="BB32" s="28"/>
      <c r="BC32" s="3"/>
      <c r="BD32" s="10"/>
      <c r="BE32" s="23"/>
      <c r="BF32" s="28"/>
      <c r="BG32" s="3"/>
      <c r="BH32" s="10"/>
      <c r="BI32" s="20"/>
      <c r="BJ32" s="28"/>
      <c r="BK32" s="3"/>
      <c r="BL32" s="10"/>
    </row>
    <row r="33" spans="2:64" x14ac:dyDescent="0.3">
      <c r="B33" s="62">
        <f t="shared" si="0"/>
        <v>0</v>
      </c>
      <c r="C33" s="47">
        <f t="shared" si="1"/>
        <v>0</v>
      </c>
      <c r="D33" s="47">
        <f t="shared" si="2"/>
        <v>0</v>
      </c>
      <c r="E33" s="47">
        <f t="shared" si="3"/>
        <v>0</v>
      </c>
      <c r="F33" s="47">
        <f t="shared" si="4"/>
        <v>0</v>
      </c>
      <c r="G33" s="47">
        <f t="shared" si="5"/>
        <v>0</v>
      </c>
      <c r="H33" s="47">
        <f t="shared" si="6"/>
        <v>0</v>
      </c>
      <c r="I33" s="47">
        <f t="shared" si="7"/>
        <v>0</v>
      </c>
      <c r="J33" s="47">
        <f t="shared" si="8"/>
        <v>0</v>
      </c>
      <c r="K33" s="63">
        <f t="shared" si="9"/>
        <v>0</v>
      </c>
      <c r="L33" s="55">
        <f t="shared" si="10"/>
        <v>0</v>
      </c>
      <c r="N33" s="33">
        <v>14</v>
      </c>
      <c r="O33" s="28"/>
      <c r="P33" s="88"/>
      <c r="Q33" s="88"/>
      <c r="R33" s="37"/>
      <c r="S33" s="20"/>
      <c r="T33" s="3"/>
      <c r="U33" s="3"/>
      <c r="V33" s="3"/>
      <c r="W33" s="3"/>
      <c r="X33" s="10"/>
      <c r="Y33" s="17"/>
      <c r="Z33" s="2"/>
      <c r="AA33" s="2"/>
      <c r="AB33" s="2"/>
      <c r="AC33" s="3"/>
      <c r="AD33" s="37"/>
      <c r="AE33" s="9"/>
      <c r="AF33" s="2"/>
      <c r="AG33" s="2"/>
      <c r="AH33" s="2"/>
      <c r="AI33" s="3"/>
      <c r="AJ33" s="10"/>
      <c r="AK33" s="28"/>
      <c r="AL33" s="3"/>
      <c r="AM33" s="3"/>
      <c r="AN33" s="10"/>
      <c r="AO33" s="28"/>
      <c r="AP33" s="28"/>
      <c r="AQ33" s="3"/>
      <c r="AR33" s="10"/>
      <c r="AS33" s="20"/>
      <c r="AT33" s="28"/>
      <c r="AU33" s="3"/>
      <c r="AV33" s="10"/>
      <c r="AW33" s="20"/>
      <c r="AX33" s="28"/>
      <c r="AY33" s="3"/>
      <c r="AZ33" s="10"/>
      <c r="BA33" s="20"/>
      <c r="BB33" s="28"/>
      <c r="BC33" s="3"/>
      <c r="BD33" s="10"/>
      <c r="BE33" s="23"/>
      <c r="BF33" s="28"/>
      <c r="BG33" s="3"/>
      <c r="BH33" s="10"/>
      <c r="BI33" s="20"/>
      <c r="BJ33" s="28"/>
      <c r="BK33" s="3"/>
      <c r="BL33" s="10"/>
    </row>
    <row r="34" spans="2:64" x14ac:dyDescent="0.3">
      <c r="B34" s="62">
        <f t="shared" si="0"/>
        <v>0</v>
      </c>
      <c r="C34" s="47">
        <f t="shared" si="1"/>
        <v>0</v>
      </c>
      <c r="D34" s="47">
        <f t="shared" si="2"/>
        <v>0</v>
      </c>
      <c r="E34" s="47">
        <f t="shared" si="3"/>
        <v>0</v>
      </c>
      <c r="F34" s="47">
        <f t="shared" si="4"/>
        <v>0</v>
      </c>
      <c r="G34" s="47">
        <f t="shared" si="5"/>
        <v>0</v>
      </c>
      <c r="H34" s="47">
        <f t="shared" si="6"/>
        <v>0</v>
      </c>
      <c r="I34" s="47">
        <f t="shared" si="7"/>
        <v>0</v>
      </c>
      <c r="J34" s="47">
        <f t="shared" si="8"/>
        <v>0</v>
      </c>
      <c r="K34" s="63">
        <f t="shared" si="9"/>
        <v>0</v>
      </c>
      <c r="L34" s="55">
        <f t="shared" si="10"/>
        <v>0</v>
      </c>
      <c r="N34" s="33">
        <v>15</v>
      </c>
      <c r="O34" s="28"/>
      <c r="P34" s="88"/>
      <c r="Q34" s="88"/>
      <c r="R34" s="37"/>
      <c r="S34" s="20"/>
      <c r="T34" s="3"/>
      <c r="U34" s="3"/>
      <c r="V34" s="3"/>
      <c r="W34" s="3"/>
      <c r="X34" s="10"/>
      <c r="Y34" s="17"/>
      <c r="Z34" s="2"/>
      <c r="AA34" s="2"/>
      <c r="AB34" s="2"/>
      <c r="AC34" s="3"/>
      <c r="AD34" s="37"/>
      <c r="AE34" s="9"/>
      <c r="AF34" s="2"/>
      <c r="AG34" s="2"/>
      <c r="AH34" s="2"/>
      <c r="AI34" s="3"/>
      <c r="AJ34" s="10"/>
      <c r="AK34" s="28"/>
      <c r="AL34" s="3"/>
      <c r="AM34" s="3"/>
      <c r="AN34" s="10"/>
      <c r="AO34" s="28"/>
      <c r="AP34" s="28"/>
      <c r="AQ34" s="3"/>
      <c r="AR34" s="10"/>
      <c r="AS34" s="20"/>
      <c r="AT34" s="28"/>
      <c r="AU34" s="3"/>
      <c r="AV34" s="10"/>
      <c r="AW34" s="20"/>
      <c r="AX34" s="28"/>
      <c r="AY34" s="3"/>
      <c r="AZ34" s="10"/>
      <c r="BA34" s="20"/>
      <c r="BB34" s="28"/>
      <c r="BC34" s="3"/>
      <c r="BD34" s="10"/>
      <c r="BE34" s="23"/>
      <c r="BF34" s="28"/>
      <c r="BG34" s="3"/>
      <c r="BH34" s="10"/>
      <c r="BI34" s="20"/>
      <c r="BJ34" s="28"/>
      <c r="BK34" s="3"/>
      <c r="BL34" s="10"/>
    </row>
    <row r="35" spans="2:64" x14ac:dyDescent="0.3">
      <c r="B35" s="62">
        <f t="shared" si="0"/>
        <v>0</v>
      </c>
      <c r="C35" s="47">
        <f t="shared" si="1"/>
        <v>0</v>
      </c>
      <c r="D35" s="47">
        <f t="shared" si="2"/>
        <v>0</v>
      </c>
      <c r="E35" s="47">
        <f t="shared" si="3"/>
        <v>0</v>
      </c>
      <c r="F35" s="47">
        <f t="shared" si="4"/>
        <v>0</v>
      </c>
      <c r="G35" s="47">
        <f t="shared" si="5"/>
        <v>0</v>
      </c>
      <c r="H35" s="47">
        <f t="shared" si="6"/>
        <v>0</v>
      </c>
      <c r="I35" s="47">
        <f t="shared" si="7"/>
        <v>0</v>
      </c>
      <c r="J35" s="47">
        <f t="shared" si="8"/>
        <v>0</v>
      </c>
      <c r="K35" s="63">
        <f t="shared" si="9"/>
        <v>0</v>
      </c>
      <c r="L35" s="55">
        <f t="shared" si="10"/>
        <v>0</v>
      </c>
      <c r="N35" s="33">
        <v>16</v>
      </c>
      <c r="O35" s="28"/>
      <c r="P35" s="88"/>
      <c r="Q35" s="88"/>
      <c r="R35" s="37"/>
      <c r="S35" s="20"/>
      <c r="T35" s="3"/>
      <c r="U35" s="3"/>
      <c r="V35" s="3"/>
      <c r="W35" s="3"/>
      <c r="X35" s="10"/>
      <c r="Y35" s="17"/>
      <c r="Z35" s="2"/>
      <c r="AA35" s="2"/>
      <c r="AB35" s="2"/>
      <c r="AC35" s="3"/>
      <c r="AD35" s="37"/>
      <c r="AE35" s="9"/>
      <c r="AF35" s="2"/>
      <c r="AG35" s="2"/>
      <c r="AH35" s="2"/>
      <c r="AI35" s="3"/>
      <c r="AJ35" s="10"/>
      <c r="AK35" s="28"/>
      <c r="AL35" s="3"/>
      <c r="AM35" s="3"/>
      <c r="AN35" s="10"/>
      <c r="AO35" s="28"/>
      <c r="AP35" s="28"/>
      <c r="AQ35" s="3"/>
      <c r="AR35" s="10"/>
      <c r="AS35" s="20"/>
      <c r="AT35" s="28"/>
      <c r="AU35" s="3"/>
      <c r="AV35" s="10"/>
      <c r="AW35" s="20"/>
      <c r="AX35" s="28"/>
      <c r="AY35" s="3"/>
      <c r="AZ35" s="10"/>
      <c r="BA35" s="20"/>
      <c r="BB35" s="28"/>
      <c r="BC35" s="3"/>
      <c r="BD35" s="10"/>
      <c r="BE35" s="23"/>
      <c r="BF35" s="28"/>
      <c r="BG35" s="3"/>
      <c r="BH35" s="10"/>
      <c r="BI35" s="20"/>
      <c r="BJ35" s="28"/>
      <c r="BK35" s="3"/>
      <c r="BL35" s="10"/>
    </row>
    <row r="36" spans="2:64" x14ac:dyDescent="0.3">
      <c r="B36" s="62">
        <f t="shared" si="0"/>
        <v>0</v>
      </c>
      <c r="C36" s="47">
        <f t="shared" si="1"/>
        <v>0</v>
      </c>
      <c r="D36" s="47">
        <f t="shared" si="2"/>
        <v>0</v>
      </c>
      <c r="E36" s="47">
        <f t="shared" si="3"/>
        <v>0</v>
      </c>
      <c r="F36" s="47">
        <f t="shared" si="4"/>
        <v>0</v>
      </c>
      <c r="G36" s="47">
        <f t="shared" si="5"/>
        <v>0</v>
      </c>
      <c r="H36" s="47">
        <f t="shared" si="6"/>
        <v>0</v>
      </c>
      <c r="I36" s="47">
        <f t="shared" si="7"/>
        <v>0</v>
      </c>
      <c r="J36" s="47">
        <f t="shared" si="8"/>
        <v>0</v>
      </c>
      <c r="K36" s="63">
        <f t="shared" si="9"/>
        <v>0</v>
      </c>
      <c r="L36" s="55">
        <f t="shared" si="10"/>
        <v>0</v>
      </c>
      <c r="N36" s="33">
        <v>17</v>
      </c>
      <c r="O36" s="28"/>
      <c r="P36" s="88"/>
      <c r="Q36" s="88"/>
      <c r="R36" s="37"/>
      <c r="S36" s="20"/>
      <c r="T36" s="3"/>
      <c r="U36" s="3"/>
      <c r="V36" s="3"/>
      <c r="W36" s="3"/>
      <c r="X36" s="10"/>
      <c r="Y36" s="17"/>
      <c r="Z36" s="2"/>
      <c r="AA36" s="2"/>
      <c r="AB36" s="2"/>
      <c r="AC36" s="3"/>
      <c r="AD36" s="37"/>
      <c r="AE36" s="9"/>
      <c r="AF36" s="2"/>
      <c r="AG36" s="2"/>
      <c r="AH36" s="2"/>
      <c r="AI36" s="3"/>
      <c r="AJ36" s="10"/>
      <c r="AK36" s="28"/>
      <c r="AL36" s="3"/>
      <c r="AM36" s="3"/>
      <c r="AN36" s="10"/>
      <c r="AO36" s="28"/>
      <c r="AP36" s="28"/>
      <c r="AQ36" s="3"/>
      <c r="AR36" s="10"/>
      <c r="AS36" s="20"/>
      <c r="AT36" s="28"/>
      <c r="AU36" s="3"/>
      <c r="AV36" s="10"/>
      <c r="AW36" s="20"/>
      <c r="AX36" s="28"/>
      <c r="AY36" s="3"/>
      <c r="AZ36" s="10"/>
      <c r="BA36" s="20"/>
      <c r="BB36" s="28"/>
      <c r="BC36" s="3"/>
      <c r="BD36" s="10"/>
      <c r="BE36" s="23"/>
      <c r="BF36" s="28"/>
      <c r="BG36" s="3"/>
      <c r="BH36" s="10"/>
      <c r="BI36" s="20"/>
      <c r="BJ36" s="28"/>
      <c r="BK36" s="3"/>
      <c r="BL36" s="10"/>
    </row>
    <row r="37" spans="2:64" x14ac:dyDescent="0.3">
      <c r="B37" s="62">
        <f t="shared" si="0"/>
        <v>0</v>
      </c>
      <c r="C37" s="47">
        <f t="shared" si="1"/>
        <v>0</v>
      </c>
      <c r="D37" s="47">
        <f t="shared" si="2"/>
        <v>0</v>
      </c>
      <c r="E37" s="47">
        <f t="shared" si="3"/>
        <v>0</v>
      </c>
      <c r="F37" s="47">
        <f t="shared" si="4"/>
        <v>0</v>
      </c>
      <c r="G37" s="47">
        <f t="shared" si="5"/>
        <v>0</v>
      </c>
      <c r="H37" s="47">
        <f t="shared" si="6"/>
        <v>0</v>
      </c>
      <c r="I37" s="47">
        <f t="shared" si="7"/>
        <v>0</v>
      </c>
      <c r="J37" s="47">
        <f t="shared" si="8"/>
        <v>0</v>
      </c>
      <c r="K37" s="63">
        <f t="shared" si="9"/>
        <v>0</v>
      </c>
      <c r="L37" s="55">
        <f t="shared" si="10"/>
        <v>0</v>
      </c>
      <c r="N37" s="33">
        <v>18</v>
      </c>
      <c r="O37" s="28"/>
      <c r="P37" s="88"/>
      <c r="Q37" s="88"/>
      <c r="R37" s="37"/>
      <c r="S37" s="20"/>
      <c r="T37" s="3"/>
      <c r="U37" s="3"/>
      <c r="V37" s="3"/>
      <c r="W37" s="3"/>
      <c r="X37" s="10"/>
      <c r="Y37" s="17"/>
      <c r="Z37" s="2"/>
      <c r="AA37" s="2"/>
      <c r="AB37" s="2"/>
      <c r="AC37" s="3"/>
      <c r="AD37" s="37"/>
      <c r="AE37" s="9"/>
      <c r="AF37" s="2"/>
      <c r="AG37" s="2"/>
      <c r="AH37" s="2"/>
      <c r="AI37" s="3"/>
      <c r="AJ37" s="10"/>
      <c r="AK37" s="28"/>
      <c r="AL37" s="3"/>
      <c r="AM37" s="3"/>
      <c r="AN37" s="10"/>
      <c r="AO37" s="28"/>
      <c r="AP37" s="28"/>
      <c r="AQ37" s="3"/>
      <c r="AR37" s="10"/>
      <c r="AS37" s="20"/>
      <c r="AT37" s="28"/>
      <c r="AU37" s="3"/>
      <c r="AV37" s="10"/>
      <c r="AW37" s="20"/>
      <c r="AX37" s="28"/>
      <c r="AY37" s="3"/>
      <c r="AZ37" s="10"/>
      <c r="BA37" s="20"/>
      <c r="BB37" s="28"/>
      <c r="BC37" s="3"/>
      <c r="BD37" s="10"/>
      <c r="BE37" s="23"/>
      <c r="BF37" s="28"/>
      <c r="BG37" s="3"/>
      <c r="BH37" s="10"/>
      <c r="BI37" s="20"/>
      <c r="BJ37" s="28"/>
      <c r="BK37" s="3"/>
      <c r="BL37" s="10"/>
    </row>
    <row r="38" spans="2:64" x14ac:dyDescent="0.3">
      <c r="B38" s="62">
        <f t="shared" si="0"/>
        <v>0</v>
      </c>
      <c r="C38" s="47">
        <f t="shared" si="1"/>
        <v>0</v>
      </c>
      <c r="D38" s="47">
        <f t="shared" si="2"/>
        <v>0</v>
      </c>
      <c r="E38" s="47">
        <f t="shared" si="3"/>
        <v>0</v>
      </c>
      <c r="F38" s="47">
        <f t="shared" si="4"/>
        <v>0</v>
      </c>
      <c r="G38" s="47">
        <f t="shared" si="5"/>
        <v>0</v>
      </c>
      <c r="H38" s="47">
        <f t="shared" si="6"/>
        <v>0</v>
      </c>
      <c r="I38" s="47">
        <f t="shared" si="7"/>
        <v>0</v>
      </c>
      <c r="J38" s="47">
        <f t="shared" si="8"/>
        <v>0</v>
      </c>
      <c r="K38" s="63">
        <f t="shared" si="9"/>
        <v>0</v>
      </c>
      <c r="L38" s="55">
        <f t="shared" si="10"/>
        <v>0</v>
      </c>
      <c r="N38" s="33">
        <v>19</v>
      </c>
      <c r="O38" s="28"/>
      <c r="P38" s="88"/>
      <c r="Q38" s="88"/>
      <c r="R38" s="37"/>
      <c r="S38" s="20"/>
      <c r="T38" s="3"/>
      <c r="U38" s="3"/>
      <c r="V38" s="3"/>
      <c r="W38" s="3"/>
      <c r="X38" s="10"/>
      <c r="Y38" s="17"/>
      <c r="Z38" s="2"/>
      <c r="AA38" s="2"/>
      <c r="AB38" s="2"/>
      <c r="AC38" s="3"/>
      <c r="AD38" s="37"/>
      <c r="AE38" s="9"/>
      <c r="AF38" s="2"/>
      <c r="AG38" s="2"/>
      <c r="AH38" s="2"/>
      <c r="AI38" s="3"/>
      <c r="AJ38" s="10"/>
      <c r="AK38" s="28"/>
      <c r="AL38" s="3"/>
      <c r="AM38" s="3"/>
      <c r="AN38" s="10"/>
      <c r="AO38" s="28"/>
      <c r="AP38" s="28"/>
      <c r="AQ38" s="3"/>
      <c r="AR38" s="10"/>
      <c r="AS38" s="20"/>
      <c r="AT38" s="28"/>
      <c r="AU38" s="3"/>
      <c r="AV38" s="10"/>
      <c r="AW38" s="20"/>
      <c r="AX38" s="28"/>
      <c r="AY38" s="3"/>
      <c r="AZ38" s="10"/>
      <c r="BA38" s="20"/>
      <c r="BB38" s="28"/>
      <c r="BC38" s="3"/>
      <c r="BD38" s="10"/>
      <c r="BE38" s="23"/>
      <c r="BF38" s="28"/>
      <c r="BG38" s="3"/>
      <c r="BH38" s="10"/>
      <c r="BI38" s="20"/>
      <c r="BJ38" s="28"/>
      <c r="BK38" s="3"/>
      <c r="BL38" s="10"/>
    </row>
    <row r="39" spans="2:64" x14ac:dyDescent="0.3">
      <c r="B39" s="62">
        <f t="shared" si="0"/>
        <v>0</v>
      </c>
      <c r="C39" s="47">
        <f t="shared" si="1"/>
        <v>0</v>
      </c>
      <c r="D39" s="47">
        <f t="shared" si="2"/>
        <v>0</v>
      </c>
      <c r="E39" s="47">
        <f t="shared" si="3"/>
        <v>0</v>
      </c>
      <c r="F39" s="47">
        <f t="shared" si="4"/>
        <v>0</v>
      </c>
      <c r="G39" s="47">
        <f t="shared" si="5"/>
        <v>0</v>
      </c>
      <c r="H39" s="47">
        <f t="shared" si="6"/>
        <v>0</v>
      </c>
      <c r="I39" s="47">
        <f t="shared" si="7"/>
        <v>0</v>
      </c>
      <c r="J39" s="47">
        <f t="shared" si="8"/>
        <v>0</v>
      </c>
      <c r="K39" s="63">
        <f t="shared" si="9"/>
        <v>0</v>
      </c>
      <c r="L39" s="55">
        <f t="shared" si="10"/>
        <v>0</v>
      </c>
      <c r="N39" s="33">
        <v>20</v>
      </c>
      <c r="O39" s="28"/>
      <c r="P39" s="88"/>
      <c r="Q39" s="88"/>
      <c r="R39" s="37"/>
      <c r="S39" s="20"/>
      <c r="T39" s="3"/>
      <c r="U39" s="3"/>
      <c r="V39" s="3"/>
      <c r="W39" s="3"/>
      <c r="X39" s="10"/>
      <c r="Y39" s="17"/>
      <c r="Z39" s="2"/>
      <c r="AA39" s="2"/>
      <c r="AB39" s="2"/>
      <c r="AC39" s="3"/>
      <c r="AD39" s="37"/>
      <c r="AE39" s="9"/>
      <c r="AF39" s="2"/>
      <c r="AG39" s="2"/>
      <c r="AH39" s="2"/>
      <c r="AI39" s="3"/>
      <c r="AJ39" s="10"/>
      <c r="AK39" s="28"/>
      <c r="AL39" s="3"/>
      <c r="AM39" s="3"/>
      <c r="AN39" s="10"/>
      <c r="AO39" s="28"/>
      <c r="AP39" s="28"/>
      <c r="AQ39" s="3"/>
      <c r="AR39" s="10"/>
      <c r="AS39" s="20"/>
      <c r="AT39" s="28"/>
      <c r="AU39" s="3"/>
      <c r="AV39" s="10"/>
      <c r="AW39" s="20"/>
      <c r="AX39" s="28"/>
      <c r="AY39" s="3"/>
      <c r="AZ39" s="10"/>
      <c r="BA39" s="20"/>
      <c r="BB39" s="28"/>
      <c r="BC39" s="3"/>
      <c r="BD39" s="10"/>
      <c r="BE39" s="23"/>
      <c r="BF39" s="28"/>
      <c r="BG39" s="3"/>
      <c r="BH39" s="10"/>
      <c r="BI39" s="20"/>
      <c r="BJ39" s="28"/>
      <c r="BK39" s="3"/>
      <c r="BL39" s="10"/>
    </row>
    <row r="40" spans="2:64" x14ac:dyDescent="0.3">
      <c r="B40" s="62">
        <f t="shared" si="0"/>
        <v>0</v>
      </c>
      <c r="C40" s="47">
        <f t="shared" si="1"/>
        <v>0</v>
      </c>
      <c r="D40" s="47">
        <f t="shared" si="2"/>
        <v>0</v>
      </c>
      <c r="E40" s="47">
        <f t="shared" si="3"/>
        <v>0</v>
      </c>
      <c r="F40" s="47">
        <f t="shared" si="4"/>
        <v>0</v>
      </c>
      <c r="G40" s="47">
        <f t="shared" si="5"/>
        <v>0</v>
      </c>
      <c r="H40" s="47">
        <f t="shared" si="6"/>
        <v>0</v>
      </c>
      <c r="I40" s="47">
        <f t="shared" si="7"/>
        <v>0</v>
      </c>
      <c r="J40" s="47">
        <f t="shared" si="8"/>
        <v>0</v>
      </c>
      <c r="K40" s="63">
        <f t="shared" si="9"/>
        <v>0</v>
      </c>
      <c r="L40" s="55">
        <f t="shared" si="10"/>
        <v>0</v>
      </c>
      <c r="N40" s="33">
        <v>21</v>
      </c>
      <c r="O40" s="28"/>
      <c r="P40" s="88"/>
      <c r="Q40" s="88"/>
      <c r="R40" s="37"/>
      <c r="S40" s="20"/>
      <c r="T40" s="3"/>
      <c r="U40" s="3"/>
      <c r="V40" s="3"/>
      <c r="W40" s="3"/>
      <c r="X40" s="10"/>
      <c r="Y40" s="17"/>
      <c r="Z40" s="2"/>
      <c r="AA40" s="2"/>
      <c r="AB40" s="2"/>
      <c r="AC40" s="3"/>
      <c r="AD40" s="37"/>
      <c r="AE40" s="9"/>
      <c r="AF40" s="2"/>
      <c r="AG40" s="2"/>
      <c r="AH40" s="2"/>
      <c r="AI40" s="3"/>
      <c r="AJ40" s="10"/>
      <c r="AK40" s="28"/>
      <c r="AL40" s="3"/>
      <c r="AM40" s="3"/>
      <c r="AN40" s="10"/>
      <c r="AO40" s="28"/>
      <c r="AP40" s="28"/>
      <c r="AQ40" s="3"/>
      <c r="AR40" s="10"/>
      <c r="AS40" s="20"/>
      <c r="AT40" s="28"/>
      <c r="AU40" s="3"/>
      <c r="AV40" s="10"/>
      <c r="AW40" s="20"/>
      <c r="AX40" s="28"/>
      <c r="AY40" s="3"/>
      <c r="AZ40" s="10"/>
      <c r="BA40" s="20"/>
      <c r="BB40" s="28"/>
      <c r="BC40" s="3"/>
      <c r="BD40" s="10"/>
      <c r="BE40" s="23"/>
      <c r="BF40" s="28"/>
      <c r="BG40" s="3"/>
      <c r="BH40" s="10"/>
      <c r="BI40" s="20"/>
      <c r="BJ40" s="28"/>
      <c r="BK40" s="3"/>
      <c r="BL40" s="10"/>
    </row>
    <row r="41" spans="2:64" x14ac:dyDescent="0.3">
      <c r="B41" s="62">
        <f t="shared" si="0"/>
        <v>0</v>
      </c>
      <c r="C41" s="47">
        <f t="shared" si="1"/>
        <v>0</v>
      </c>
      <c r="D41" s="47">
        <f t="shared" si="2"/>
        <v>0</v>
      </c>
      <c r="E41" s="47">
        <f t="shared" si="3"/>
        <v>0</v>
      </c>
      <c r="F41" s="47">
        <f t="shared" si="4"/>
        <v>0</v>
      </c>
      <c r="G41" s="47">
        <f t="shared" si="5"/>
        <v>0</v>
      </c>
      <c r="H41" s="47">
        <f t="shared" si="6"/>
        <v>0</v>
      </c>
      <c r="I41" s="47">
        <f t="shared" si="7"/>
        <v>0</v>
      </c>
      <c r="J41" s="47">
        <f t="shared" si="8"/>
        <v>0</v>
      </c>
      <c r="K41" s="63">
        <f t="shared" si="9"/>
        <v>0</v>
      </c>
      <c r="L41" s="55">
        <f t="shared" si="10"/>
        <v>0</v>
      </c>
      <c r="N41" s="33">
        <v>22</v>
      </c>
      <c r="O41" s="28"/>
      <c r="P41" s="88"/>
      <c r="Q41" s="88"/>
      <c r="R41" s="37"/>
      <c r="S41" s="20"/>
      <c r="T41" s="3"/>
      <c r="U41" s="3"/>
      <c r="V41" s="3"/>
      <c r="W41" s="3"/>
      <c r="X41" s="10"/>
      <c r="Y41" s="17"/>
      <c r="Z41" s="2"/>
      <c r="AA41" s="2"/>
      <c r="AB41" s="2"/>
      <c r="AC41" s="3"/>
      <c r="AD41" s="37"/>
      <c r="AE41" s="9"/>
      <c r="AF41" s="2"/>
      <c r="AG41" s="2"/>
      <c r="AH41" s="2"/>
      <c r="AI41" s="3"/>
      <c r="AJ41" s="10"/>
      <c r="AK41" s="28"/>
      <c r="AL41" s="3"/>
      <c r="AM41" s="3"/>
      <c r="AN41" s="10"/>
      <c r="AO41" s="28"/>
      <c r="AP41" s="28"/>
      <c r="AQ41" s="3"/>
      <c r="AR41" s="10"/>
      <c r="AS41" s="20"/>
      <c r="AT41" s="28"/>
      <c r="AU41" s="3"/>
      <c r="AV41" s="10"/>
      <c r="AW41" s="20"/>
      <c r="AX41" s="28"/>
      <c r="AY41" s="3"/>
      <c r="AZ41" s="10"/>
      <c r="BA41" s="20"/>
      <c r="BB41" s="28"/>
      <c r="BC41" s="3"/>
      <c r="BD41" s="10"/>
      <c r="BE41" s="23"/>
      <c r="BF41" s="28"/>
      <c r="BG41" s="3"/>
      <c r="BH41" s="10"/>
      <c r="BI41" s="20"/>
      <c r="BJ41" s="28"/>
      <c r="BK41" s="3"/>
      <c r="BL41" s="10"/>
    </row>
    <row r="42" spans="2:64" x14ac:dyDescent="0.3">
      <c r="B42" s="62">
        <f t="shared" si="0"/>
        <v>0</v>
      </c>
      <c r="C42" s="47">
        <f t="shared" si="1"/>
        <v>0</v>
      </c>
      <c r="D42" s="47">
        <f t="shared" si="2"/>
        <v>0</v>
      </c>
      <c r="E42" s="47">
        <f t="shared" si="3"/>
        <v>0</v>
      </c>
      <c r="F42" s="47">
        <f t="shared" si="4"/>
        <v>0</v>
      </c>
      <c r="G42" s="47">
        <f t="shared" si="5"/>
        <v>0</v>
      </c>
      <c r="H42" s="47">
        <f t="shared" si="6"/>
        <v>0</v>
      </c>
      <c r="I42" s="47">
        <f t="shared" si="7"/>
        <v>0</v>
      </c>
      <c r="J42" s="47">
        <f t="shared" si="8"/>
        <v>0</v>
      </c>
      <c r="K42" s="63">
        <f t="shared" si="9"/>
        <v>0</v>
      </c>
      <c r="L42" s="55">
        <f t="shared" si="10"/>
        <v>0</v>
      </c>
      <c r="N42" s="33">
        <v>23</v>
      </c>
      <c r="O42" s="28"/>
      <c r="P42" s="88"/>
      <c r="Q42" s="88"/>
      <c r="R42" s="37"/>
      <c r="S42" s="20"/>
      <c r="T42" s="3"/>
      <c r="U42" s="3"/>
      <c r="V42" s="3"/>
      <c r="W42" s="3"/>
      <c r="X42" s="10"/>
      <c r="Y42" s="17"/>
      <c r="Z42" s="2"/>
      <c r="AA42" s="2"/>
      <c r="AB42" s="2"/>
      <c r="AC42" s="3"/>
      <c r="AD42" s="37"/>
      <c r="AE42" s="9"/>
      <c r="AF42" s="2"/>
      <c r="AG42" s="2"/>
      <c r="AH42" s="2"/>
      <c r="AI42" s="3"/>
      <c r="AJ42" s="10"/>
      <c r="AK42" s="28"/>
      <c r="AL42" s="3"/>
      <c r="AM42" s="3"/>
      <c r="AN42" s="10"/>
      <c r="AO42" s="28"/>
      <c r="AP42" s="28"/>
      <c r="AQ42" s="3"/>
      <c r="AR42" s="10"/>
      <c r="AS42" s="20"/>
      <c r="AT42" s="28"/>
      <c r="AU42" s="3"/>
      <c r="AV42" s="10"/>
      <c r="AW42" s="20"/>
      <c r="AX42" s="28"/>
      <c r="AY42" s="3"/>
      <c r="AZ42" s="10"/>
      <c r="BA42" s="20"/>
      <c r="BB42" s="28"/>
      <c r="BC42" s="3"/>
      <c r="BD42" s="10"/>
      <c r="BE42" s="23"/>
      <c r="BF42" s="28"/>
      <c r="BG42" s="3"/>
      <c r="BH42" s="10"/>
      <c r="BI42" s="20"/>
      <c r="BJ42" s="28"/>
      <c r="BK42" s="3"/>
      <c r="BL42" s="10"/>
    </row>
    <row r="43" spans="2:64" x14ac:dyDescent="0.3">
      <c r="B43" s="62">
        <f t="shared" si="0"/>
        <v>0</v>
      </c>
      <c r="C43" s="47">
        <f t="shared" si="1"/>
        <v>0</v>
      </c>
      <c r="D43" s="47">
        <f t="shared" si="2"/>
        <v>0</v>
      </c>
      <c r="E43" s="47">
        <f t="shared" si="3"/>
        <v>0</v>
      </c>
      <c r="F43" s="47">
        <f t="shared" si="4"/>
        <v>0</v>
      </c>
      <c r="G43" s="47">
        <f t="shared" si="5"/>
        <v>0</v>
      </c>
      <c r="H43" s="47">
        <f t="shared" si="6"/>
        <v>0</v>
      </c>
      <c r="I43" s="47">
        <f t="shared" si="7"/>
        <v>0</v>
      </c>
      <c r="J43" s="47">
        <f t="shared" si="8"/>
        <v>0</v>
      </c>
      <c r="K43" s="63">
        <f t="shared" si="9"/>
        <v>0</v>
      </c>
      <c r="L43" s="55">
        <f t="shared" si="10"/>
        <v>0</v>
      </c>
      <c r="N43" s="33">
        <v>24</v>
      </c>
      <c r="O43" s="28"/>
      <c r="P43" s="88"/>
      <c r="Q43" s="88"/>
      <c r="R43" s="37"/>
      <c r="S43" s="20"/>
      <c r="T43" s="3"/>
      <c r="U43" s="3"/>
      <c r="V43" s="3"/>
      <c r="W43" s="3"/>
      <c r="X43" s="10"/>
      <c r="Y43" s="17"/>
      <c r="Z43" s="2"/>
      <c r="AA43" s="2"/>
      <c r="AB43" s="2"/>
      <c r="AC43" s="3"/>
      <c r="AD43" s="37"/>
      <c r="AE43" s="9"/>
      <c r="AF43" s="2"/>
      <c r="AG43" s="2"/>
      <c r="AH43" s="2"/>
      <c r="AI43" s="3"/>
      <c r="AJ43" s="10"/>
      <c r="AK43" s="28"/>
      <c r="AL43" s="3"/>
      <c r="AM43" s="3"/>
      <c r="AN43" s="10"/>
      <c r="AO43" s="28"/>
      <c r="AP43" s="28"/>
      <c r="AQ43" s="3"/>
      <c r="AR43" s="10"/>
      <c r="AS43" s="20"/>
      <c r="AT43" s="28"/>
      <c r="AU43" s="3"/>
      <c r="AV43" s="10"/>
      <c r="AW43" s="20"/>
      <c r="AX43" s="28"/>
      <c r="AY43" s="3"/>
      <c r="AZ43" s="10"/>
      <c r="BA43" s="20"/>
      <c r="BB43" s="28"/>
      <c r="BC43" s="3"/>
      <c r="BD43" s="10"/>
      <c r="BE43" s="23"/>
      <c r="BF43" s="28"/>
      <c r="BG43" s="3"/>
      <c r="BH43" s="10"/>
      <c r="BI43" s="20"/>
      <c r="BJ43" s="28"/>
      <c r="BK43" s="3"/>
      <c r="BL43" s="10"/>
    </row>
    <row r="44" spans="2:64" x14ac:dyDescent="0.3">
      <c r="B44" s="62">
        <f t="shared" si="0"/>
        <v>0</v>
      </c>
      <c r="C44" s="47">
        <f t="shared" si="1"/>
        <v>0</v>
      </c>
      <c r="D44" s="47">
        <f t="shared" si="2"/>
        <v>0</v>
      </c>
      <c r="E44" s="47">
        <f t="shared" si="3"/>
        <v>0</v>
      </c>
      <c r="F44" s="47">
        <f t="shared" si="4"/>
        <v>0</v>
      </c>
      <c r="G44" s="47">
        <f t="shared" si="5"/>
        <v>0</v>
      </c>
      <c r="H44" s="47">
        <f t="shared" si="6"/>
        <v>0</v>
      </c>
      <c r="I44" s="47">
        <f t="shared" si="7"/>
        <v>0</v>
      </c>
      <c r="J44" s="47">
        <f t="shared" si="8"/>
        <v>0</v>
      </c>
      <c r="K44" s="63">
        <f t="shared" si="9"/>
        <v>0</v>
      </c>
      <c r="L44" s="55">
        <f t="shared" si="10"/>
        <v>0</v>
      </c>
      <c r="N44" s="33">
        <v>25</v>
      </c>
      <c r="O44" s="28"/>
      <c r="P44" s="88"/>
      <c r="Q44" s="88"/>
      <c r="R44" s="37"/>
      <c r="S44" s="20"/>
      <c r="T44" s="3"/>
      <c r="U44" s="3"/>
      <c r="V44" s="3"/>
      <c r="W44" s="3"/>
      <c r="X44" s="10"/>
      <c r="Y44" s="17"/>
      <c r="Z44" s="2"/>
      <c r="AA44" s="2"/>
      <c r="AB44" s="2"/>
      <c r="AC44" s="3"/>
      <c r="AD44" s="37"/>
      <c r="AE44" s="9"/>
      <c r="AF44" s="2"/>
      <c r="AG44" s="2"/>
      <c r="AH44" s="2"/>
      <c r="AI44" s="3"/>
      <c r="AJ44" s="10"/>
      <c r="AK44" s="28"/>
      <c r="AL44" s="3"/>
      <c r="AM44" s="3"/>
      <c r="AN44" s="10"/>
      <c r="AO44" s="28"/>
      <c r="AP44" s="28"/>
      <c r="AQ44" s="3"/>
      <c r="AR44" s="10"/>
      <c r="AS44" s="20"/>
      <c r="AT44" s="28"/>
      <c r="AU44" s="3"/>
      <c r="AV44" s="10"/>
      <c r="AW44" s="20"/>
      <c r="AX44" s="28"/>
      <c r="AY44" s="3"/>
      <c r="AZ44" s="10"/>
      <c r="BA44" s="20"/>
      <c r="BB44" s="28"/>
      <c r="BC44" s="3"/>
      <c r="BD44" s="10"/>
      <c r="BE44" s="23"/>
      <c r="BF44" s="28"/>
      <c r="BG44" s="3"/>
      <c r="BH44" s="10"/>
      <c r="BI44" s="20"/>
      <c r="BJ44" s="28"/>
      <c r="BK44" s="3"/>
      <c r="BL44" s="10"/>
    </row>
    <row r="45" spans="2:64" x14ac:dyDescent="0.3">
      <c r="B45" s="62">
        <f t="shared" si="0"/>
        <v>0</v>
      </c>
      <c r="C45" s="47">
        <f t="shared" si="1"/>
        <v>0</v>
      </c>
      <c r="D45" s="47">
        <f t="shared" si="2"/>
        <v>0</v>
      </c>
      <c r="E45" s="47">
        <f t="shared" si="3"/>
        <v>0</v>
      </c>
      <c r="F45" s="47">
        <f t="shared" si="4"/>
        <v>0</v>
      </c>
      <c r="G45" s="47">
        <f t="shared" si="5"/>
        <v>0</v>
      </c>
      <c r="H45" s="47">
        <f t="shared" si="6"/>
        <v>0</v>
      </c>
      <c r="I45" s="47">
        <f t="shared" si="7"/>
        <v>0</v>
      </c>
      <c r="J45" s="47">
        <f t="shared" si="8"/>
        <v>0</v>
      </c>
      <c r="K45" s="63">
        <f t="shared" si="9"/>
        <v>0</v>
      </c>
      <c r="L45" s="55">
        <f t="shared" si="10"/>
        <v>0</v>
      </c>
      <c r="N45" s="33">
        <v>26</v>
      </c>
      <c r="O45" s="28"/>
      <c r="P45" s="88"/>
      <c r="Q45" s="88"/>
      <c r="R45" s="37"/>
      <c r="S45" s="20"/>
      <c r="T45" s="3"/>
      <c r="U45" s="3"/>
      <c r="V45" s="3"/>
      <c r="W45" s="3"/>
      <c r="X45" s="10"/>
      <c r="Y45" s="17"/>
      <c r="Z45" s="2"/>
      <c r="AA45" s="2"/>
      <c r="AB45" s="2"/>
      <c r="AC45" s="3"/>
      <c r="AD45" s="37"/>
      <c r="AE45" s="9"/>
      <c r="AF45" s="2"/>
      <c r="AG45" s="2"/>
      <c r="AH45" s="2"/>
      <c r="AI45" s="3"/>
      <c r="AJ45" s="10"/>
      <c r="AK45" s="28"/>
      <c r="AL45" s="3"/>
      <c r="AM45" s="3"/>
      <c r="AN45" s="10"/>
      <c r="AO45" s="28"/>
      <c r="AP45" s="28"/>
      <c r="AQ45" s="3"/>
      <c r="AR45" s="10"/>
      <c r="AS45" s="20"/>
      <c r="AT45" s="28"/>
      <c r="AU45" s="3"/>
      <c r="AV45" s="10"/>
      <c r="AW45" s="20"/>
      <c r="AX45" s="28"/>
      <c r="AY45" s="3"/>
      <c r="AZ45" s="10"/>
      <c r="BA45" s="20"/>
      <c r="BB45" s="28"/>
      <c r="BC45" s="3"/>
      <c r="BD45" s="10"/>
      <c r="BE45" s="23"/>
      <c r="BF45" s="28"/>
      <c r="BG45" s="3"/>
      <c r="BH45" s="10"/>
      <c r="BI45" s="20"/>
      <c r="BJ45" s="28"/>
      <c r="BK45" s="3"/>
      <c r="BL45" s="10"/>
    </row>
    <row r="46" spans="2:64" x14ac:dyDescent="0.3">
      <c r="B46" s="62">
        <f t="shared" si="0"/>
        <v>0</v>
      </c>
      <c r="C46" s="47">
        <f t="shared" si="1"/>
        <v>0</v>
      </c>
      <c r="D46" s="47">
        <f t="shared" si="2"/>
        <v>0</v>
      </c>
      <c r="E46" s="47">
        <f t="shared" si="3"/>
        <v>0</v>
      </c>
      <c r="F46" s="47">
        <f t="shared" si="4"/>
        <v>0</v>
      </c>
      <c r="G46" s="47">
        <f t="shared" si="5"/>
        <v>0</v>
      </c>
      <c r="H46" s="47">
        <f t="shared" si="6"/>
        <v>0</v>
      </c>
      <c r="I46" s="47">
        <f t="shared" si="7"/>
        <v>0</v>
      </c>
      <c r="J46" s="47">
        <f t="shared" si="8"/>
        <v>0</v>
      </c>
      <c r="K46" s="63">
        <f t="shared" si="9"/>
        <v>0</v>
      </c>
      <c r="L46" s="55">
        <f t="shared" si="10"/>
        <v>0</v>
      </c>
      <c r="N46" s="33">
        <v>27</v>
      </c>
      <c r="O46" s="28"/>
      <c r="P46" s="88"/>
      <c r="Q46" s="88"/>
      <c r="R46" s="37"/>
      <c r="S46" s="20"/>
      <c r="T46" s="3"/>
      <c r="U46" s="3"/>
      <c r="V46" s="3"/>
      <c r="W46" s="3"/>
      <c r="X46" s="10"/>
      <c r="Y46" s="17"/>
      <c r="Z46" s="2"/>
      <c r="AA46" s="2"/>
      <c r="AB46" s="2"/>
      <c r="AC46" s="3"/>
      <c r="AD46" s="37"/>
      <c r="AE46" s="9"/>
      <c r="AF46" s="2"/>
      <c r="AG46" s="2"/>
      <c r="AH46" s="2"/>
      <c r="AI46" s="3"/>
      <c r="AJ46" s="10"/>
      <c r="AK46" s="28"/>
      <c r="AL46" s="3"/>
      <c r="AM46" s="3"/>
      <c r="AN46" s="10"/>
      <c r="AO46" s="28"/>
      <c r="AP46" s="28"/>
      <c r="AQ46" s="3"/>
      <c r="AR46" s="10"/>
      <c r="AS46" s="20"/>
      <c r="AT46" s="28"/>
      <c r="AU46" s="3"/>
      <c r="AV46" s="10"/>
      <c r="AW46" s="20"/>
      <c r="AX46" s="28"/>
      <c r="AY46" s="3"/>
      <c r="AZ46" s="10"/>
      <c r="BA46" s="20"/>
      <c r="BB46" s="28"/>
      <c r="BC46" s="3"/>
      <c r="BD46" s="10"/>
      <c r="BE46" s="23"/>
      <c r="BF46" s="28"/>
      <c r="BG46" s="3"/>
      <c r="BH46" s="10"/>
      <c r="BI46" s="20"/>
      <c r="BJ46" s="28"/>
      <c r="BK46" s="3"/>
      <c r="BL46" s="10"/>
    </row>
    <row r="47" spans="2:64" x14ac:dyDescent="0.3">
      <c r="B47" s="62">
        <f t="shared" si="0"/>
        <v>0</v>
      </c>
      <c r="C47" s="47">
        <f t="shared" si="1"/>
        <v>0</v>
      </c>
      <c r="D47" s="47">
        <f t="shared" si="2"/>
        <v>0</v>
      </c>
      <c r="E47" s="47">
        <f t="shared" si="3"/>
        <v>0</v>
      </c>
      <c r="F47" s="47">
        <f t="shared" si="4"/>
        <v>0</v>
      </c>
      <c r="G47" s="47">
        <f t="shared" si="5"/>
        <v>0</v>
      </c>
      <c r="H47" s="47">
        <f t="shared" si="6"/>
        <v>0</v>
      </c>
      <c r="I47" s="47">
        <f t="shared" si="7"/>
        <v>0</v>
      </c>
      <c r="J47" s="47">
        <f t="shared" si="8"/>
        <v>0</v>
      </c>
      <c r="K47" s="63">
        <f t="shared" si="9"/>
        <v>0</v>
      </c>
      <c r="L47" s="55">
        <f t="shared" si="10"/>
        <v>0</v>
      </c>
      <c r="N47" s="33">
        <v>28</v>
      </c>
      <c r="O47" s="28"/>
      <c r="P47" s="88"/>
      <c r="Q47" s="88"/>
      <c r="R47" s="37"/>
      <c r="S47" s="20"/>
      <c r="T47" s="3"/>
      <c r="U47" s="3"/>
      <c r="V47" s="3"/>
      <c r="W47" s="3"/>
      <c r="X47" s="10"/>
      <c r="Y47" s="17"/>
      <c r="Z47" s="2"/>
      <c r="AA47" s="2"/>
      <c r="AB47" s="2"/>
      <c r="AC47" s="3"/>
      <c r="AD47" s="37"/>
      <c r="AE47" s="9"/>
      <c r="AF47" s="2"/>
      <c r="AG47" s="2"/>
      <c r="AH47" s="2"/>
      <c r="AI47" s="3"/>
      <c r="AJ47" s="10"/>
      <c r="AK47" s="28"/>
      <c r="AL47" s="3"/>
      <c r="AM47" s="3"/>
      <c r="AN47" s="10"/>
      <c r="AO47" s="28"/>
      <c r="AP47" s="28"/>
      <c r="AQ47" s="3"/>
      <c r="AR47" s="10"/>
      <c r="AS47" s="20"/>
      <c r="AT47" s="28"/>
      <c r="AU47" s="3"/>
      <c r="AV47" s="10"/>
      <c r="AW47" s="20"/>
      <c r="AX47" s="28"/>
      <c r="AY47" s="3"/>
      <c r="AZ47" s="10"/>
      <c r="BA47" s="20"/>
      <c r="BB47" s="28"/>
      <c r="BC47" s="3"/>
      <c r="BD47" s="10"/>
      <c r="BE47" s="23"/>
      <c r="BF47" s="28"/>
      <c r="BG47" s="3"/>
      <c r="BH47" s="10"/>
      <c r="BI47" s="20"/>
      <c r="BJ47" s="28"/>
      <c r="BK47" s="3"/>
      <c r="BL47" s="10"/>
    </row>
    <row r="48" spans="2:64" x14ac:dyDescent="0.3">
      <c r="B48" s="62">
        <f t="shared" si="0"/>
        <v>0</v>
      </c>
      <c r="C48" s="47">
        <f t="shared" si="1"/>
        <v>0</v>
      </c>
      <c r="D48" s="47">
        <f t="shared" si="2"/>
        <v>0</v>
      </c>
      <c r="E48" s="47">
        <f t="shared" si="3"/>
        <v>0</v>
      </c>
      <c r="F48" s="47">
        <f t="shared" si="4"/>
        <v>0</v>
      </c>
      <c r="G48" s="47">
        <f t="shared" si="5"/>
        <v>0</v>
      </c>
      <c r="H48" s="47">
        <f t="shared" si="6"/>
        <v>0</v>
      </c>
      <c r="I48" s="47">
        <f t="shared" si="7"/>
        <v>0</v>
      </c>
      <c r="J48" s="47">
        <f t="shared" si="8"/>
        <v>0</v>
      </c>
      <c r="K48" s="63">
        <f t="shared" si="9"/>
        <v>0</v>
      </c>
      <c r="L48" s="55">
        <f t="shared" si="10"/>
        <v>0</v>
      </c>
      <c r="N48" s="33">
        <v>29</v>
      </c>
      <c r="O48" s="28"/>
      <c r="P48" s="88"/>
      <c r="Q48" s="88"/>
      <c r="R48" s="37"/>
      <c r="S48" s="20"/>
      <c r="T48" s="3"/>
      <c r="U48" s="3"/>
      <c r="V48" s="3"/>
      <c r="W48" s="3"/>
      <c r="X48" s="10"/>
      <c r="Y48" s="17"/>
      <c r="Z48" s="2"/>
      <c r="AA48" s="2"/>
      <c r="AB48" s="2"/>
      <c r="AC48" s="3"/>
      <c r="AD48" s="37"/>
      <c r="AE48" s="9"/>
      <c r="AF48" s="2"/>
      <c r="AG48" s="2"/>
      <c r="AH48" s="2"/>
      <c r="AI48" s="3"/>
      <c r="AJ48" s="10"/>
      <c r="AK48" s="28"/>
      <c r="AL48" s="3"/>
      <c r="AM48" s="3"/>
      <c r="AN48" s="10"/>
      <c r="AO48" s="28"/>
      <c r="AP48" s="28"/>
      <c r="AQ48" s="3"/>
      <c r="AR48" s="10"/>
      <c r="AS48" s="20"/>
      <c r="AT48" s="28"/>
      <c r="AU48" s="3"/>
      <c r="AV48" s="10"/>
      <c r="AW48" s="20"/>
      <c r="AX48" s="28"/>
      <c r="AY48" s="3"/>
      <c r="AZ48" s="10"/>
      <c r="BA48" s="20"/>
      <c r="BB48" s="28"/>
      <c r="BC48" s="3"/>
      <c r="BD48" s="10"/>
      <c r="BE48" s="23"/>
      <c r="BF48" s="28"/>
      <c r="BG48" s="3"/>
      <c r="BH48" s="10"/>
      <c r="BI48" s="20"/>
      <c r="BJ48" s="28"/>
      <c r="BK48" s="3"/>
      <c r="BL48" s="10"/>
    </row>
    <row r="49" spans="2:64" x14ac:dyDescent="0.3">
      <c r="B49" s="62">
        <f t="shared" si="0"/>
        <v>0</v>
      </c>
      <c r="C49" s="47">
        <f t="shared" si="1"/>
        <v>0</v>
      </c>
      <c r="D49" s="47">
        <f t="shared" si="2"/>
        <v>0</v>
      </c>
      <c r="E49" s="47">
        <f t="shared" si="3"/>
        <v>0</v>
      </c>
      <c r="F49" s="47">
        <f t="shared" si="4"/>
        <v>0</v>
      </c>
      <c r="G49" s="47">
        <f t="shared" si="5"/>
        <v>0</v>
      </c>
      <c r="H49" s="47">
        <f t="shared" si="6"/>
        <v>0</v>
      </c>
      <c r="I49" s="47">
        <f t="shared" si="7"/>
        <v>0</v>
      </c>
      <c r="J49" s="47">
        <f t="shared" si="8"/>
        <v>0</v>
      </c>
      <c r="K49" s="63">
        <f t="shared" si="9"/>
        <v>0</v>
      </c>
      <c r="L49" s="55">
        <f t="shared" si="10"/>
        <v>0</v>
      </c>
      <c r="N49" s="33">
        <v>30</v>
      </c>
      <c r="O49" s="28"/>
      <c r="P49" s="88"/>
      <c r="Q49" s="88"/>
      <c r="R49" s="37"/>
      <c r="S49" s="20"/>
      <c r="T49" s="3"/>
      <c r="U49" s="3"/>
      <c r="V49" s="3"/>
      <c r="W49" s="3"/>
      <c r="X49" s="10"/>
      <c r="Y49" s="17"/>
      <c r="Z49" s="2"/>
      <c r="AA49" s="2"/>
      <c r="AB49" s="2"/>
      <c r="AC49" s="3"/>
      <c r="AD49" s="37"/>
      <c r="AE49" s="9"/>
      <c r="AF49" s="2"/>
      <c r="AG49" s="2"/>
      <c r="AH49" s="2"/>
      <c r="AI49" s="3"/>
      <c r="AJ49" s="10"/>
      <c r="AK49" s="28"/>
      <c r="AL49" s="3"/>
      <c r="AM49" s="3"/>
      <c r="AN49" s="10"/>
      <c r="AO49" s="28"/>
      <c r="AP49" s="28"/>
      <c r="AQ49" s="3"/>
      <c r="AR49" s="10"/>
      <c r="AS49" s="20"/>
      <c r="AT49" s="28"/>
      <c r="AU49" s="3"/>
      <c r="AV49" s="10"/>
      <c r="AW49" s="20"/>
      <c r="AX49" s="28"/>
      <c r="AY49" s="3"/>
      <c r="AZ49" s="10"/>
      <c r="BA49" s="20"/>
      <c r="BB49" s="28"/>
      <c r="BC49" s="3"/>
      <c r="BD49" s="10"/>
      <c r="BE49" s="23"/>
      <c r="BF49" s="28"/>
      <c r="BG49" s="3"/>
      <c r="BH49" s="10"/>
      <c r="BI49" s="20"/>
      <c r="BJ49" s="28"/>
      <c r="BK49" s="3"/>
      <c r="BL49" s="10"/>
    </row>
    <row r="50" spans="2:64" x14ac:dyDescent="0.3">
      <c r="B50" s="62">
        <f t="shared" si="0"/>
        <v>0</v>
      </c>
      <c r="C50" s="47">
        <f t="shared" si="1"/>
        <v>0</v>
      </c>
      <c r="D50" s="47">
        <f t="shared" si="2"/>
        <v>0</v>
      </c>
      <c r="E50" s="47">
        <f t="shared" si="3"/>
        <v>0</v>
      </c>
      <c r="F50" s="47">
        <f t="shared" si="4"/>
        <v>0</v>
      </c>
      <c r="G50" s="47">
        <f t="shared" si="5"/>
        <v>0</v>
      </c>
      <c r="H50" s="47">
        <f t="shared" si="6"/>
        <v>0</v>
      </c>
      <c r="I50" s="47">
        <f t="shared" si="7"/>
        <v>0</v>
      </c>
      <c r="J50" s="47">
        <f t="shared" si="8"/>
        <v>0</v>
      </c>
      <c r="K50" s="63">
        <f t="shared" si="9"/>
        <v>0</v>
      </c>
      <c r="L50" s="55">
        <f t="shared" si="10"/>
        <v>0</v>
      </c>
      <c r="N50" s="33">
        <v>31</v>
      </c>
      <c r="O50" s="28"/>
      <c r="P50" s="88"/>
      <c r="Q50" s="88"/>
      <c r="R50" s="37"/>
      <c r="S50" s="20"/>
      <c r="T50" s="3"/>
      <c r="U50" s="3"/>
      <c r="V50" s="3"/>
      <c r="W50" s="3"/>
      <c r="X50" s="10"/>
      <c r="Y50" s="17"/>
      <c r="Z50" s="2"/>
      <c r="AA50" s="2"/>
      <c r="AB50" s="2"/>
      <c r="AC50" s="3"/>
      <c r="AD50" s="37"/>
      <c r="AE50" s="9"/>
      <c r="AF50" s="2"/>
      <c r="AG50" s="2"/>
      <c r="AH50" s="2"/>
      <c r="AI50" s="3"/>
      <c r="AJ50" s="10"/>
      <c r="AK50" s="28"/>
      <c r="AL50" s="3"/>
      <c r="AM50" s="3"/>
      <c r="AN50" s="10"/>
      <c r="AO50" s="28"/>
      <c r="AP50" s="28"/>
      <c r="AQ50" s="3"/>
      <c r="AR50" s="10"/>
      <c r="AS50" s="20"/>
      <c r="AT50" s="28"/>
      <c r="AU50" s="3"/>
      <c r="AV50" s="10"/>
      <c r="AW50" s="20"/>
      <c r="AX50" s="28"/>
      <c r="AY50" s="3"/>
      <c r="AZ50" s="10"/>
      <c r="BA50" s="20"/>
      <c r="BB50" s="28"/>
      <c r="BC50" s="3"/>
      <c r="BD50" s="10"/>
      <c r="BE50" s="23"/>
      <c r="BF50" s="28"/>
      <c r="BG50" s="3"/>
      <c r="BH50" s="10"/>
      <c r="BI50" s="20"/>
      <c r="BJ50" s="28"/>
      <c r="BK50" s="3"/>
      <c r="BL50" s="10"/>
    </row>
    <row r="51" spans="2:64" ht="15" thickBot="1" x14ac:dyDescent="0.35">
      <c r="B51" s="64">
        <f t="shared" si="0"/>
        <v>0</v>
      </c>
      <c r="C51" s="65">
        <f t="shared" si="1"/>
        <v>0</v>
      </c>
      <c r="D51" s="65">
        <f t="shared" si="2"/>
        <v>0</v>
      </c>
      <c r="E51" s="65">
        <f t="shared" si="3"/>
        <v>0</v>
      </c>
      <c r="F51" s="65">
        <f t="shared" si="4"/>
        <v>0</v>
      </c>
      <c r="G51" s="65">
        <f t="shared" si="5"/>
        <v>0</v>
      </c>
      <c r="H51" s="65">
        <f t="shared" si="6"/>
        <v>0</v>
      </c>
      <c r="I51" s="65">
        <f t="shared" si="7"/>
        <v>0</v>
      </c>
      <c r="J51" s="65">
        <f t="shared" si="8"/>
        <v>0</v>
      </c>
      <c r="K51" s="66">
        <f t="shared" si="9"/>
        <v>0</v>
      </c>
      <c r="L51" s="55">
        <f t="shared" si="10"/>
        <v>0</v>
      </c>
      <c r="N51" s="33">
        <v>32</v>
      </c>
      <c r="O51" s="28"/>
      <c r="P51" s="88"/>
      <c r="Q51" s="88"/>
      <c r="R51" s="37"/>
      <c r="S51" s="20"/>
      <c r="T51" s="3"/>
      <c r="U51" s="3"/>
      <c r="V51" s="3"/>
      <c r="W51" s="3"/>
      <c r="X51" s="10"/>
      <c r="Y51" s="17"/>
      <c r="Z51" s="2"/>
      <c r="AA51" s="2"/>
      <c r="AB51" s="2"/>
      <c r="AC51" s="3"/>
      <c r="AD51" s="37"/>
      <c r="AE51" s="9"/>
      <c r="AF51" s="2"/>
      <c r="AG51" s="2"/>
      <c r="AH51" s="2"/>
      <c r="AI51" s="3"/>
      <c r="AJ51" s="10"/>
      <c r="AK51" s="28"/>
      <c r="AL51" s="3"/>
      <c r="AM51" s="3"/>
      <c r="AN51" s="10"/>
      <c r="AO51" s="28"/>
      <c r="AP51" s="28"/>
      <c r="AQ51" s="3"/>
      <c r="AR51" s="10"/>
      <c r="AS51" s="20"/>
      <c r="AT51" s="28"/>
      <c r="AU51" s="3"/>
      <c r="AV51" s="10"/>
      <c r="AW51" s="20"/>
      <c r="AX51" s="28"/>
      <c r="AY51" s="3"/>
      <c r="AZ51" s="10"/>
      <c r="BA51" s="20"/>
      <c r="BB51" s="28"/>
      <c r="BC51" s="3"/>
      <c r="BD51" s="10"/>
      <c r="BE51" s="23"/>
      <c r="BF51" s="28"/>
      <c r="BG51" s="3"/>
      <c r="BH51" s="10"/>
      <c r="BI51" s="20"/>
      <c r="BJ51" s="28"/>
      <c r="BK51" s="3"/>
      <c r="BL51" s="10"/>
    </row>
    <row r="52" spans="2:64" x14ac:dyDescent="0.3">
      <c r="N52" s="34" t="s">
        <v>25</v>
      </c>
      <c r="O52" s="29"/>
      <c r="P52" s="89"/>
      <c r="Q52" s="89"/>
      <c r="R52" s="38"/>
      <c r="S52" s="18">
        <f>AVERAGE(S20:S51)</f>
        <v>1.4285714285714285E-7</v>
      </c>
      <c r="T52" s="4">
        <f>AVERAGE(T20:T51)</f>
        <v>1.4285714285714285E-7</v>
      </c>
      <c r="U52" s="4">
        <f>AVERAGE(U20:U51)</f>
        <v>0.14285728571428571</v>
      </c>
      <c r="V52" s="4" t="e">
        <f>AVERAGE(V20:V51)</f>
        <v>#DIV/0!</v>
      </c>
      <c r="W52" s="4">
        <f>(SUM(D20:D51)+SUM(T20:T51)+SUM(S20:S51)*0.35)/SUM(S20:U51)</f>
        <v>1.7999959500121501</v>
      </c>
      <c r="X52" s="48">
        <f>AVERAGE(X20:X51)</f>
        <v>7</v>
      </c>
      <c r="Y52" s="58">
        <f>AVERAGE(Y20:Y51)</f>
        <v>9.9999999999999995E-7</v>
      </c>
      <c r="Z52" s="56">
        <f>AVERAGE(Z20:Z51)</f>
        <v>9.9999999999999995E-7</v>
      </c>
      <c r="AA52" s="56">
        <f>AVERAGE(AA20:AA51)</f>
        <v>9.9999999999999995E-7</v>
      </c>
      <c r="AB52" s="56" t="e">
        <f>AVERAGE(AB20:AB51)</f>
        <v>#DIV/0!</v>
      </c>
      <c r="AC52" s="56">
        <f>(SUM(B20:B51)+SUM(Z20:Z51)+SUM(Y20:Y51)*0.35)/SUM(Y20:AA51)</f>
        <v>0.45</v>
      </c>
      <c r="AD52" s="76" t="e">
        <f>AVERAGE(AD20:AD51)</f>
        <v>#DIV/0!</v>
      </c>
      <c r="AE52" s="79">
        <f>AVERAGE(AE20:AE51)</f>
        <v>1.4285714285714285E-7</v>
      </c>
      <c r="AF52" s="56">
        <f>AVERAGE(AF20:AF51)</f>
        <v>1</v>
      </c>
      <c r="AG52" s="56">
        <f>AVERAGE(AG20:AG51)</f>
        <v>0.14285728571428571</v>
      </c>
      <c r="AH52" s="56" t="e">
        <f>AVERAGE(AH20:AH51)</f>
        <v>#DIV/0!</v>
      </c>
      <c r="AI52" s="56">
        <f>(SUM(C20:C51)+SUM(AF20:AF51)+SUM(AE20:AE51)*0.35)/SUM(AE20:AG51)</f>
        <v>1.0749997750000562</v>
      </c>
      <c r="AJ52" s="57">
        <f>AVERAGE(AJ20:AJ51)</f>
        <v>7.833333333333333</v>
      </c>
      <c r="AK52" s="58">
        <f>AVERAGE(AK20:AK51)</f>
        <v>7.1428571428571432</v>
      </c>
      <c r="AL52" s="56" t="e">
        <f>AVERAGE(AL20:AL51)</f>
        <v>#DIV/0!</v>
      </c>
      <c r="AM52" s="56">
        <f>SUM(E20:E51)/SUM(AK20:AK51)</f>
        <v>1.9780000000000002</v>
      </c>
      <c r="AN52" s="57">
        <f>AVERAGE(AN20:AN51)</f>
        <v>7</v>
      </c>
      <c r="AO52" s="58">
        <f>AVERAGE(AO20:AO51)</f>
        <v>6.1428571428571432</v>
      </c>
      <c r="AP52" s="56" t="e">
        <f>AVERAGE(AP20:AP51)</f>
        <v>#DIV/0!</v>
      </c>
      <c r="AQ52" s="56">
        <f>SUM(F20:F51)/SUM(AO20:AO51)</f>
        <v>3.1418604651162791</v>
      </c>
      <c r="AR52" s="57">
        <f>AVERAGE(AR20:AR51)</f>
        <v>7.5</v>
      </c>
      <c r="AS52" s="58">
        <f>AVERAGE(AS20:AS51)</f>
        <v>9.9999999999999995E-7</v>
      </c>
      <c r="AT52" s="56" t="e">
        <f>AVERAGE(AT20:AT51)</f>
        <v>#DIV/0!</v>
      </c>
      <c r="AU52" s="56">
        <f>SUM(G20:G51)/SUM(AS20:AS51)</f>
        <v>0</v>
      </c>
      <c r="AV52" s="57" t="e">
        <f>AVERAGE(AV20:AV51)</f>
        <v>#DIV/0!</v>
      </c>
      <c r="AW52" s="58">
        <f>AVERAGE(AW20:AW51)</f>
        <v>1.5714287142857142</v>
      </c>
      <c r="AX52" s="56" t="e">
        <f>AVERAGE(AX20:AX51)</f>
        <v>#DIV/0!</v>
      </c>
      <c r="AY52" s="56">
        <f>SUM(H20:H51)/SUM(AW20:AW51)</f>
        <v>2.6363633966942368</v>
      </c>
      <c r="AZ52" s="57">
        <f>AVERAGE(AZ20:AZ51)</f>
        <v>7</v>
      </c>
      <c r="BA52" s="58">
        <f>AVERAGE(BA20:BA51)</f>
        <v>9.9999999999999995E-7</v>
      </c>
      <c r="BB52" s="56" t="e">
        <f>AVERAGE(BB20:BB51)</f>
        <v>#DIV/0!</v>
      </c>
      <c r="BC52" s="56">
        <f>SUM(I20:I51)/SUM(BA20:BA51)</f>
        <v>0</v>
      </c>
      <c r="BD52" s="57" t="e">
        <f>AVERAGE(BD20:BD51)</f>
        <v>#DIV/0!</v>
      </c>
      <c r="BE52" s="58">
        <f>AVERAGE(BE20:BE51)</f>
        <v>9.9999999999999995E-7</v>
      </c>
      <c r="BF52" s="56" t="e">
        <f>AVERAGE(BF20:BF51)</f>
        <v>#DIV/0!</v>
      </c>
      <c r="BG52" s="56">
        <f>SUM(J20:J51)/SUM(BE20:BE51)</f>
        <v>0</v>
      </c>
      <c r="BH52" s="57" t="e">
        <f>AVERAGE(BH20:BH51)</f>
        <v>#DIV/0!</v>
      </c>
      <c r="BI52" s="58">
        <f>AVERAGE(BI20:BI51)</f>
        <v>1.5714285714285714</v>
      </c>
      <c r="BJ52" s="56" t="e">
        <f>AVERAGE(BJ20:BJ51)</f>
        <v>#DIV/0!</v>
      </c>
      <c r="BK52" s="56">
        <f>SUM(K20:K51)/SUM(BI20:BI51)</f>
        <v>0.81818181818181823</v>
      </c>
      <c r="BL52" s="57">
        <f>AVERAGE(BL20:BL51)</f>
        <v>3.6666666666666665</v>
      </c>
    </row>
    <row r="53" spans="2:64" x14ac:dyDescent="0.3">
      <c r="N53" s="34" t="s">
        <v>30</v>
      </c>
      <c r="O53" s="29"/>
      <c r="P53" s="89"/>
      <c r="Q53" s="89"/>
      <c r="R53" s="38"/>
      <c r="S53" s="18"/>
      <c r="T53" s="4"/>
      <c r="U53" s="4"/>
      <c r="V53" s="4"/>
      <c r="W53" s="5">
        <f>SUM(D20:D51)/SUM(U20:U51)</f>
        <v>1.7999982000018002</v>
      </c>
      <c r="X53" s="38"/>
      <c r="Y53" s="58"/>
      <c r="Z53" s="56"/>
      <c r="AA53" s="56"/>
      <c r="AB53" s="56"/>
      <c r="AC53" s="77">
        <f>SUM(B20:B51)/SUM(AA20:AA51)</f>
        <v>0</v>
      </c>
      <c r="AD53" s="78"/>
      <c r="AE53" s="79"/>
      <c r="AF53" s="56"/>
      <c r="AG53" s="56"/>
      <c r="AH53" s="56"/>
      <c r="AI53" s="77">
        <f>SUM(C20:C51)/SUM(AG20:AG51)</f>
        <v>1.5999984000016003</v>
      </c>
      <c r="AJ53" s="80"/>
      <c r="AK53" s="29"/>
      <c r="AL53" s="5"/>
      <c r="AM53" s="5"/>
      <c r="AN53" s="12"/>
      <c r="AO53" s="29"/>
      <c r="AP53" s="29"/>
      <c r="AQ53" s="5"/>
      <c r="AR53" s="12"/>
      <c r="AS53" s="21"/>
      <c r="AT53" s="29"/>
      <c r="AU53" s="5"/>
      <c r="AV53" s="12"/>
      <c r="AW53" s="21"/>
      <c r="AX53" s="29"/>
      <c r="AY53" s="5"/>
      <c r="AZ53" s="12"/>
      <c r="BA53" s="21"/>
      <c r="BB53" s="29"/>
      <c r="BC53" s="5"/>
      <c r="BD53" s="12"/>
      <c r="BE53" s="21"/>
      <c r="BF53" s="29"/>
      <c r="BG53" s="5"/>
      <c r="BH53" s="12"/>
      <c r="BI53" s="21"/>
      <c r="BJ53" s="29"/>
      <c r="BK53" s="5"/>
      <c r="BL53" s="12"/>
    </row>
    <row r="54" spans="2:64" x14ac:dyDescent="0.3">
      <c r="N54" s="34" t="s">
        <v>11</v>
      </c>
      <c r="O54" s="29"/>
      <c r="P54" s="89"/>
      <c r="Q54" s="89"/>
      <c r="R54" s="38"/>
      <c r="S54" s="21"/>
      <c r="T54" s="5"/>
      <c r="U54" s="5"/>
      <c r="V54" s="5"/>
      <c r="W54" s="5"/>
      <c r="X54" s="12"/>
      <c r="Y54" s="18"/>
      <c r="Z54" s="4"/>
      <c r="AA54" s="4"/>
      <c r="AB54" s="4"/>
      <c r="AC54" s="5"/>
      <c r="AD54" s="38"/>
      <c r="AE54" s="11"/>
      <c r="AF54" s="4"/>
      <c r="AG54" s="4"/>
      <c r="AH54" s="4"/>
      <c r="AI54" s="5"/>
      <c r="AJ54" s="12"/>
      <c r="AK54" s="29"/>
      <c r="AL54" s="5"/>
      <c r="AM54" s="5"/>
      <c r="AN54" s="12"/>
      <c r="AO54" s="29"/>
      <c r="AP54" s="29"/>
      <c r="AQ54" s="5"/>
      <c r="AR54" s="12"/>
      <c r="AS54" s="21"/>
      <c r="AT54" s="29"/>
      <c r="AU54" s="5"/>
      <c r="AV54" s="12"/>
      <c r="AW54" s="21"/>
      <c r="AX54" s="29"/>
      <c r="AY54" s="5"/>
      <c r="AZ54" s="12"/>
      <c r="BA54" s="21"/>
      <c r="BB54" s="29"/>
      <c r="BC54" s="5"/>
      <c r="BD54" s="12"/>
      <c r="BE54" s="21"/>
      <c r="BF54" s="29"/>
      <c r="BG54" s="5"/>
      <c r="BH54" s="12"/>
      <c r="BI54" s="21"/>
      <c r="BJ54" s="29"/>
      <c r="BK54" s="5"/>
      <c r="BL54" s="12"/>
    </row>
    <row r="55" spans="2:64" ht="15" thickBot="1" x14ac:dyDescent="0.35">
      <c r="N55" s="35" t="s">
        <v>12</v>
      </c>
      <c r="O55" s="30"/>
      <c r="P55" s="90"/>
      <c r="Q55" s="90"/>
      <c r="R55" s="39"/>
      <c r="S55" s="22"/>
      <c r="T55" s="15"/>
      <c r="U55" s="15"/>
      <c r="V55" s="15"/>
      <c r="W55" s="15"/>
      <c r="X55" s="16"/>
      <c r="Y55" s="19"/>
      <c r="Z55" s="14"/>
      <c r="AA55" s="14"/>
      <c r="AB55" s="14"/>
      <c r="AC55" s="15"/>
      <c r="AD55" s="39"/>
      <c r="AE55" s="13"/>
      <c r="AF55" s="14"/>
      <c r="AG55" s="14"/>
      <c r="AH55" s="14"/>
      <c r="AI55" s="15"/>
      <c r="AJ55" s="16"/>
      <c r="AK55" s="30"/>
      <c r="AL55" s="15"/>
      <c r="AM55" s="15"/>
      <c r="AN55" s="16"/>
      <c r="AO55" s="30"/>
      <c r="AP55" s="30"/>
      <c r="AQ55" s="15"/>
      <c r="AR55" s="16"/>
      <c r="AS55" s="22"/>
      <c r="AT55" s="30"/>
      <c r="AU55" s="15"/>
      <c r="AV55" s="16"/>
      <c r="AW55" s="22"/>
      <c r="AX55" s="30"/>
      <c r="AY55" s="15"/>
      <c r="AZ55" s="16"/>
      <c r="BA55" s="22"/>
      <c r="BB55" s="30"/>
      <c r="BC55" s="15"/>
      <c r="BD55" s="16"/>
      <c r="BE55" s="22"/>
      <c r="BF55" s="30"/>
      <c r="BG55" s="15"/>
      <c r="BH55" s="16"/>
      <c r="BI55" s="22"/>
      <c r="BJ55" s="30"/>
      <c r="BK55" s="15"/>
      <c r="BL55" s="16"/>
    </row>
    <row r="60" spans="2:64" ht="15" thickBot="1" x14ac:dyDescent="0.35">
      <c r="U60">
        <f>T13</f>
        <v>0</v>
      </c>
      <c r="V60" t="s">
        <v>33</v>
      </c>
    </row>
    <row r="61" spans="2:64" ht="15" thickBot="1" x14ac:dyDescent="0.35">
      <c r="B61" s="59" t="s">
        <v>44</v>
      </c>
      <c r="C61" s="60"/>
      <c r="D61" s="61"/>
      <c r="E61" s="47"/>
      <c r="F61" s="47"/>
      <c r="I61" s="47"/>
      <c r="J61" s="47"/>
      <c r="K61" s="47"/>
      <c r="O61" t="s">
        <v>161</v>
      </c>
    </row>
    <row r="62" spans="2:64" ht="15" thickBot="1" x14ac:dyDescent="0.35">
      <c r="B62" s="73" t="str">
        <f>V62</f>
        <v>D, см</v>
      </c>
      <c r="C62" s="74" t="str">
        <f>W62</f>
        <v>h, м</v>
      </c>
      <c r="D62" s="75" t="str">
        <f>X62</f>
        <v>A, лет</v>
      </c>
      <c r="E62" s="47"/>
      <c r="F62" s="47"/>
      <c r="I62" s="47"/>
      <c r="J62" s="47"/>
      <c r="K62" s="47"/>
      <c r="O62" s="115"/>
      <c r="P62" s="116"/>
      <c r="Q62" s="116"/>
      <c r="R62" s="116"/>
      <c r="S62" s="116"/>
      <c r="T62" s="116"/>
      <c r="U62" s="116" t="s">
        <v>24</v>
      </c>
      <c r="V62" s="116" t="str">
        <f>AB19</f>
        <v>D, см</v>
      </c>
      <c r="W62" s="116" t="str">
        <f>AC19</f>
        <v>h, м</v>
      </c>
      <c r="X62" s="117" t="str">
        <f>AD19</f>
        <v>A, лет</v>
      </c>
    </row>
    <row r="63" spans="2:64" x14ac:dyDescent="0.3">
      <c r="B63" s="81" t="e">
        <f>V63*U63</f>
        <v>#DIV/0!</v>
      </c>
      <c r="C63" s="82">
        <f>W63*U63</f>
        <v>0.2576464912438905</v>
      </c>
      <c r="D63" s="83">
        <f>X63*U63</f>
        <v>1.0019608314646817</v>
      </c>
      <c r="E63" s="47"/>
      <c r="F63" s="85"/>
      <c r="H63" s="47"/>
      <c r="I63" s="47"/>
      <c r="J63" s="47"/>
      <c r="K63" s="47"/>
      <c r="O63" s="138">
        <f t="shared" ref="O63:O72" si="11">U63/$U$75*10</f>
        <v>8.0645372008243066E-2</v>
      </c>
      <c r="P63" s="139"/>
      <c r="Q63" s="139"/>
      <c r="R63" s="47" t="str">
        <f>S18</f>
        <v>Сосна</v>
      </c>
      <c r="S63" s="47"/>
      <c r="T63" s="47"/>
      <c r="U63" s="123">
        <f>SUM(S52:U52)/(AE16*AE16*3.15/10000*1000)</f>
        <v>0.14313726163781168</v>
      </c>
      <c r="V63" s="139" t="e">
        <f>V52</f>
        <v>#DIV/0!</v>
      </c>
      <c r="W63" s="139">
        <f>W52</f>
        <v>1.7999959500121501</v>
      </c>
      <c r="X63" s="140">
        <f>X52</f>
        <v>7</v>
      </c>
      <c r="Y63" s="55"/>
    </row>
    <row r="64" spans="2:64" x14ac:dyDescent="0.3">
      <c r="B64" s="81" t="e">
        <f t="shared" ref="B64:B72" si="12">V64*U64</f>
        <v>#DIV/0!</v>
      </c>
      <c r="C64" s="82">
        <f t="shared" ref="C64:C72" si="13">W64*U64</f>
        <v>1.352643064548127E-6</v>
      </c>
      <c r="D64" s="83" t="e">
        <f t="shared" ref="D64:D72" si="14">X64*U64</f>
        <v>#DIV/0!</v>
      </c>
      <c r="E64" s="47"/>
      <c r="F64" s="85"/>
      <c r="H64" s="47"/>
      <c r="I64" s="47"/>
      <c r="J64" s="47"/>
      <c r="K64" s="47"/>
      <c r="O64" s="138">
        <f t="shared" si="11"/>
        <v>1.6935477315299102E-6</v>
      </c>
      <c r="P64" s="139"/>
      <c r="Q64" s="139"/>
      <c r="R64" s="47" t="str">
        <f>Y18</f>
        <v>Ель из подроста</v>
      </c>
      <c r="S64" s="47"/>
      <c r="T64" s="47"/>
      <c r="U64" s="123">
        <f>SUM(Y52:AA52)/(AE16*AE16*3.15/10000*1000)</f>
        <v>3.0058734767736153E-6</v>
      </c>
      <c r="V64" s="139" t="e">
        <f>AB52</f>
        <v>#DIV/0!</v>
      </c>
      <c r="W64" s="139">
        <f>AC52</f>
        <v>0.45</v>
      </c>
      <c r="X64" s="140" t="e">
        <f>AD52</f>
        <v>#DIV/0!</v>
      </c>
      <c r="Y64" s="55"/>
    </row>
    <row r="65" spans="2:25" x14ac:dyDescent="0.3">
      <c r="B65" s="81" t="e">
        <f t="shared" si="12"/>
        <v>#DIV/0!</v>
      </c>
      <c r="C65" s="82">
        <f t="shared" si="13"/>
        <v>1.2309768072528002</v>
      </c>
      <c r="D65" s="83">
        <f t="shared" si="14"/>
        <v>8.9699103953887782</v>
      </c>
      <c r="E65" s="47"/>
      <c r="F65" s="47"/>
      <c r="G65" s="47"/>
      <c r="H65" s="47"/>
      <c r="I65" s="47"/>
      <c r="J65" s="47"/>
      <c r="K65" s="47"/>
      <c r="O65" s="138">
        <f t="shared" si="11"/>
        <v>0.64516120187308301</v>
      </c>
      <c r="P65" s="139"/>
      <c r="Q65" s="139"/>
      <c r="R65" s="47" t="str">
        <f>AE18</f>
        <v>ЕЛЬ лесные культуры</v>
      </c>
      <c r="S65" s="47"/>
      <c r="T65" s="47"/>
      <c r="U65" s="123">
        <f>SUM(AE52:AG52)/(AE16*AE16*3.15/10000*1000)</f>
        <v>1.1450949440921845</v>
      </c>
      <c r="V65" s="139" t="e">
        <f>AH52</f>
        <v>#DIV/0!</v>
      </c>
      <c r="W65" s="139">
        <f>AI52</f>
        <v>1.0749997750000562</v>
      </c>
      <c r="X65" s="140">
        <f>AJ52</f>
        <v>7.833333333333333</v>
      </c>
      <c r="Y65" s="55"/>
    </row>
    <row r="66" spans="2:25" x14ac:dyDescent="0.3">
      <c r="B66" s="81" t="e">
        <f t="shared" si="12"/>
        <v>#DIV/0!</v>
      </c>
      <c r="C66" s="82">
        <f t="shared" si="13"/>
        <v>14.156232707281458</v>
      </c>
      <c r="D66" s="83">
        <f t="shared" si="14"/>
        <v>50.097891279560258</v>
      </c>
      <c r="E66" s="47"/>
      <c r="F66" s="47"/>
      <c r="G66" s="47"/>
      <c r="H66" s="47"/>
      <c r="I66" s="47"/>
      <c r="J66" s="47"/>
      <c r="K66" s="47"/>
      <c r="O66" s="138">
        <f t="shared" si="11"/>
        <v>4.0322565036426434</v>
      </c>
      <c r="P66" s="139"/>
      <c r="Q66" s="139"/>
      <c r="R66" s="47" t="str">
        <f>AK18</f>
        <v>Берёза</v>
      </c>
      <c r="S66" s="47"/>
      <c r="T66" s="47"/>
      <c r="U66" s="123">
        <f>AK52/(AE16*AE16*3.15/10000*1000)</f>
        <v>7.1568416113657509</v>
      </c>
      <c r="V66" s="139" t="e">
        <f>AL52</f>
        <v>#DIV/0!</v>
      </c>
      <c r="W66" s="139">
        <f>AM52</f>
        <v>1.9780000000000002</v>
      </c>
      <c r="X66" s="140">
        <f>AN52</f>
        <v>7</v>
      </c>
      <c r="Y66" s="55"/>
    </row>
    <row r="67" spans="2:25" x14ac:dyDescent="0.3">
      <c r="B67" s="81" t="e">
        <f t="shared" si="12"/>
        <v>#DIV/0!</v>
      </c>
      <c r="C67" s="82">
        <f t="shared" si="13"/>
        <v>19.337786033910259</v>
      </c>
      <c r="D67" s="83">
        <f t="shared" si="14"/>
        <v>46.161628393309094</v>
      </c>
      <c r="E67" s="47"/>
      <c r="F67" s="47"/>
      <c r="G67" s="47"/>
      <c r="H67" s="47"/>
      <c r="I67" s="47"/>
      <c r="J67" s="47"/>
      <c r="K67" s="47"/>
      <c r="O67" s="138">
        <f t="shared" si="11"/>
        <v>3.4677405931326732</v>
      </c>
      <c r="P67" s="139"/>
      <c r="Q67" s="139"/>
      <c r="R67" s="47" t="str">
        <f>AO18</f>
        <v>Осина</v>
      </c>
      <c r="S67" s="47"/>
      <c r="T67" s="47"/>
      <c r="U67" s="123">
        <f>AO52/(AE16*AE16*3.15/10000*1000)</f>
        <v>6.1548837857745458</v>
      </c>
      <c r="V67" s="139" t="e">
        <f>AP52</f>
        <v>#DIV/0!</v>
      </c>
      <c r="W67" s="139">
        <f>AQ52</f>
        <v>3.1418604651162791</v>
      </c>
      <c r="X67" s="140">
        <f>AR52</f>
        <v>7.5</v>
      </c>
      <c r="Y67" s="55"/>
    </row>
    <row r="68" spans="2:25" x14ac:dyDescent="0.3">
      <c r="B68" s="81" t="e">
        <f t="shared" si="12"/>
        <v>#DIV/0!</v>
      </c>
      <c r="C68" s="82">
        <f t="shared" si="13"/>
        <v>0</v>
      </c>
      <c r="D68" s="83" t="e">
        <f t="shared" si="14"/>
        <v>#DIV/0!</v>
      </c>
      <c r="E68" s="47"/>
      <c r="F68" s="47"/>
      <c r="G68" s="47"/>
      <c r="H68" s="47"/>
      <c r="I68" s="47"/>
      <c r="J68" s="47"/>
      <c r="K68" s="47"/>
      <c r="O68" s="138">
        <f t="shared" si="11"/>
        <v>5.6451591050996991E-7</v>
      </c>
      <c r="P68" s="139"/>
      <c r="Q68" s="139"/>
      <c r="R68" s="47" t="str">
        <f>AS18</f>
        <v>Ольха серая</v>
      </c>
      <c r="S68" s="47"/>
      <c r="T68" s="47"/>
      <c r="U68" s="123">
        <f>AS52/(AE16*AE16*3.15/10000*1000)</f>
        <v>1.001957825591205E-6</v>
      </c>
      <c r="V68" s="139" t="e">
        <f>AT52</f>
        <v>#DIV/0!</v>
      </c>
      <c r="W68" s="139">
        <f>AU52</f>
        <v>0</v>
      </c>
      <c r="X68" s="140" t="e">
        <f>AV52</f>
        <v>#DIV/0!</v>
      </c>
      <c r="Y68" s="55"/>
    </row>
    <row r="69" spans="2:25" x14ac:dyDescent="0.3">
      <c r="B69" s="81" t="e">
        <f t="shared" si="12"/>
        <v>#DIV/0!</v>
      </c>
      <c r="C69" s="82">
        <f t="shared" si="13"/>
        <v>4.1509681345921354</v>
      </c>
      <c r="D69" s="83">
        <f t="shared" si="14"/>
        <v>11.02153708346108</v>
      </c>
      <c r="E69" s="47"/>
      <c r="F69" s="47"/>
      <c r="G69" s="47"/>
      <c r="H69" s="47"/>
      <c r="I69" s="47"/>
      <c r="J69" s="47"/>
      <c r="K69" s="47"/>
      <c r="O69" s="138">
        <f t="shared" si="11"/>
        <v>0.88709651144651147</v>
      </c>
      <c r="P69" s="139"/>
      <c r="Q69" s="139"/>
      <c r="R69" s="47" t="str">
        <f>AW18</f>
        <v>Ива</v>
      </c>
      <c r="S69" s="47"/>
      <c r="T69" s="47"/>
      <c r="U69" s="123">
        <f>AW52/(AE16*AE16*3.15/10000*1000)</f>
        <v>1.5745052976372973</v>
      </c>
      <c r="V69" s="139" t="e">
        <f>AX52</f>
        <v>#DIV/0!</v>
      </c>
      <c r="W69" s="139">
        <f>AY52</f>
        <v>2.6363633966942368</v>
      </c>
      <c r="X69" s="140">
        <f>AZ52</f>
        <v>7</v>
      </c>
      <c r="Y69" s="55"/>
    </row>
    <row r="70" spans="2:25" x14ac:dyDescent="0.3">
      <c r="B70" s="81" t="e">
        <f t="shared" si="12"/>
        <v>#DIV/0!</v>
      </c>
      <c r="C70" s="82">
        <f t="shared" si="13"/>
        <v>0</v>
      </c>
      <c r="D70" s="83" t="e">
        <f t="shared" si="14"/>
        <v>#DIV/0!</v>
      </c>
      <c r="E70" s="47"/>
      <c r="F70" s="47"/>
      <c r="G70" s="47"/>
      <c r="H70" s="47"/>
      <c r="I70" s="47"/>
      <c r="J70" s="47"/>
      <c r="K70" s="47"/>
      <c r="O70" s="138">
        <f t="shared" si="11"/>
        <v>5.6451591050996991E-7</v>
      </c>
      <c r="P70" s="139"/>
      <c r="Q70" s="139"/>
      <c r="R70" s="47" t="str">
        <f>BA18</f>
        <v>Чёрёмуха</v>
      </c>
      <c r="S70" s="47"/>
      <c r="T70" s="47"/>
      <c r="U70" s="123">
        <f>BA52/(AE16*AE16*3.15/10000*1000)</f>
        <v>1.001957825591205E-6</v>
      </c>
      <c r="V70" s="139" t="e">
        <f>BB52</f>
        <v>#DIV/0!</v>
      </c>
      <c r="W70" s="139">
        <f>BC52</f>
        <v>0</v>
      </c>
      <c r="X70" s="140" t="e">
        <f>BD52</f>
        <v>#DIV/0!</v>
      </c>
      <c r="Y70" s="55"/>
    </row>
    <row r="71" spans="2:25" x14ac:dyDescent="0.3">
      <c r="B71" s="81" t="e">
        <f t="shared" si="12"/>
        <v>#DIV/0!</v>
      </c>
      <c r="C71" s="82">
        <f t="shared" si="13"/>
        <v>0</v>
      </c>
      <c r="D71" s="83" t="e">
        <f t="shared" si="14"/>
        <v>#DIV/0!</v>
      </c>
      <c r="E71" s="47"/>
      <c r="F71" s="47"/>
      <c r="G71" s="47"/>
      <c r="H71" s="47"/>
      <c r="I71" s="47"/>
      <c r="J71" s="47"/>
      <c r="K71" s="47"/>
      <c r="O71" s="138">
        <f t="shared" si="11"/>
        <v>5.6451591050996991E-7</v>
      </c>
      <c r="P71" s="139"/>
      <c r="Q71" s="139"/>
      <c r="R71" s="47" t="str">
        <f>BE18</f>
        <v>Дуб</v>
      </c>
      <c r="S71" s="47"/>
      <c r="T71" s="47"/>
      <c r="U71" s="123">
        <f>BE52/(AE16*AE16*3.15/10000*1000)</f>
        <v>1.001957825591205E-6</v>
      </c>
      <c r="V71" s="139" t="e">
        <f>BF52</f>
        <v>#DIV/0!</v>
      </c>
      <c r="W71" s="139">
        <f>BG52</f>
        <v>0</v>
      </c>
      <c r="X71" s="140" t="e">
        <f>BH52</f>
        <v>#DIV/0!</v>
      </c>
      <c r="Y71" s="55"/>
    </row>
    <row r="72" spans="2:25" x14ac:dyDescent="0.3">
      <c r="B72" s="81" t="e">
        <f t="shared" si="12"/>
        <v>#DIV/0!</v>
      </c>
      <c r="C72" s="82">
        <f t="shared" si="13"/>
        <v>1.2882314900458351</v>
      </c>
      <c r="D72" s="83">
        <f t="shared" si="14"/>
        <v>5.7731855665017049</v>
      </c>
      <c r="E72" s="47"/>
      <c r="F72" s="47"/>
      <c r="G72" s="47"/>
      <c r="H72" s="47"/>
      <c r="I72" s="47"/>
      <c r="J72" s="47"/>
      <c r="K72" s="47"/>
      <c r="O72" s="138">
        <f t="shared" si="11"/>
        <v>0.88709643080138156</v>
      </c>
      <c r="P72" s="139"/>
      <c r="Q72" s="139"/>
      <c r="R72" s="47" t="str">
        <f>BI18</f>
        <v>Рябина</v>
      </c>
      <c r="S72" s="47"/>
      <c r="T72" s="47"/>
      <c r="U72" s="123">
        <f>BI52/(AE16*AE16*3.15/10000*1000)</f>
        <v>1.5745051545004651</v>
      </c>
      <c r="V72" s="139" t="e">
        <f>BJ52</f>
        <v>#DIV/0!</v>
      </c>
      <c r="W72" s="139">
        <f>BK52</f>
        <v>0.81818181818181823</v>
      </c>
      <c r="X72" s="140">
        <f>BL52</f>
        <v>3.6666666666666665</v>
      </c>
      <c r="Y72" s="55"/>
    </row>
    <row r="73" spans="2:25" x14ac:dyDescent="0.3">
      <c r="B73" s="62">
        <f>AC72*AA72</f>
        <v>0</v>
      </c>
      <c r="C73" s="71">
        <f>AI72*AG72</f>
        <v>0</v>
      </c>
      <c r="D73" s="63"/>
      <c r="E73" s="47"/>
      <c r="F73" s="47"/>
      <c r="G73" s="47"/>
      <c r="H73" s="47"/>
      <c r="I73" s="47"/>
      <c r="J73" s="47"/>
      <c r="K73" s="47"/>
      <c r="O73" s="118"/>
      <c r="P73" s="47"/>
      <c r="Q73" s="47"/>
      <c r="R73" s="47"/>
      <c r="S73" s="47"/>
      <c r="T73" s="47"/>
      <c r="U73" s="141"/>
      <c r="V73" s="141"/>
      <c r="W73" s="141"/>
      <c r="X73" s="140"/>
      <c r="Y73" s="55"/>
    </row>
    <row r="74" spans="2:25" x14ac:dyDescent="0.3">
      <c r="B74" s="62">
        <f>AC73*AA73</f>
        <v>0</v>
      </c>
      <c r="C74" s="71">
        <f>AI73*AG73</f>
        <v>0</v>
      </c>
      <c r="D74" s="63">
        <f>W73*U73</f>
        <v>0</v>
      </c>
      <c r="E74" s="47"/>
      <c r="F74" s="47"/>
      <c r="G74" s="47"/>
      <c r="H74" s="47"/>
      <c r="I74" s="47"/>
      <c r="J74" s="47"/>
      <c r="K74" s="47"/>
      <c r="O74" s="118"/>
      <c r="P74" s="47"/>
      <c r="Q74" s="47"/>
      <c r="R74" s="47"/>
      <c r="S74" s="47"/>
      <c r="T74" s="47"/>
      <c r="U74" s="141"/>
      <c r="V74" s="141"/>
      <c r="W74" s="141"/>
      <c r="X74" s="140"/>
      <c r="Y74" s="55"/>
    </row>
    <row r="75" spans="2:25" x14ac:dyDescent="0.3">
      <c r="B75" s="62">
        <f>AC74*AA74</f>
        <v>0</v>
      </c>
      <c r="C75" s="71">
        <f>AI74*AG74</f>
        <v>0</v>
      </c>
      <c r="D75" s="63">
        <f>W74*U74</f>
        <v>0</v>
      </c>
      <c r="E75" s="47"/>
      <c r="F75" s="47"/>
      <c r="G75" s="47"/>
      <c r="H75" s="47"/>
      <c r="I75" s="47"/>
      <c r="J75" s="47"/>
      <c r="K75" s="47"/>
      <c r="O75" s="142">
        <f>SUM(O63:O72)</f>
        <v>10.000000000000002</v>
      </c>
      <c r="P75" s="143"/>
      <c r="Q75" s="143"/>
      <c r="R75" s="45" t="s">
        <v>27</v>
      </c>
      <c r="S75" s="45"/>
      <c r="T75" s="45"/>
      <c r="U75" s="144">
        <f>SUM(U63:U72)</f>
        <v>17.748974066755011</v>
      </c>
      <c r="V75" s="144" t="e">
        <f>SUM(B63:B72)/$U$75</f>
        <v>#DIV/0!</v>
      </c>
      <c r="W75" s="144">
        <f>SUM(C63:C72)/$U$75</f>
        <v>2.2774185631766848</v>
      </c>
      <c r="X75" s="145" t="e">
        <f>SUM(D63:D72)/$U$75</f>
        <v>#DIV/0!</v>
      </c>
      <c r="Y75" s="55"/>
    </row>
    <row r="76" spans="2:25" x14ac:dyDescent="0.3">
      <c r="B76" s="62">
        <f>AC75*AA75</f>
        <v>0</v>
      </c>
      <c r="C76" s="71">
        <f>AI75*AG75</f>
        <v>0</v>
      </c>
      <c r="D76" s="63"/>
      <c r="E76" s="47"/>
      <c r="F76" s="47"/>
      <c r="G76" s="47"/>
      <c r="H76" s="47"/>
      <c r="I76" s="47"/>
      <c r="J76" s="47"/>
      <c r="K76" s="47"/>
    </row>
    <row r="77" spans="2:25" ht="15" thickBot="1" x14ac:dyDescent="0.35">
      <c r="B77" s="64">
        <f>AC93*AA93</f>
        <v>0</v>
      </c>
      <c r="C77" s="72">
        <f>AI93*AG93</f>
        <v>0</v>
      </c>
      <c r="D77" s="66">
        <f>W93*U93</f>
        <v>0</v>
      </c>
      <c r="E77" s="47"/>
      <c r="F77" s="47"/>
      <c r="G77" s="47"/>
      <c r="H77" s="47"/>
      <c r="I77" s="47"/>
      <c r="J77" s="47"/>
      <c r="K77" s="47"/>
    </row>
  </sheetData>
  <mergeCells count="11">
    <mergeCell ref="AO18:AR18"/>
    <mergeCell ref="O18:R18"/>
    <mergeCell ref="S18:X18"/>
    <mergeCell ref="Y18:AD18"/>
    <mergeCell ref="AE18:AJ18"/>
    <mergeCell ref="AK18:AN18"/>
    <mergeCell ref="AS18:AV18"/>
    <mergeCell ref="AW18:AZ18"/>
    <mergeCell ref="BA18:BD18"/>
    <mergeCell ref="BE18:BH18"/>
    <mergeCell ref="BI18:BL18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BL77"/>
  <sheetViews>
    <sheetView tabSelected="1" zoomScale="80" zoomScaleNormal="80" workbookViewId="0">
      <pane xSplit="18" ySplit="19" topLeftCell="S20" activePane="bottomRight" state="frozen"/>
      <selection pane="topRight" activeCell="Q1" sqref="Q1"/>
      <selection pane="bottomLeft" activeCell="A11" sqref="A11"/>
      <selection pane="bottomRight" activeCell="AA34" sqref="AA34"/>
    </sheetView>
  </sheetViews>
  <sheetFormatPr defaultRowHeight="14.4" x14ac:dyDescent="0.3"/>
  <cols>
    <col min="2" max="2" width="16.109375" hidden="1" customWidth="1"/>
    <col min="3" max="3" width="17.5546875" hidden="1" customWidth="1"/>
    <col min="4" max="11" width="12.88671875" hidden="1" customWidth="1"/>
    <col min="18" max="18" width="11" customWidth="1"/>
    <col min="21" max="21" width="9" customWidth="1"/>
    <col min="34" max="56" width="9.88671875" bestFit="1" customWidth="1"/>
  </cols>
  <sheetData>
    <row r="1" spans="14:39" ht="15" thickBot="1" x14ac:dyDescent="0.35"/>
    <row r="2" spans="14:39" x14ac:dyDescent="0.3">
      <c r="V2" s="59"/>
      <c r="W2" s="67" t="s">
        <v>38</v>
      </c>
      <c r="X2" s="67"/>
      <c r="Y2" s="60"/>
      <c r="Z2" s="60"/>
      <c r="AA2" s="60"/>
      <c r="AB2" s="60"/>
      <c r="AC2" s="60"/>
      <c r="AD2" s="60"/>
      <c r="AE2" s="60">
        <v>8</v>
      </c>
      <c r="AF2" s="60" t="s">
        <v>142</v>
      </c>
      <c r="AG2" s="60"/>
      <c r="AH2" s="60"/>
      <c r="AI2" s="60"/>
      <c r="AJ2" s="60"/>
      <c r="AK2" s="60"/>
      <c r="AL2" s="60"/>
      <c r="AM2" s="61"/>
    </row>
    <row r="3" spans="14:39" x14ac:dyDescent="0.3">
      <c r="V3" s="62">
        <v>1</v>
      </c>
      <c r="W3" s="47" t="s">
        <v>158</v>
      </c>
      <c r="X3" s="47"/>
      <c r="Y3" s="47"/>
      <c r="Z3" s="47"/>
      <c r="AA3" s="47"/>
      <c r="AB3" s="47"/>
      <c r="AC3" s="47"/>
      <c r="AD3" s="47"/>
      <c r="AE3" s="47">
        <v>9</v>
      </c>
      <c r="AF3" s="47" t="s">
        <v>156</v>
      </c>
      <c r="AG3" s="47"/>
      <c r="AH3" s="47"/>
      <c r="AI3" s="47"/>
      <c r="AJ3" s="47"/>
      <c r="AK3" s="47"/>
      <c r="AL3" s="47"/>
      <c r="AM3" s="63"/>
    </row>
    <row r="4" spans="14:39" x14ac:dyDescent="0.3">
      <c r="V4" s="62">
        <v>2</v>
      </c>
      <c r="W4" s="47" t="s">
        <v>159</v>
      </c>
      <c r="X4" s="47"/>
      <c r="Y4" s="47"/>
      <c r="Z4" s="47"/>
      <c r="AA4" s="47"/>
      <c r="AB4" s="47"/>
      <c r="AC4" s="47"/>
      <c r="AD4" s="47"/>
      <c r="AE4" s="47">
        <v>10</v>
      </c>
      <c r="AF4" s="47" t="s">
        <v>157</v>
      </c>
      <c r="AG4" s="47"/>
      <c r="AH4" s="47"/>
      <c r="AI4" s="47"/>
      <c r="AJ4" s="47"/>
      <c r="AK4" s="47"/>
      <c r="AL4" s="47"/>
      <c r="AM4" s="63"/>
    </row>
    <row r="5" spans="14:39" x14ac:dyDescent="0.3">
      <c r="V5" s="62">
        <v>3</v>
      </c>
      <c r="W5" s="47" t="s">
        <v>34</v>
      </c>
      <c r="X5" s="47"/>
      <c r="Y5" s="47"/>
      <c r="Z5" s="47"/>
      <c r="AA5" s="47"/>
      <c r="AB5" s="47"/>
      <c r="AC5" s="47"/>
      <c r="AD5" s="47"/>
      <c r="AE5" s="47">
        <v>11</v>
      </c>
      <c r="AF5" s="47" t="s">
        <v>39</v>
      </c>
      <c r="AG5" s="47"/>
      <c r="AH5" s="47"/>
      <c r="AI5" s="47"/>
      <c r="AJ5" s="47"/>
      <c r="AK5" s="47"/>
      <c r="AL5" s="47"/>
      <c r="AM5" s="63"/>
    </row>
    <row r="6" spans="14:39" x14ac:dyDescent="0.3">
      <c r="V6" s="62">
        <v>4</v>
      </c>
      <c r="W6" s="47" t="s">
        <v>35</v>
      </c>
      <c r="X6" s="47"/>
      <c r="Y6" s="47"/>
      <c r="Z6" s="47"/>
      <c r="AA6" s="47"/>
      <c r="AB6" s="47"/>
      <c r="AC6" s="47"/>
      <c r="AD6" s="47"/>
      <c r="AE6" s="47">
        <v>12</v>
      </c>
      <c r="AF6" s="47" t="s">
        <v>40</v>
      </c>
      <c r="AG6" s="47"/>
      <c r="AH6" s="47"/>
      <c r="AI6" s="47"/>
      <c r="AJ6" s="47"/>
      <c r="AK6" s="47"/>
      <c r="AL6" s="47"/>
      <c r="AM6" s="63"/>
    </row>
    <row r="7" spans="14:39" x14ac:dyDescent="0.3">
      <c r="V7" s="62">
        <v>5</v>
      </c>
      <c r="W7" s="47" t="s">
        <v>36</v>
      </c>
      <c r="X7" s="47"/>
      <c r="Y7" s="47"/>
      <c r="Z7" s="47"/>
      <c r="AA7" s="47"/>
      <c r="AB7" s="47"/>
      <c r="AC7" s="47"/>
      <c r="AD7" s="47"/>
      <c r="AE7" s="47">
        <v>13</v>
      </c>
      <c r="AF7" s="47" t="s">
        <v>41</v>
      </c>
      <c r="AG7" s="47"/>
      <c r="AH7" s="47"/>
      <c r="AI7" s="47"/>
      <c r="AJ7" s="47"/>
      <c r="AK7" s="47"/>
      <c r="AL7" s="47"/>
      <c r="AM7" s="63"/>
    </row>
    <row r="8" spans="14:39" x14ac:dyDescent="0.3">
      <c r="V8" s="62">
        <v>6</v>
      </c>
      <c r="W8" s="47" t="s">
        <v>141</v>
      </c>
      <c r="X8" s="47"/>
      <c r="Y8" s="47"/>
      <c r="Z8" s="47"/>
      <c r="AA8" s="47"/>
      <c r="AB8" s="47"/>
      <c r="AC8" s="47"/>
      <c r="AD8" s="47"/>
      <c r="AE8" s="47">
        <v>14</v>
      </c>
      <c r="AF8" s="47"/>
      <c r="AG8" s="47"/>
      <c r="AH8" s="47"/>
      <c r="AI8" s="47"/>
      <c r="AJ8" s="47"/>
      <c r="AK8" s="47"/>
      <c r="AL8" s="47"/>
      <c r="AM8" s="63"/>
    </row>
    <row r="9" spans="14:39" ht="15" thickBot="1" x14ac:dyDescent="0.35">
      <c r="V9" s="64">
        <v>7</v>
      </c>
      <c r="W9" s="65" t="s">
        <v>37</v>
      </c>
      <c r="X9" s="65"/>
      <c r="Y9" s="65"/>
      <c r="Z9" s="65"/>
      <c r="AA9" s="65"/>
      <c r="AB9" s="65"/>
      <c r="AC9" s="65"/>
      <c r="AD9" s="65"/>
      <c r="AE9" s="65">
        <v>15</v>
      </c>
      <c r="AF9" s="65"/>
      <c r="AG9" s="65"/>
      <c r="AH9" s="65"/>
      <c r="AI9" s="65"/>
      <c r="AJ9" s="65"/>
      <c r="AK9" s="65"/>
      <c r="AL9" s="65"/>
      <c r="AM9" s="66"/>
    </row>
    <row r="13" spans="14:39" x14ac:dyDescent="0.3">
      <c r="N13" t="s">
        <v>32</v>
      </c>
      <c r="T13" s="45"/>
    </row>
    <row r="16" spans="14:39" x14ac:dyDescent="0.3">
      <c r="N16" s="46" t="s">
        <v>13</v>
      </c>
      <c r="S16">
        <v>1</v>
      </c>
      <c r="U16" s="45" t="s">
        <v>14</v>
      </c>
      <c r="V16" s="45"/>
      <c r="W16" s="45"/>
      <c r="X16" s="45" t="s">
        <v>15</v>
      </c>
      <c r="Y16" s="45"/>
      <c r="Z16" s="45" t="s">
        <v>16</v>
      </c>
      <c r="AA16" s="45"/>
      <c r="AB16" s="47"/>
      <c r="AC16" s="85" t="s">
        <v>45</v>
      </c>
      <c r="AE16" s="45">
        <v>1.78</v>
      </c>
      <c r="AG16" s="44" t="s">
        <v>28</v>
      </c>
      <c r="AI16" s="44"/>
    </row>
    <row r="17" spans="2:64" ht="15" thickBot="1" x14ac:dyDescent="0.35"/>
    <row r="18" spans="2:64" ht="15.6" thickTop="1" thickBot="1" x14ac:dyDescent="0.35">
      <c r="B18" s="59" t="s">
        <v>31</v>
      </c>
      <c r="C18" s="60"/>
      <c r="D18" s="60"/>
      <c r="E18" s="60"/>
      <c r="F18" s="60"/>
      <c r="G18" s="60"/>
      <c r="H18" s="60"/>
      <c r="I18" s="60"/>
      <c r="J18" s="60"/>
      <c r="K18" s="61"/>
      <c r="N18" s="1" t="s">
        <v>0</v>
      </c>
      <c r="O18" s="202" t="s">
        <v>1</v>
      </c>
      <c r="P18" s="194"/>
      <c r="Q18" s="194"/>
      <c r="R18" s="195"/>
      <c r="S18" s="193" t="s">
        <v>43</v>
      </c>
      <c r="T18" s="194"/>
      <c r="U18" s="194"/>
      <c r="V18" s="194"/>
      <c r="W18" s="194"/>
      <c r="X18" s="195"/>
      <c r="Y18" s="203" t="s">
        <v>17</v>
      </c>
      <c r="Z18" s="204"/>
      <c r="AA18" s="204"/>
      <c r="AB18" s="204"/>
      <c r="AC18" s="204"/>
      <c r="AD18" s="205"/>
      <c r="AE18" s="206" t="s">
        <v>18</v>
      </c>
      <c r="AF18" s="207"/>
      <c r="AG18" s="207"/>
      <c r="AH18" s="207"/>
      <c r="AI18" s="207"/>
      <c r="AJ18" s="208"/>
      <c r="AK18" s="193" t="s">
        <v>19</v>
      </c>
      <c r="AL18" s="194"/>
      <c r="AM18" s="194"/>
      <c r="AN18" s="195"/>
      <c r="AO18" s="193" t="s">
        <v>20</v>
      </c>
      <c r="AP18" s="194"/>
      <c r="AQ18" s="194"/>
      <c r="AR18" s="195"/>
      <c r="AS18" s="193" t="s">
        <v>21</v>
      </c>
      <c r="AT18" s="194"/>
      <c r="AU18" s="194"/>
      <c r="AV18" s="195"/>
      <c r="AW18" s="193" t="s">
        <v>26</v>
      </c>
      <c r="AX18" s="194"/>
      <c r="AY18" s="194"/>
      <c r="AZ18" s="195"/>
      <c r="BA18" s="193" t="s">
        <v>22</v>
      </c>
      <c r="BB18" s="194"/>
      <c r="BC18" s="194"/>
      <c r="BD18" s="195"/>
      <c r="BE18" s="193" t="s">
        <v>29</v>
      </c>
      <c r="BF18" s="194"/>
      <c r="BG18" s="194"/>
      <c r="BH18" s="195"/>
      <c r="BI18" s="193" t="s">
        <v>42</v>
      </c>
      <c r="BJ18" s="194"/>
      <c r="BK18" s="194"/>
      <c r="BL18" s="195"/>
    </row>
    <row r="19" spans="2:64" ht="21" thickBot="1" x14ac:dyDescent="0.35">
      <c r="B19" s="64" t="str">
        <f>Y18</f>
        <v>Ель из подроста</v>
      </c>
      <c r="C19" s="65" t="str">
        <f>AE18</f>
        <v>ЕЛЬ лесные культуры</v>
      </c>
      <c r="D19" s="65" t="str">
        <f>S18</f>
        <v>Сосна</v>
      </c>
      <c r="E19" s="65" t="str">
        <f>AK18</f>
        <v>Берёза</v>
      </c>
      <c r="F19" s="65" t="str">
        <f>AO18</f>
        <v>Осина</v>
      </c>
      <c r="G19" s="65" t="str">
        <f>AS18</f>
        <v>Ольха серая</v>
      </c>
      <c r="H19" s="65" t="str">
        <f>AW18</f>
        <v>Ива</v>
      </c>
      <c r="I19" s="65" t="str">
        <f>BA18</f>
        <v>Чёрёмуха</v>
      </c>
      <c r="J19" s="65" t="str">
        <f>BE18</f>
        <v>Дуб</v>
      </c>
      <c r="K19" s="66" t="str">
        <f>BI18</f>
        <v>Рябина</v>
      </c>
      <c r="L19" t="s">
        <v>46</v>
      </c>
      <c r="N19" s="31" t="s">
        <v>2</v>
      </c>
      <c r="O19" s="25" t="s">
        <v>3</v>
      </c>
      <c r="P19" s="86" t="s">
        <v>48</v>
      </c>
      <c r="Q19" s="86" t="s">
        <v>47</v>
      </c>
      <c r="R19" s="68" t="s">
        <v>4</v>
      </c>
      <c r="S19" s="41" t="s">
        <v>5</v>
      </c>
      <c r="T19" s="42" t="s">
        <v>6</v>
      </c>
      <c r="U19" s="42" t="s">
        <v>7</v>
      </c>
      <c r="V19" s="42" t="s">
        <v>23</v>
      </c>
      <c r="W19" s="43" t="s">
        <v>8</v>
      </c>
      <c r="X19" s="26" t="s">
        <v>9</v>
      </c>
      <c r="Y19" s="70" t="s">
        <v>5</v>
      </c>
      <c r="Z19" s="42" t="s">
        <v>6</v>
      </c>
      <c r="AA19" s="42" t="s">
        <v>7</v>
      </c>
      <c r="AB19" s="42" t="s">
        <v>23</v>
      </c>
      <c r="AC19" s="43" t="s">
        <v>8</v>
      </c>
      <c r="AD19" s="26" t="s">
        <v>9</v>
      </c>
      <c r="AE19" s="53" t="s">
        <v>5</v>
      </c>
      <c r="AF19" s="50" t="s">
        <v>6</v>
      </c>
      <c r="AG19" s="50" t="s">
        <v>7</v>
      </c>
      <c r="AH19" s="50" t="s">
        <v>23</v>
      </c>
      <c r="AI19" s="51" t="s">
        <v>8</v>
      </c>
      <c r="AJ19" s="54" t="s">
        <v>9</v>
      </c>
      <c r="AK19" s="49" t="s">
        <v>10</v>
      </c>
      <c r="AL19" s="50" t="s">
        <v>23</v>
      </c>
      <c r="AM19" s="51" t="s">
        <v>8</v>
      </c>
      <c r="AN19" s="52" t="s">
        <v>9</v>
      </c>
      <c r="AO19" s="25" t="s">
        <v>10</v>
      </c>
      <c r="AP19" s="42" t="s">
        <v>23</v>
      </c>
      <c r="AQ19" s="43" t="s">
        <v>8</v>
      </c>
      <c r="AR19" s="26" t="s">
        <v>9</v>
      </c>
      <c r="AS19" s="25" t="s">
        <v>10</v>
      </c>
      <c r="AT19" s="42" t="s">
        <v>23</v>
      </c>
      <c r="AU19" s="43" t="s">
        <v>8</v>
      </c>
      <c r="AV19" s="26" t="s">
        <v>9</v>
      </c>
      <c r="AW19" s="25" t="s">
        <v>10</v>
      </c>
      <c r="AX19" s="42" t="s">
        <v>23</v>
      </c>
      <c r="AY19" s="43" t="s">
        <v>8</v>
      </c>
      <c r="AZ19" s="26" t="s">
        <v>9</v>
      </c>
      <c r="BA19" s="25" t="s">
        <v>10</v>
      </c>
      <c r="BB19" s="42" t="s">
        <v>23</v>
      </c>
      <c r="BC19" s="43" t="s">
        <v>8</v>
      </c>
      <c r="BD19" s="26" t="s">
        <v>9</v>
      </c>
      <c r="BE19" s="25" t="s">
        <v>10</v>
      </c>
      <c r="BF19" s="42" t="s">
        <v>23</v>
      </c>
      <c r="BG19" s="43" t="s">
        <v>8</v>
      </c>
      <c r="BH19" s="26" t="s">
        <v>9</v>
      </c>
      <c r="BI19" s="25" t="s">
        <v>10</v>
      </c>
      <c r="BJ19" s="42" t="s">
        <v>23</v>
      </c>
      <c r="BK19" s="43" t="s">
        <v>8</v>
      </c>
      <c r="BL19" s="26" t="s">
        <v>9</v>
      </c>
    </row>
    <row r="20" spans="2:64" x14ac:dyDescent="0.3">
      <c r="B20" s="62">
        <f>AC20*AA20</f>
        <v>0</v>
      </c>
      <c r="C20" s="47">
        <f>AI20*AG20</f>
        <v>0</v>
      </c>
      <c r="D20" s="47">
        <f>W20*U20</f>
        <v>1.6</v>
      </c>
      <c r="E20" s="47">
        <f>AK20*AM20</f>
        <v>64.399999999999991</v>
      </c>
      <c r="F20" s="47">
        <f>AO20*AQ20</f>
        <v>0</v>
      </c>
      <c r="G20" s="47">
        <f>AS20*AU20</f>
        <v>0</v>
      </c>
      <c r="H20" s="47">
        <f>AW20*AY20</f>
        <v>0</v>
      </c>
      <c r="I20" s="47">
        <f>BA20*BC20</f>
        <v>0</v>
      </c>
      <c r="J20" s="47">
        <f>BE20*BG20</f>
        <v>0</v>
      </c>
      <c r="K20" s="63">
        <f>BI20*BK20</f>
        <v>0</v>
      </c>
      <c r="L20" s="55">
        <f>SUM(S20:U20,Y20:AA20,AE20:AG20,AK20,AO20,AS20,AW20,BA20,BE20,BI20)/($AE$16*$AE$16*3.15/10000*1000)</f>
        <v>33.064621269961485</v>
      </c>
      <c r="N20" s="32">
        <v>1</v>
      </c>
      <c r="O20" s="27">
        <v>926</v>
      </c>
      <c r="P20" s="87" t="s">
        <v>175</v>
      </c>
      <c r="Q20" s="87"/>
      <c r="R20" s="69"/>
      <c r="S20" s="40">
        <v>9.9999999999999995E-7</v>
      </c>
      <c r="T20" s="40">
        <v>9.9999999999999995E-7</v>
      </c>
      <c r="U20" s="40">
        <v>1</v>
      </c>
      <c r="V20" s="40"/>
      <c r="W20" s="40">
        <v>1.6</v>
      </c>
      <c r="X20" s="24">
        <v>7</v>
      </c>
      <c r="Y20" s="40">
        <v>9.9999999999999995E-7</v>
      </c>
      <c r="Z20" s="40">
        <v>9.9999999999999995E-7</v>
      </c>
      <c r="AA20" s="40">
        <v>9.9999999999999995E-7</v>
      </c>
      <c r="AB20" s="6"/>
      <c r="AC20" s="7"/>
      <c r="AD20" s="36"/>
      <c r="AE20" s="40">
        <v>4</v>
      </c>
      <c r="AF20" s="40">
        <v>9.9999999999999995E-7</v>
      </c>
      <c r="AG20" s="40">
        <v>9.9999999999999995E-7</v>
      </c>
      <c r="AH20" s="6"/>
      <c r="AI20" s="7"/>
      <c r="AJ20" s="8">
        <v>7</v>
      </c>
      <c r="AK20" s="40">
        <v>28</v>
      </c>
      <c r="AL20" s="7"/>
      <c r="AM20" s="7">
        <v>2.2999999999999998</v>
      </c>
      <c r="AN20" s="8">
        <v>8</v>
      </c>
      <c r="AO20" s="40">
        <v>9.9999999999999995E-7</v>
      </c>
      <c r="AP20" s="27"/>
      <c r="AQ20" s="40"/>
      <c r="AR20" s="24"/>
      <c r="AS20" s="40">
        <v>9.9999999999999995E-7</v>
      </c>
      <c r="AT20" s="27"/>
      <c r="AU20" s="40"/>
      <c r="AV20" s="24"/>
      <c r="AW20" s="40">
        <v>9.9999999999999995E-7</v>
      </c>
      <c r="AX20" s="27"/>
      <c r="AY20" s="40"/>
      <c r="AZ20" s="24"/>
      <c r="BA20" s="40">
        <v>9.9999999999999995E-7</v>
      </c>
      <c r="BB20" s="27"/>
      <c r="BC20" s="40"/>
      <c r="BD20" s="24"/>
      <c r="BE20" s="40">
        <v>9.9999999999999995E-7</v>
      </c>
      <c r="BF20" s="27"/>
      <c r="BG20" s="40"/>
      <c r="BH20" s="24"/>
      <c r="BI20" s="40">
        <v>9.9999999999999995E-7</v>
      </c>
      <c r="BJ20" s="27"/>
      <c r="BK20" s="40"/>
      <c r="BL20" s="24"/>
    </row>
    <row r="21" spans="2:64" x14ac:dyDescent="0.3">
      <c r="B21" s="62">
        <f t="shared" ref="B21:B51" si="0">AC21*AA21</f>
        <v>0</v>
      </c>
      <c r="C21" s="47">
        <f t="shared" ref="C21:C51" si="1">AI21*AG21</f>
        <v>0</v>
      </c>
      <c r="D21" s="47">
        <f t="shared" ref="D21:D51" si="2">W21*U21</f>
        <v>0</v>
      </c>
      <c r="E21" s="47">
        <f t="shared" ref="E21:E51" si="3">AK21*AM21</f>
        <v>80</v>
      </c>
      <c r="F21" s="47">
        <f t="shared" ref="F21:F51" si="4">AO21*AQ21</f>
        <v>0</v>
      </c>
      <c r="G21" s="47">
        <f t="shared" ref="G21:G51" si="5">AS21*AU21</f>
        <v>0</v>
      </c>
      <c r="H21" s="47">
        <f t="shared" ref="H21:H51" si="6">AW21*AY21</f>
        <v>0</v>
      </c>
      <c r="I21" s="47">
        <f t="shared" ref="I21:I51" si="7">BA21*BC21</f>
        <v>0</v>
      </c>
      <c r="J21" s="47">
        <f t="shared" ref="J21:J51" si="8">BE21*BG21</f>
        <v>0</v>
      </c>
      <c r="K21" s="63">
        <f t="shared" ref="K21:K51" si="9">BI21*BK21</f>
        <v>0</v>
      </c>
      <c r="L21" s="55">
        <f t="shared" ref="L21:L51" si="10">SUM(S21:U21,Y21:AA21,AE21:AG21,AK21,AO21,AS21,AW21,BA21,BE21,BI21)/($AE$16*$AE$16*3.15/10000*1000)</f>
        <v>32.062650418918565</v>
      </c>
      <c r="N21" s="33">
        <v>2</v>
      </c>
      <c r="O21" s="28">
        <v>927</v>
      </c>
      <c r="P21" s="88" t="s">
        <v>175</v>
      </c>
      <c r="Q21" s="88"/>
      <c r="R21" s="37"/>
      <c r="S21" s="20">
        <v>0</v>
      </c>
      <c r="T21" s="3"/>
      <c r="U21" s="3">
        <v>0</v>
      </c>
      <c r="V21" s="3"/>
      <c r="W21" s="3"/>
      <c r="X21" s="10"/>
      <c r="Y21" s="17">
        <v>0</v>
      </c>
      <c r="Z21" s="2">
        <v>0</v>
      </c>
      <c r="AA21" s="2">
        <v>0</v>
      </c>
      <c r="AB21" s="2"/>
      <c r="AC21" s="3"/>
      <c r="AD21" s="37"/>
      <c r="AE21" s="9">
        <v>0</v>
      </c>
      <c r="AF21" s="2">
        <v>0</v>
      </c>
      <c r="AG21" s="2">
        <v>0</v>
      </c>
      <c r="AH21" s="2"/>
      <c r="AI21" s="3"/>
      <c r="AJ21" s="10"/>
      <c r="AK21" s="28">
        <v>32</v>
      </c>
      <c r="AL21" s="3"/>
      <c r="AM21" s="3">
        <v>2.5</v>
      </c>
      <c r="AN21" s="10">
        <v>7</v>
      </c>
      <c r="AO21" s="28">
        <v>0</v>
      </c>
      <c r="AP21" s="28"/>
      <c r="AQ21" s="3"/>
      <c r="AR21" s="10"/>
      <c r="AS21" s="20"/>
      <c r="AT21" s="28"/>
      <c r="AU21" s="3"/>
      <c r="AV21" s="10"/>
      <c r="AW21" s="20"/>
      <c r="AX21" s="28"/>
      <c r="AY21" s="3"/>
      <c r="AZ21" s="10"/>
      <c r="BA21" s="20"/>
      <c r="BB21" s="28"/>
      <c r="BC21" s="3"/>
      <c r="BD21" s="10"/>
      <c r="BE21" s="23"/>
      <c r="BF21" s="28"/>
      <c r="BG21" s="3"/>
      <c r="BH21" s="10"/>
      <c r="BI21" s="23">
        <v>0</v>
      </c>
      <c r="BJ21" s="28"/>
      <c r="BK21" s="3"/>
      <c r="BL21" s="10"/>
    </row>
    <row r="22" spans="2:64" x14ac:dyDescent="0.3">
      <c r="B22" s="62">
        <f t="shared" si="0"/>
        <v>0</v>
      </c>
      <c r="C22" s="47">
        <f t="shared" si="1"/>
        <v>0</v>
      </c>
      <c r="D22" s="47">
        <f t="shared" si="2"/>
        <v>0</v>
      </c>
      <c r="E22" s="47">
        <f t="shared" si="3"/>
        <v>2.7</v>
      </c>
      <c r="F22" s="47">
        <f t="shared" si="4"/>
        <v>0</v>
      </c>
      <c r="G22" s="47">
        <f t="shared" si="5"/>
        <v>0</v>
      </c>
      <c r="H22" s="47">
        <f t="shared" si="6"/>
        <v>0</v>
      </c>
      <c r="I22" s="47">
        <f t="shared" si="7"/>
        <v>0</v>
      </c>
      <c r="J22" s="47">
        <f t="shared" si="8"/>
        <v>0</v>
      </c>
      <c r="K22" s="63">
        <f t="shared" si="9"/>
        <v>4</v>
      </c>
      <c r="L22" s="55">
        <f t="shared" si="10"/>
        <v>6.011746953547231</v>
      </c>
      <c r="N22" s="33">
        <v>3</v>
      </c>
      <c r="O22" s="28">
        <v>928</v>
      </c>
      <c r="P22" s="88" t="s">
        <v>175</v>
      </c>
      <c r="Q22" s="88"/>
      <c r="R22" s="37"/>
      <c r="S22" s="20">
        <v>0</v>
      </c>
      <c r="T22" s="3"/>
      <c r="U22" s="3">
        <v>0</v>
      </c>
      <c r="V22" s="3"/>
      <c r="W22" s="3"/>
      <c r="X22" s="10"/>
      <c r="Y22" s="17">
        <v>0</v>
      </c>
      <c r="Z22" s="2">
        <v>0</v>
      </c>
      <c r="AA22" s="2">
        <v>0</v>
      </c>
      <c r="AB22" s="2"/>
      <c r="AC22" s="3"/>
      <c r="AD22" s="37"/>
      <c r="AE22" s="9">
        <v>0</v>
      </c>
      <c r="AF22" s="2">
        <v>1</v>
      </c>
      <c r="AG22" s="2">
        <v>0</v>
      </c>
      <c r="AH22" s="2"/>
      <c r="AI22" s="3"/>
      <c r="AJ22" s="10"/>
      <c r="AK22" s="28">
        <v>1</v>
      </c>
      <c r="AL22" s="3"/>
      <c r="AM22" s="3">
        <v>2.7</v>
      </c>
      <c r="AN22" s="10">
        <v>7</v>
      </c>
      <c r="AO22" s="28">
        <v>0</v>
      </c>
      <c r="AP22" s="28"/>
      <c r="AQ22" s="3"/>
      <c r="AR22" s="10"/>
      <c r="AS22" s="20"/>
      <c r="AT22" s="28"/>
      <c r="AU22" s="3"/>
      <c r="AV22" s="10"/>
      <c r="AW22" s="20"/>
      <c r="AX22" s="28"/>
      <c r="AY22" s="3"/>
      <c r="AZ22" s="10"/>
      <c r="BA22" s="20"/>
      <c r="BB22" s="28"/>
      <c r="BC22" s="3"/>
      <c r="BD22" s="10"/>
      <c r="BE22" s="23"/>
      <c r="BF22" s="28"/>
      <c r="BG22" s="3"/>
      <c r="BH22" s="10"/>
      <c r="BI22" s="23">
        <v>4</v>
      </c>
      <c r="BJ22" s="28"/>
      <c r="BK22" s="3">
        <v>1</v>
      </c>
      <c r="BL22" s="10">
        <v>7</v>
      </c>
    </row>
    <row r="23" spans="2:64" x14ac:dyDescent="0.3">
      <c r="B23" s="62">
        <f t="shared" si="0"/>
        <v>0</v>
      </c>
      <c r="C23" s="47">
        <f t="shared" si="1"/>
        <v>0</v>
      </c>
      <c r="D23" s="47">
        <f t="shared" si="2"/>
        <v>2</v>
      </c>
      <c r="E23" s="47">
        <f t="shared" si="3"/>
        <v>13.6</v>
      </c>
      <c r="F23" s="47">
        <f t="shared" si="4"/>
        <v>0</v>
      </c>
      <c r="G23" s="47">
        <f t="shared" si="5"/>
        <v>0</v>
      </c>
      <c r="H23" s="47">
        <f t="shared" si="6"/>
        <v>0</v>
      </c>
      <c r="I23" s="47">
        <f t="shared" si="7"/>
        <v>0</v>
      </c>
      <c r="J23" s="47">
        <f t="shared" si="8"/>
        <v>0</v>
      </c>
      <c r="K23" s="63">
        <f t="shared" si="9"/>
        <v>0</v>
      </c>
      <c r="L23" s="55">
        <f t="shared" si="10"/>
        <v>16.031325209459283</v>
      </c>
      <c r="N23" s="33">
        <v>4</v>
      </c>
      <c r="O23" s="27">
        <v>929</v>
      </c>
      <c r="P23" s="87" t="s">
        <v>175</v>
      </c>
      <c r="Q23" s="87"/>
      <c r="R23" s="37"/>
      <c r="S23" s="20">
        <v>0</v>
      </c>
      <c r="T23" s="3">
        <v>5</v>
      </c>
      <c r="U23" s="3">
        <v>1</v>
      </c>
      <c r="V23" s="3"/>
      <c r="W23" s="3">
        <v>2</v>
      </c>
      <c r="X23" s="10">
        <v>8</v>
      </c>
      <c r="Y23" s="17">
        <v>0</v>
      </c>
      <c r="Z23" s="2">
        <v>0</v>
      </c>
      <c r="AA23" s="2">
        <v>0</v>
      </c>
      <c r="AB23" s="2"/>
      <c r="AC23" s="3"/>
      <c r="AD23" s="37"/>
      <c r="AE23" s="9">
        <v>0</v>
      </c>
      <c r="AF23" s="2">
        <v>2</v>
      </c>
      <c r="AG23" s="2">
        <v>0</v>
      </c>
      <c r="AH23" s="2"/>
      <c r="AI23" s="3"/>
      <c r="AJ23" s="10">
        <v>8</v>
      </c>
      <c r="AK23" s="28">
        <v>8</v>
      </c>
      <c r="AL23" s="3"/>
      <c r="AM23" s="3">
        <v>1.7</v>
      </c>
      <c r="AN23" s="10">
        <v>7</v>
      </c>
      <c r="AO23" s="28">
        <v>0</v>
      </c>
      <c r="AP23" s="28"/>
      <c r="AQ23" s="3"/>
      <c r="AR23" s="10"/>
      <c r="AS23" s="20"/>
      <c r="AT23" s="28"/>
      <c r="AU23" s="3"/>
      <c r="AV23" s="10"/>
      <c r="AW23" s="20"/>
      <c r="AX23" s="28"/>
      <c r="AY23" s="3"/>
      <c r="AZ23" s="10"/>
      <c r="BA23" s="20"/>
      <c r="BB23" s="28"/>
      <c r="BC23" s="3"/>
      <c r="BD23" s="10"/>
      <c r="BE23" s="23"/>
      <c r="BF23" s="28"/>
      <c r="BG23" s="3"/>
      <c r="BH23" s="10"/>
      <c r="BI23" s="23">
        <v>0</v>
      </c>
      <c r="BJ23" s="28"/>
      <c r="BK23" s="3"/>
      <c r="BL23" s="10"/>
    </row>
    <row r="24" spans="2:64" x14ac:dyDescent="0.3">
      <c r="B24" s="62">
        <f t="shared" si="0"/>
        <v>0</v>
      </c>
      <c r="C24" s="47">
        <f t="shared" si="1"/>
        <v>0</v>
      </c>
      <c r="D24" s="47">
        <f t="shared" si="2"/>
        <v>0</v>
      </c>
      <c r="E24" s="47">
        <f t="shared" si="3"/>
        <v>14.700000000000001</v>
      </c>
      <c r="F24" s="47">
        <f t="shared" si="4"/>
        <v>0</v>
      </c>
      <c r="G24" s="47">
        <f t="shared" si="5"/>
        <v>0</v>
      </c>
      <c r="H24" s="47">
        <f t="shared" si="6"/>
        <v>0</v>
      </c>
      <c r="I24" s="47">
        <f t="shared" si="7"/>
        <v>0</v>
      </c>
      <c r="J24" s="47">
        <f t="shared" si="8"/>
        <v>0</v>
      </c>
      <c r="K24" s="63">
        <f t="shared" si="9"/>
        <v>0</v>
      </c>
      <c r="L24" s="55">
        <f t="shared" si="10"/>
        <v>12.023493907094462</v>
      </c>
      <c r="N24" s="33">
        <v>5</v>
      </c>
      <c r="O24" s="28">
        <v>930</v>
      </c>
      <c r="P24" s="88" t="s">
        <v>175</v>
      </c>
      <c r="Q24" s="88"/>
      <c r="R24" s="37"/>
      <c r="S24" s="20">
        <v>0</v>
      </c>
      <c r="T24" s="3"/>
      <c r="U24" s="3">
        <v>0</v>
      </c>
      <c r="V24" s="3"/>
      <c r="W24" s="3"/>
      <c r="X24" s="10"/>
      <c r="Y24" s="17">
        <v>0</v>
      </c>
      <c r="Z24" s="2">
        <v>0</v>
      </c>
      <c r="AA24" s="2">
        <v>0</v>
      </c>
      <c r="AB24" s="2"/>
      <c r="AC24" s="3"/>
      <c r="AD24" s="37"/>
      <c r="AE24" s="9">
        <v>2</v>
      </c>
      <c r="AF24" s="2">
        <v>3</v>
      </c>
      <c r="AG24" s="2">
        <v>0</v>
      </c>
      <c r="AH24" s="2"/>
      <c r="AI24" s="3"/>
      <c r="AJ24" s="10">
        <v>8</v>
      </c>
      <c r="AK24" s="28">
        <v>7</v>
      </c>
      <c r="AL24" s="3"/>
      <c r="AM24" s="3">
        <v>2.1</v>
      </c>
      <c r="AN24" s="10">
        <v>7</v>
      </c>
      <c r="AO24" s="28">
        <v>0</v>
      </c>
      <c r="AP24" s="28"/>
      <c r="AQ24" s="3"/>
      <c r="AR24" s="10"/>
      <c r="AS24" s="20"/>
      <c r="AT24" s="28"/>
      <c r="AU24" s="3"/>
      <c r="AV24" s="10"/>
      <c r="AW24" s="20"/>
      <c r="AX24" s="28"/>
      <c r="AY24" s="3"/>
      <c r="AZ24" s="10"/>
      <c r="BA24" s="20"/>
      <c r="BB24" s="28"/>
      <c r="BC24" s="3"/>
      <c r="BD24" s="10"/>
      <c r="BE24" s="23"/>
      <c r="BF24" s="28"/>
      <c r="BG24" s="3"/>
      <c r="BH24" s="10"/>
      <c r="BI24" s="20">
        <v>0</v>
      </c>
      <c r="BJ24" s="28"/>
      <c r="BK24" s="3"/>
      <c r="BL24" s="10"/>
    </row>
    <row r="25" spans="2:64" x14ac:dyDescent="0.3">
      <c r="B25" s="62">
        <f t="shared" si="0"/>
        <v>0</v>
      </c>
      <c r="C25" s="47">
        <f t="shared" si="1"/>
        <v>7.2</v>
      </c>
      <c r="D25" s="47">
        <f t="shared" si="2"/>
        <v>0</v>
      </c>
      <c r="E25" s="47">
        <f t="shared" si="3"/>
        <v>6</v>
      </c>
      <c r="F25" s="47">
        <f t="shared" si="4"/>
        <v>13.299999999999999</v>
      </c>
      <c r="G25" s="47">
        <f t="shared" si="5"/>
        <v>0</v>
      </c>
      <c r="H25" s="47">
        <f t="shared" si="6"/>
        <v>0</v>
      </c>
      <c r="I25" s="47">
        <f t="shared" si="7"/>
        <v>0</v>
      </c>
      <c r="J25" s="47">
        <f t="shared" si="8"/>
        <v>0</v>
      </c>
      <c r="K25" s="63">
        <f t="shared" si="9"/>
        <v>1.5</v>
      </c>
      <c r="L25" s="55">
        <f t="shared" si="10"/>
        <v>20.039156511824103</v>
      </c>
      <c r="N25" s="33">
        <v>6</v>
      </c>
      <c r="O25" s="28">
        <v>931</v>
      </c>
      <c r="P25" s="88" t="s">
        <v>175</v>
      </c>
      <c r="Q25" s="88"/>
      <c r="R25" s="37"/>
      <c r="S25" s="20">
        <v>0</v>
      </c>
      <c r="T25" s="3"/>
      <c r="U25" s="3">
        <v>0</v>
      </c>
      <c r="V25" s="3"/>
      <c r="W25" s="3"/>
      <c r="X25" s="10"/>
      <c r="Y25" s="17">
        <v>0</v>
      </c>
      <c r="Z25" s="2">
        <v>0</v>
      </c>
      <c r="AA25" s="2">
        <v>0</v>
      </c>
      <c r="AB25" s="2"/>
      <c r="AC25" s="3"/>
      <c r="AD25" s="37"/>
      <c r="AE25" s="9">
        <v>0</v>
      </c>
      <c r="AF25" s="2">
        <v>4</v>
      </c>
      <c r="AG25" s="2">
        <v>4</v>
      </c>
      <c r="AH25" s="2"/>
      <c r="AI25" s="3">
        <v>1.8</v>
      </c>
      <c r="AJ25" s="10">
        <v>8</v>
      </c>
      <c r="AK25" s="28">
        <v>4</v>
      </c>
      <c r="AL25" s="3"/>
      <c r="AM25" s="3">
        <v>1.5</v>
      </c>
      <c r="AN25" s="10">
        <v>7</v>
      </c>
      <c r="AO25" s="28">
        <v>7</v>
      </c>
      <c r="AP25" s="28"/>
      <c r="AQ25" s="3">
        <v>1.9</v>
      </c>
      <c r="AR25" s="10">
        <v>7</v>
      </c>
      <c r="AS25" s="20"/>
      <c r="AT25" s="28"/>
      <c r="AU25" s="3"/>
      <c r="AV25" s="10"/>
      <c r="AW25" s="20"/>
      <c r="AX25" s="28"/>
      <c r="AY25" s="3"/>
      <c r="AZ25" s="10"/>
      <c r="BA25" s="20"/>
      <c r="BB25" s="28"/>
      <c r="BC25" s="3"/>
      <c r="BD25" s="10"/>
      <c r="BE25" s="23"/>
      <c r="BF25" s="28"/>
      <c r="BG25" s="3"/>
      <c r="BH25" s="10"/>
      <c r="BI25" s="20">
        <v>1</v>
      </c>
      <c r="BJ25" s="28"/>
      <c r="BK25" s="3">
        <v>1.5</v>
      </c>
      <c r="BL25" s="10">
        <v>7</v>
      </c>
    </row>
    <row r="26" spans="2:64" x14ac:dyDescent="0.3">
      <c r="B26" s="62">
        <f t="shared" si="0"/>
        <v>0</v>
      </c>
      <c r="C26" s="47">
        <f t="shared" si="1"/>
        <v>0</v>
      </c>
      <c r="D26" s="47">
        <f t="shared" si="2"/>
        <v>0</v>
      </c>
      <c r="E26" s="47">
        <f t="shared" si="3"/>
        <v>0</v>
      </c>
      <c r="F26" s="47">
        <f t="shared" si="4"/>
        <v>0</v>
      </c>
      <c r="G26" s="47">
        <f t="shared" si="5"/>
        <v>0</v>
      </c>
      <c r="H26" s="47">
        <f t="shared" si="6"/>
        <v>0</v>
      </c>
      <c r="I26" s="47">
        <f t="shared" si="7"/>
        <v>0</v>
      </c>
      <c r="J26" s="47">
        <f t="shared" si="8"/>
        <v>0</v>
      </c>
      <c r="K26" s="63">
        <f t="shared" si="9"/>
        <v>0</v>
      </c>
      <c r="L26" s="55">
        <f t="shared" si="10"/>
        <v>0</v>
      </c>
      <c r="N26" s="33">
        <v>7</v>
      </c>
      <c r="O26" s="27"/>
      <c r="P26" s="87"/>
      <c r="Q26" s="87"/>
      <c r="R26" s="37"/>
      <c r="S26" s="20"/>
      <c r="T26" s="3"/>
      <c r="U26" s="3"/>
      <c r="V26" s="3"/>
      <c r="W26" s="3"/>
      <c r="X26" s="10"/>
      <c r="Y26" s="17"/>
      <c r="Z26" s="2"/>
      <c r="AA26" s="2"/>
      <c r="AB26" s="2"/>
      <c r="AC26" s="3"/>
      <c r="AD26" s="37"/>
      <c r="AE26" s="9"/>
      <c r="AF26" s="2"/>
      <c r="AG26" s="2"/>
      <c r="AH26" s="2"/>
      <c r="AI26" s="3"/>
      <c r="AJ26" s="10"/>
      <c r="AK26" s="28"/>
      <c r="AL26" s="3"/>
      <c r="AM26" s="3"/>
      <c r="AN26" s="10"/>
      <c r="AO26" s="28"/>
      <c r="AP26" s="28"/>
      <c r="AQ26" s="3"/>
      <c r="AR26" s="10"/>
      <c r="AS26" s="20"/>
      <c r="AT26" s="28"/>
      <c r="AU26" s="3"/>
      <c r="AV26" s="10"/>
      <c r="AW26" s="20"/>
      <c r="AX26" s="28"/>
      <c r="AY26" s="3"/>
      <c r="AZ26" s="10"/>
      <c r="BA26" s="20"/>
      <c r="BB26" s="28"/>
      <c r="BC26" s="3"/>
      <c r="BD26" s="10"/>
      <c r="BE26" s="23"/>
      <c r="BF26" s="28"/>
      <c r="BG26" s="3"/>
      <c r="BH26" s="10"/>
      <c r="BI26" s="20"/>
      <c r="BJ26" s="28"/>
      <c r="BK26" s="3"/>
      <c r="BL26" s="10"/>
    </row>
    <row r="27" spans="2:64" x14ac:dyDescent="0.3">
      <c r="B27" s="62">
        <f t="shared" si="0"/>
        <v>0</v>
      </c>
      <c r="C27" s="47">
        <f t="shared" si="1"/>
        <v>0</v>
      </c>
      <c r="D27" s="47">
        <f t="shared" si="2"/>
        <v>0</v>
      </c>
      <c r="E27" s="47">
        <f t="shared" si="3"/>
        <v>0</v>
      </c>
      <c r="F27" s="47">
        <f t="shared" si="4"/>
        <v>0</v>
      </c>
      <c r="G27" s="47">
        <f t="shared" si="5"/>
        <v>0</v>
      </c>
      <c r="H27" s="47">
        <f t="shared" si="6"/>
        <v>0</v>
      </c>
      <c r="I27" s="47">
        <f t="shared" si="7"/>
        <v>0</v>
      </c>
      <c r="J27" s="47">
        <f t="shared" si="8"/>
        <v>0</v>
      </c>
      <c r="K27" s="63">
        <f t="shared" si="9"/>
        <v>0</v>
      </c>
      <c r="L27" s="55">
        <f t="shared" si="10"/>
        <v>0</v>
      </c>
      <c r="N27" s="33">
        <v>8</v>
      </c>
      <c r="O27" s="28"/>
      <c r="P27" s="88"/>
      <c r="Q27" s="88"/>
      <c r="R27" s="37"/>
      <c r="S27" s="20"/>
      <c r="T27" s="3"/>
      <c r="U27" s="3"/>
      <c r="V27" s="3"/>
      <c r="W27" s="3"/>
      <c r="X27" s="10"/>
      <c r="Y27" s="17"/>
      <c r="Z27" s="2"/>
      <c r="AA27" s="2"/>
      <c r="AB27" s="2"/>
      <c r="AC27" s="3"/>
      <c r="AD27" s="37"/>
      <c r="AE27" s="9"/>
      <c r="AF27" s="2"/>
      <c r="AG27" s="2"/>
      <c r="AH27" s="2"/>
      <c r="AI27" s="3"/>
      <c r="AJ27" s="10"/>
      <c r="AK27" s="28"/>
      <c r="AL27" s="3"/>
      <c r="AM27" s="3"/>
      <c r="AN27" s="10"/>
      <c r="AO27" s="28"/>
      <c r="AP27" s="28"/>
      <c r="AQ27" s="3"/>
      <c r="AR27" s="10"/>
      <c r="AS27" s="20"/>
      <c r="AT27" s="28"/>
      <c r="AU27" s="3"/>
      <c r="AV27" s="10"/>
      <c r="AW27" s="20"/>
      <c r="AX27" s="28"/>
      <c r="AY27" s="3"/>
      <c r="AZ27" s="10"/>
      <c r="BA27" s="20"/>
      <c r="BB27" s="28"/>
      <c r="BC27" s="3"/>
      <c r="BD27" s="10"/>
      <c r="BE27" s="23"/>
      <c r="BF27" s="28"/>
      <c r="BG27" s="3"/>
      <c r="BH27" s="10"/>
      <c r="BI27" s="20"/>
      <c r="BJ27" s="28"/>
      <c r="BK27" s="3"/>
      <c r="BL27" s="10"/>
    </row>
    <row r="28" spans="2:64" x14ac:dyDescent="0.3">
      <c r="B28" s="62">
        <f t="shared" si="0"/>
        <v>0</v>
      </c>
      <c r="C28" s="47">
        <f t="shared" si="1"/>
        <v>0</v>
      </c>
      <c r="D28" s="47">
        <f t="shared" si="2"/>
        <v>0</v>
      </c>
      <c r="E28" s="47">
        <f t="shared" si="3"/>
        <v>0</v>
      </c>
      <c r="F28" s="47">
        <f t="shared" si="4"/>
        <v>0</v>
      </c>
      <c r="G28" s="47">
        <f t="shared" si="5"/>
        <v>0</v>
      </c>
      <c r="H28" s="47">
        <f t="shared" si="6"/>
        <v>0</v>
      </c>
      <c r="I28" s="47">
        <f t="shared" si="7"/>
        <v>0</v>
      </c>
      <c r="J28" s="47">
        <f t="shared" si="8"/>
        <v>0</v>
      </c>
      <c r="K28" s="63">
        <f t="shared" si="9"/>
        <v>0</v>
      </c>
      <c r="L28" s="55">
        <f t="shared" si="10"/>
        <v>0</v>
      </c>
      <c r="N28" s="33">
        <v>9</v>
      </c>
      <c r="O28" s="28"/>
      <c r="P28" s="88"/>
      <c r="Q28" s="88"/>
      <c r="R28" s="37"/>
      <c r="S28" s="20"/>
      <c r="T28" s="3"/>
      <c r="U28" s="3"/>
      <c r="V28" s="3"/>
      <c r="W28" s="3"/>
      <c r="X28" s="10"/>
      <c r="Y28" s="17"/>
      <c r="Z28" s="2"/>
      <c r="AA28" s="2"/>
      <c r="AB28" s="2"/>
      <c r="AC28" s="3"/>
      <c r="AD28" s="37"/>
      <c r="AE28" s="9"/>
      <c r="AF28" s="2"/>
      <c r="AG28" s="2"/>
      <c r="AH28" s="2"/>
      <c r="AI28" s="3"/>
      <c r="AJ28" s="10"/>
      <c r="AK28" s="28"/>
      <c r="AL28" s="3"/>
      <c r="AM28" s="3"/>
      <c r="AN28" s="10"/>
      <c r="AO28" s="28"/>
      <c r="AP28" s="28"/>
      <c r="AQ28" s="3"/>
      <c r="AR28" s="10"/>
      <c r="AS28" s="20"/>
      <c r="AT28" s="28"/>
      <c r="AU28" s="3"/>
      <c r="AV28" s="10"/>
      <c r="AW28" s="20"/>
      <c r="AX28" s="28"/>
      <c r="AY28" s="3"/>
      <c r="AZ28" s="10"/>
      <c r="BA28" s="20"/>
      <c r="BB28" s="28"/>
      <c r="BC28" s="3"/>
      <c r="BD28" s="10"/>
      <c r="BE28" s="23"/>
      <c r="BF28" s="28"/>
      <c r="BG28" s="3"/>
      <c r="BH28" s="10"/>
      <c r="BI28" s="20"/>
      <c r="BJ28" s="28"/>
      <c r="BK28" s="3"/>
      <c r="BL28" s="10"/>
    </row>
    <row r="29" spans="2:64" x14ac:dyDescent="0.3">
      <c r="B29" s="62">
        <f t="shared" si="0"/>
        <v>0</v>
      </c>
      <c r="C29" s="47">
        <f t="shared" si="1"/>
        <v>0</v>
      </c>
      <c r="D29" s="47">
        <f t="shared" si="2"/>
        <v>0</v>
      </c>
      <c r="E29" s="47">
        <f t="shared" si="3"/>
        <v>0</v>
      </c>
      <c r="F29" s="47">
        <f t="shared" si="4"/>
        <v>0</v>
      </c>
      <c r="G29" s="47">
        <f t="shared" si="5"/>
        <v>0</v>
      </c>
      <c r="H29" s="47">
        <f t="shared" si="6"/>
        <v>0</v>
      </c>
      <c r="I29" s="47">
        <f t="shared" si="7"/>
        <v>0</v>
      </c>
      <c r="J29" s="47">
        <f t="shared" si="8"/>
        <v>0</v>
      </c>
      <c r="K29" s="63">
        <f t="shared" si="9"/>
        <v>0</v>
      </c>
      <c r="L29" s="55">
        <f t="shared" si="10"/>
        <v>0</v>
      </c>
      <c r="N29" s="33">
        <v>10</v>
      </c>
      <c r="O29" s="27"/>
      <c r="P29" s="87"/>
      <c r="Q29" s="87"/>
      <c r="R29" s="37"/>
      <c r="S29" s="20"/>
      <c r="T29" s="3"/>
      <c r="U29" s="3"/>
      <c r="V29" s="3"/>
      <c r="W29" s="3"/>
      <c r="X29" s="10"/>
      <c r="Y29" s="17"/>
      <c r="Z29" s="2"/>
      <c r="AA29" s="2"/>
      <c r="AB29" s="2"/>
      <c r="AC29" s="3"/>
      <c r="AD29" s="37"/>
      <c r="AE29" s="9"/>
      <c r="AF29" s="2"/>
      <c r="AG29" s="2"/>
      <c r="AH29" s="2"/>
      <c r="AI29" s="3"/>
      <c r="AJ29" s="10"/>
      <c r="AK29" s="28"/>
      <c r="AL29" s="3"/>
      <c r="AM29" s="3"/>
      <c r="AN29" s="10"/>
      <c r="AO29" s="28"/>
      <c r="AP29" s="28"/>
      <c r="AQ29" s="3"/>
      <c r="AR29" s="10"/>
      <c r="AS29" s="20"/>
      <c r="AT29" s="28"/>
      <c r="AU29" s="3"/>
      <c r="AV29" s="10"/>
      <c r="AW29" s="20"/>
      <c r="AX29" s="28"/>
      <c r="AY29" s="3"/>
      <c r="AZ29" s="10"/>
      <c r="BA29" s="20"/>
      <c r="BB29" s="28"/>
      <c r="BC29" s="3"/>
      <c r="BD29" s="10"/>
      <c r="BE29" s="23"/>
      <c r="BF29" s="28"/>
      <c r="BG29" s="3"/>
      <c r="BH29" s="10"/>
      <c r="BI29" s="20"/>
      <c r="BJ29" s="28"/>
      <c r="BK29" s="3"/>
      <c r="BL29" s="10"/>
    </row>
    <row r="30" spans="2:64" x14ac:dyDescent="0.3">
      <c r="B30" s="62">
        <f t="shared" si="0"/>
        <v>0</v>
      </c>
      <c r="C30" s="47">
        <f t="shared" si="1"/>
        <v>0</v>
      </c>
      <c r="D30" s="47">
        <f t="shared" si="2"/>
        <v>0</v>
      </c>
      <c r="E30" s="47">
        <f t="shared" si="3"/>
        <v>0</v>
      </c>
      <c r="F30" s="47">
        <f t="shared" si="4"/>
        <v>0</v>
      </c>
      <c r="G30" s="47">
        <f t="shared" si="5"/>
        <v>0</v>
      </c>
      <c r="H30" s="47">
        <f t="shared" si="6"/>
        <v>0</v>
      </c>
      <c r="I30" s="47">
        <f t="shared" si="7"/>
        <v>0</v>
      </c>
      <c r="J30" s="47">
        <f t="shared" si="8"/>
        <v>0</v>
      </c>
      <c r="K30" s="63">
        <f t="shared" si="9"/>
        <v>0</v>
      </c>
      <c r="L30" s="55">
        <f t="shared" si="10"/>
        <v>0</v>
      </c>
      <c r="N30" s="33">
        <v>11</v>
      </c>
      <c r="O30" s="28"/>
      <c r="P30" s="88"/>
      <c r="Q30" s="88"/>
      <c r="R30" s="37"/>
      <c r="S30" s="20"/>
      <c r="T30" s="3"/>
      <c r="U30" s="3"/>
      <c r="V30" s="3"/>
      <c r="W30" s="3"/>
      <c r="X30" s="10"/>
      <c r="Y30" s="17"/>
      <c r="Z30" s="2"/>
      <c r="AA30" s="2"/>
      <c r="AB30" s="2"/>
      <c r="AC30" s="3"/>
      <c r="AD30" s="37"/>
      <c r="AE30" s="9"/>
      <c r="AF30" s="2"/>
      <c r="AG30" s="2"/>
      <c r="AH30" s="2"/>
      <c r="AI30" s="3"/>
      <c r="AJ30" s="10"/>
      <c r="AK30" s="28"/>
      <c r="AL30" s="3"/>
      <c r="AM30" s="3"/>
      <c r="AN30" s="10"/>
      <c r="AO30" s="28"/>
      <c r="AP30" s="28"/>
      <c r="AQ30" s="3"/>
      <c r="AR30" s="10"/>
      <c r="AS30" s="20"/>
      <c r="AT30" s="28"/>
      <c r="AU30" s="3"/>
      <c r="AV30" s="10"/>
      <c r="AW30" s="20"/>
      <c r="AX30" s="28"/>
      <c r="AY30" s="3"/>
      <c r="AZ30" s="10"/>
      <c r="BA30" s="20"/>
      <c r="BB30" s="28"/>
      <c r="BC30" s="3"/>
      <c r="BD30" s="10"/>
      <c r="BE30" s="23"/>
      <c r="BF30" s="28"/>
      <c r="BG30" s="3"/>
      <c r="BH30" s="10"/>
      <c r="BI30" s="20"/>
      <c r="BJ30" s="28"/>
      <c r="BK30" s="3"/>
      <c r="BL30" s="10"/>
    </row>
    <row r="31" spans="2:64" x14ac:dyDescent="0.3">
      <c r="B31" s="62">
        <f t="shared" si="0"/>
        <v>0</v>
      </c>
      <c r="C31" s="47">
        <f t="shared" si="1"/>
        <v>0</v>
      </c>
      <c r="D31" s="47">
        <f t="shared" si="2"/>
        <v>0</v>
      </c>
      <c r="E31" s="47">
        <f t="shared" si="3"/>
        <v>0</v>
      </c>
      <c r="F31" s="47">
        <f t="shared" si="4"/>
        <v>0</v>
      </c>
      <c r="G31" s="47">
        <f t="shared" si="5"/>
        <v>0</v>
      </c>
      <c r="H31" s="47">
        <f t="shared" si="6"/>
        <v>0</v>
      </c>
      <c r="I31" s="47">
        <f t="shared" si="7"/>
        <v>0</v>
      </c>
      <c r="J31" s="47">
        <f t="shared" si="8"/>
        <v>0</v>
      </c>
      <c r="K31" s="63">
        <f t="shared" si="9"/>
        <v>0</v>
      </c>
      <c r="L31" s="55">
        <f t="shared" si="10"/>
        <v>0</v>
      </c>
      <c r="N31" s="33">
        <v>12</v>
      </c>
      <c r="O31" s="28"/>
      <c r="P31" s="88"/>
      <c r="Q31" s="88"/>
      <c r="R31" s="37"/>
      <c r="S31" s="20"/>
      <c r="T31" s="3"/>
      <c r="U31" s="3"/>
      <c r="V31" s="3"/>
      <c r="W31" s="3"/>
      <c r="X31" s="10"/>
      <c r="Y31" s="17"/>
      <c r="Z31" s="2"/>
      <c r="AA31" s="2"/>
      <c r="AB31" s="2"/>
      <c r="AC31" s="3"/>
      <c r="AD31" s="37"/>
      <c r="AE31" s="9"/>
      <c r="AF31" s="2"/>
      <c r="AG31" s="2"/>
      <c r="AH31" s="2"/>
      <c r="AI31" s="3"/>
      <c r="AJ31" s="10"/>
      <c r="AK31" s="28"/>
      <c r="AL31" s="3"/>
      <c r="AM31" s="3"/>
      <c r="AN31" s="10"/>
      <c r="AO31" s="28"/>
      <c r="AP31" s="28"/>
      <c r="AQ31" s="3"/>
      <c r="AR31" s="10"/>
      <c r="AS31" s="20"/>
      <c r="AT31" s="28"/>
      <c r="AU31" s="3"/>
      <c r="AV31" s="10"/>
      <c r="AW31" s="20"/>
      <c r="AX31" s="28"/>
      <c r="AY31" s="3"/>
      <c r="AZ31" s="10"/>
      <c r="BA31" s="20"/>
      <c r="BB31" s="28"/>
      <c r="BC31" s="3"/>
      <c r="BD31" s="10"/>
      <c r="BE31" s="23"/>
      <c r="BF31" s="28"/>
      <c r="BG31" s="3"/>
      <c r="BH31" s="10"/>
      <c r="BI31" s="20"/>
      <c r="BJ31" s="28"/>
      <c r="BK31" s="3"/>
      <c r="BL31" s="10"/>
    </row>
    <row r="32" spans="2:64" x14ac:dyDescent="0.3">
      <c r="B32" s="62">
        <f t="shared" si="0"/>
        <v>0</v>
      </c>
      <c r="C32" s="47">
        <f t="shared" si="1"/>
        <v>0</v>
      </c>
      <c r="D32" s="47">
        <f t="shared" si="2"/>
        <v>0</v>
      </c>
      <c r="E32" s="47">
        <f t="shared" si="3"/>
        <v>0</v>
      </c>
      <c r="F32" s="47">
        <f t="shared" si="4"/>
        <v>0</v>
      </c>
      <c r="G32" s="47">
        <f t="shared" si="5"/>
        <v>0</v>
      </c>
      <c r="H32" s="47">
        <f t="shared" si="6"/>
        <v>0</v>
      </c>
      <c r="I32" s="47">
        <f t="shared" si="7"/>
        <v>0</v>
      </c>
      <c r="J32" s="47">
        <f t="shared" si="8"/>
        <v>0</v>
      </c>
      <c r="K32" s="63">
        <f t="shared" si="9"/>
        <v>0</v>
      </c>
      <c r="L32" s="55">
        <f t="shared" si="10"/>
        <v>0</v>
      </c>
      <c r="N32" s="33">
        <v>13</v>
      </c>
      <c r="O32" s="28"/>
      <c r="P32" s="88"/>
      <c r="Q32" s="88"/>
      <c r="R32" s="37"/>
      <c r="S32" s="20"/>
      <c r="T32" s="3"/>
      <c r="U32" s="3"/>
      <c r="V32" s="3"/>
      <c r="W32" s="3"/>
      <c r="X32" s="10"/>
      <c r="Y32" s="17"/>
      <c r="Z32" s="2"/>
      <c r="AA32" s="2"/>
      <c r="AB32" s="2"/>
      <c r="AC32" s="3"/>
      <c r="AD32" s="37"/>
      <c r="AE32" s="9"/>
      <c r="AF32" s="2"/>
      <c r="AG32" s="2"/>
      <c r="AH32" s="2"/>
      <c r="AI32" s="3"/>
      <c r="AJ32" s="10"/>
      <c r="AK32" s="28"/>
      <c r="AL32" s="3"/>
      <c r="AM32" s="3"/>
      <c r="AN32" s="10"/>
      <c r="AO32" s="28"/>
      <c r="AP32" s="28"/>
      <c r="AQ32" s="3"/>
      <c r="AR32" s="10"/>
      <c r="AS32" s="20"/>
      <c r="AT32" s="28"/>
      <c r="AU32" s="3"/>
      <c r="AV32" s="10"/>
      <c r="AW32" s="20"/>
      <c r="AX32" s="28"/>
      <c r="AY32" s="3"/>
      <c r="AZ32" s="10"/>
      <c r="BA32" s="20"/>
      <c r="BB32" s="28"/>
      <c r="BC32" s="3"/>
      <c r="BD32" s="10"/>
      <c r="BE32" s="23"/>
      <c r="BF32" s="28"/>
      <c r="BG32" s="3"/>
      <c r="BH32" s="10"/>
      <c r="BI32" s="20"/>
      <c r="BJ32" s="28"/>
      <c r="BK32" s="3"/>
      <c r="BL32" s="10"/>
    </row>
    <row r="33" spans="2:64" x14ac:dyDescent="0.3">
      <c r="B33" s="62">
        <f t="shared" si="0"/>
        <v>0</v>
      </c>
      <c r="C33" s="47">
        <f t="shared" si="1"/>
        <v>0</v>
      </c>
      <c r="D33" s="47">
        <f t="shared" si="2"/>
        <v>0</v>
      </c>
      <c r="E33" s="47">
        <f t="shared" si="3"/>
        <v>0</v>
      </c>
      <c r="F33" s="47">
        <f t="shared" si="4"/>
        <v>0</v>
      </c>
      <c r="G33" s="47">
        <f t="shared" si="5"/>
        <v>0</v>
      </c>
      <c r="H33" s="47">
        <f t="shared" si="6"/>
        <v>0</v>
      </c>
      <c r="I33" s="47">
        <f t="shared" si="7"/>
        <v>0</v>
      </c>
      <c r="J33" s="47">
        <f t="shared" si="8"/>
        <v>0</v>
      </c>
      <c r="K33" s="63">
        <f t="shared" si="9"/>
        <v>0</v>
      </c>
      <c r="L33" s="55">
        <f t="shared" si="10"/>
        <v>0</v>
      </c>
      <c r="N33" s="33">
        <v>14</v>
      </c>
      <c r="O33" s="28"/>
      <c r="P33" s="88"/>
      <c r="Q33" s="88"/>
      <c r="R33" s="37"/>
      <c r="S33" s="20"/>
      <c r="T33" s="3"/>
      <c r="U33" s="3"/>
      <c r="V33" s="3"/>
      <c r="W33" s="3"/>
      <c r="X33" s="10"/>
      <c r="Y33" s="17"/>
      <c r="Z33" s="2"/>
      <c r="AA33" s="2"/>
      <c r="AB33" s="2"/>
      <c r="AC33" s="3"/>
      <c r="AD33" s="37"/>
      <c r="AE33" s="9"/>
      <c r="AF33" s="2"/>
      <c r="AG33" s="2"/>
      <c r="AH33" s="2"/>
      <c r="AI33" s="3"/>
      <c r="AJ33" s="10"/>
      <c r="AK33" s="28"/>
      <c r="AL33" s="3"/>
      <c r="AM33" s="3"/>
      <c r="AN33" s="10"/>
      <c r="AO33" s="28"/>
      <c r="AP33" s="28"/>
      <c r="AQ33" s="3"/>
      <c r="AR33" s="10"/>
      <c r="AS33" s="20"/>
      <c r="AT33" s="28"/>
      <c r="AU33" s="3"/>
      <c r="AV33" s="10"/>
      <c r="AW33" s="20"/>
      <c r="AX33" s="28"/>
      <c r="AY33" s="3"/>
      <c r="AZ33" s="10"/>
      <c r="BA33" s="20"/>
      <c r="BB33" s="28"/>
      <c r="BC33" s="3"/>
      <c r="BD33" s="10"/>
      <c r="BE33" s="23"/>
      <c r="BF33" s="28"/>
      <c r="BG33" s="3"/>
      <c r="BH33" s="10"/>
      <c r="BI33" s="20"/>
      <c r="BJ33" s="28"/>
      <c r="BK33" s="3"/>
      <c r="BL33" s="10"/>
    </row>
    <row r="34" spans="2:64" x14ac:dyDescent="0.3">
      <c r="B34" s="62">
        <f t="shared" si="0"/>
        <v>0</v>
      </c>
      <c r="C34" s="47">
        <f t="shared" si="1"/>
        <v>0</v>
      </c>
      <c r="D34" s="47">
        <f t="shared" si="2"/>
        <v>0</v>
      </c>
      <c r="E34" s="47">
        <f t="shared" si="3"/>
        <v>0</v>
      </c>
      <c r="F34" s="47">
        <f t="shared" si="4"/>
        <v>0</v>
      </c>
      <c r="G34" s="47">
        <f t="shared" si="5"/>
        <v>0</v>
      </c>
      <c r="H34" s="47">
        <f t="shared" si="6"/>
        <v>0</v>
      </c>
      <c r="I34" s="47">
        <f t="shared" si="7"/>
        <v>0</v>
      </c>
      <c r="J34" s="47">
        <f t="shared" si="8"/>
        <v>0</v>
      </c>
      <c r="K34" s="63">
        <f t="shared" si="9"/>
        <v>0</v>
      </c>
      <c r="L34" s="55">
        <f t="shared" si="10"/>
        <v>0</v>
      </c>
      <c r="N34" s="33">
        <v>15</v>
      </c>
      <c r="O34" s="28"/>
      <c r="P34" s="88"/>
      <c r="Q34" s="88"/>
      <c r="R34" s="37"/>
      <c r="S34" s="20"/>
      <c r="T34" s="3"/>
      <c r="U34" s="3"/>
      <c r="V34" s="3"/>
      <c r="W34" s="3"/>
      <c r="X34" s="10"/>
      <c r="Y34" s="17"/>
      <c r="Z34" s="2"/>
      <c r="AA34" s="2"/>
      <c r="AB34" s="2"/>
      <c r="AC34" s="3"/>
      <c r="AD34" s="37"/>
      <c r="AE34" s="9"/>
      <c r="AF34" s="2"/>
      <c r="AG34" s="2"/>
      <c r="AH34" s="2"/>
      <c r="AI34" s="3"/>
      <c r="AJ34" s="10"/>
      <c r="AK34" s="28"/>
      <c r="AL34" s="3"/>
      <c r="AM34" s="3"/>
      <c r="AN34" s="10"/>
      <c r="AO34" s="28"/>
      <c r="AP34" s="28"/>
      <c r="AQ34" s="3"/>
      <c r="AR34" s="10"/>
      <c r="AS34" s="20"/>
      <c r="AT34" s="28"/>
      <c r="AU34" s="3"/>
      <c r="AV34" s="10"/>
      <c r="AW34" s="20"/>
      <c r="AX34" s="28"/>
      <c r="AY34" s="3"/>
      <c r="AZ34" s="10"/>
      <c r="BA34" s="20"/>
      <c r="BB34" s="28"/>
      <c r="BC34" s="3"/>
      <c r="BD34" s="10"/>
      <c r="BE34" s="23"/>
      <c r="BF34" s="28"/>
      <c r="BG34" s="3"/>
      <c r="BH34" s="10"/>
      <c r="BI34" s="20"/>
      <c r="BJ34" s="28"/>
      <c r="BK34" s="3"/>
      <c r="BL34" s="10"/>
    </row>
    <row r="35" spans="2:64" x14ac:dyDescent="0.3">
      <c r="B35" s="62">
        <f t="shared" si="0"/>
        <v>0</v>
      </c>
      <c r="C35" s="47">
        <f t="shared" si="1"/>
        <v>0</v>
      </c>
      <c r="D35" s="47">
        <f t="shared" si="2"/>
        <v>0</v>
      </c>
      <c r="E35" s="47">
        <f t="shared" si="3"/>
        <v>0</v>
      </c>
      <c r="F35" s="47">
        <f t="shared" si="4"/>
        <v>0</v>
      </c>
      <c r="G35" s="47">
        <f t="shared" si="5"/>
        <v>0</v>
      </c>
      <c r="H35" s="47">
        <f t="shared" si="6"/>
        <v>0</v>
      </c>
      <c r="I35" s="47">
        <f t="shared" si="7"/>
        <v>0</v>
      </c>
      <c r="J35" s="47">
        <f t="shared" si="8"/>
        <v>0</v>
      </c>
      <c r="K35" s="63">
        <f t="shared" si="9"/>
        <v>0</v>
      </c>
      <c r="L35" s="55">
        <f t="shared" si="10"/>
        <v>0</v>
      </c>
      <c r="N35" s="33">
        <v>16</v>
      </c>
      <c r="O35" s="28"/>
      <c r="P35" s="88"/>
      <c r="Q35" s="88"/>
      <c r="R35" s="37"/>
      <c r="S35" s="20"/>
      <c r="T35" s="3"/>
      <c r="U35" s="3"/>
      <c r="V35" s="3"/>
      <c r="W35" s="3"/>
      <c r="X35" s="10"/>
      <c r="Y35" s="17"/>
      <c r="Z35" s="2"/>
      <c r="AA35" s="2"/>
      <c r="AB35" s="2"/>
      <c r="AC35" s="3"/>
      <c r="AD35" s="37"/>
      <c r="AE35" s="9"/>
      <c r="AF35" s="2"/>
      <c r="AG35" s="2"/>
      <c r="AH35" s="2"/>
      <c r="AI35" s="3"/>
      <c r="AJ35" s="10"/>
      <c r="AK35" s="28"/>
      <c r="AL35" s="3"/>
      <c r="AM35" s="3"/>
      <c r="AN35" s="10"/>
      <c r="AO35" s="28"/>
      <c r="AP35" s="28"/>
      <c r="AQ35" s="3"/>
      <c r="AR35" s="10"/>
      <c r="AS35" s="20"/>
      <c r="AT35" s="28"/>
      <c r="AU35" s="3"/>
      <c r="AV35" s="10"/>
      <c r="AW35" s="20"/>
      <c r="AX35" s="28"/>
      <c r="AY35" s="3"/>
      <c r="AZ35" s="10"/>
      <c r="BA35" s="20"/>
      <c r="BB35" s="28"/>
      <c r="BC35" s="3"/>
      <c r="BD35" s="10"/>
      <c r="BE35" s="23"/>
      <c r="BF35" s="28"/>
      <c r="BG35" s="3"/>
      <c r="BH35" s="10"/>
      <c r="BI35" s="20"/>
      <c r="BJ35" s="28"/>
      <c r="BK35" s="3"/>
      <c r="BL35" s="10"/>
    </row>
    <row r="36" spans="2:64" x14ac:dyDescent="0.3">
      <c r="B36" s="62">
        <f t="shared" si="0"/>
        <v>0</v>
      </c>
      <c r="C36" s="47">
        <f t="shared" si="1"/>
        <v>0</v>
      </c>
      <c r="D36" s="47">
        <f t="shared" si="2"/>
        <v>0</v>
      </c>
      <c r="E36" s="47">
        <f t="shared" si="3"/>
        <v>0</v>
      </c>
      <c r="F36" s="47">
        <f t="shared" si="4"/>
        <v>0</v>
      </c>
      <c r="G36" s="47">
        <f t="shared" si="5"/>
        <v>0</v>
      </c>
      <c r="H36" s="47">
        <f t="shared" si="6"/>
        <v>0</v>
      </c>
      <c r="I36" s="47">
        <f t="shared" si="7"/>
        <v>0</v>
      </c>
      <c r="J36" s="47">
        <f t="shared" si="8"/>
        <v>0</v>
      </c>
      <c r="K36" s="63">
        <f t="shared" si="9"/>
        <v>0</v>
      </c>
      <c r="L36" s="55">
        <f t="shared" si="10"/>
        <v>0</v>
      </c>
      <c r="N36" s="33">
        <v>17</v>
      </c>
      <c r="O36" s="28"/>
      <c r="P36" s="88"/>
      <c r="Q36" s="88"/>
      <c r="R36" s="37"/>
      <c r="S36" s="20"/>
      <c r="T36" s="3"/>
      <c r="U36" s="3"/>
      <c r="V36" s="3"/>
      <c r="W36" s="3"/>
      <c r="X36" s="10"/>
      <c r="Y36" s="17"/>
      <c r="Z36" s="2"/>
      <c r="AA36" s="2"/>
      <c r="AB36" s="2"/>
      <c r="AC36" s="3"/>
      <c r="AD36" s="37"/>
      <c r="AE36" s="9"/>
      <c r="AF36" s="2"/>
      <c r="AG36" s="2"/>
      <c r="AH36" s="2"/>
      <c r="AI36" s="3"/>
      <c r="AJ36" s="10"/>
      <c r="AK36" s="28"/>
      <c r="AL36" s="3"/>
      <c r="AM36" s="3"/>
      <c r="AN36" s="10"/>
      <c r="AO36" s="28"/>
      <c r="AP36" s="28"/>
      <c r="AQ36" s="3"/>
      <c r="AR36" s="10"/>
      <c r="AS36" s="20"/>
      <c r="AT36" s="28"/>
      <c r="AU36" s="3"/>
      <c r="AV36" s="10"/>
      <c r="AW36" s="20"/>
      <c r="AX36" s="28"/>
      <c r="AY36" s="3"/>
      <c r="AZ36" s="10"/>
      <c r="BA36" s="20"/>
      <c r="BB36" s="28"/>
      <c r="BC36" s="3"/>
      <c r="BD36" s="10"/>
      <c r="BE36" s="23"/>
      <c r="BF36" s="28"/>
      <c r="BG36" s="3"/>
      <c r="BH36" s="10"/>
      <c r="BI36" s="20"/>
      <c r="BJ36" s="28"/>
      <c r="BK36" s="3"/>
      <c r="BL36" s="10"/>
    </row>
    <row r="37" spans="2:64" x14ac:dyDescent="0.3">
      <c r="B37" s="62">
        <f t="shared" si="0"/>
        <v>0</v>
      </c>
      <c r="C37" s="47">
        <f t="shared" si="1"/>
        <v>0</v>
      </c>
      <c r="D37" s="47">
        <f t="shared" si="2"/>
        <v>0</v>
      </c>
      <c r="E37" s="47">
        <f t="shared" si="3"/>
        <v>0</v>
      </c>
      <c r="F37" s="47">
        <f t="shared" si="4"/>
        <v>0</v>
      </c>
      <c r="G37" s="47">
        <f t="shared" si="5"/>
        <v>0</v>
      </c>
      <c r="H37" s="47">
        <f t="shared" si="6"/>
        <v>0</v>
      </c>
      <c r="I37" s="47">
        <f t="shared" si="7"/>
        <v>0</v>
      </c>
      <c r="J37" s="47">
        <f t="shared" si="8"/>
        <v>0</v>
      </c>
      <c r="K37" s="63">
        <f t="shared" si="9"/>
        <v>0</v>
      </c>
      <c r="L37" s="55">
        <f t="shared" si="10"/>
        <v>0</v>
      </c>
      <c r="N37" s="33">
        <v>18</v>
      </c>
      <c r="O37" s="28"/>
      <c r="P37" s="88"/>
      <c r="Q37" s="88"/>
      <c r="R37" s="37"/>
      <c r="S37" s="20"/>
      <c r="T37" s="3"/>
      <c r="U37" s="3"/>
      <c r="V37" s="3"/>
      <c r="W37" s="3"/>
      <c r="X37" s="10"/>
      <c r="Y37" s="17"/>
      <c r="Z37" s="2"/>
      <c r="AA37" s="2"/>
      <c r="AB37" s="2"/>
      <c r="AC37" s="3"/>
      <c r="AD37" s="37"/>
      <c r="AE37" s="9"/>
      <c r="AF37" s="2"/>
      <c r="AG37" s="2"/>
      <c r="AH37" s="2"/>
      <c r="AI37" s="3"/>
      <c r="AJ37" s="10"/>
      <c r="AK37" s="28"/>
      <c r="AL37" s="3"/>
      <c r="AM37" s="3"/>
      <c r="AN37" s="10"/>
      <c r="AO37" s="28"/>
      <c r="AP37" s="28"/>
      <c r="AQ37" s="3"/>
      <c r="AR37" s="10"/>
      <c r="AS37" s="20"/>
      <c r="AT37" s="28"/>
      <c r="AU37" s="3"/>
      <c r="AV37" s="10"/>
      <c r="AW37" s="20"/>
      <c r="AX37" s="28"/>
      <c r="AY37" s="3"/>
      <c r="AZ37" s="10"/>
      <c r="BA37" s="20"/>
      <c r="BB37" s="28"/>
      <c r="BC37" s="3"/>
      <c r="BD37" s="10"/>
      <c r="BE37" s="23"/>
      <c r="BF37" s="28"/>
      <c r="BG37" s="3"/>
      <c r="BH37" s="10"/>
      <c r="BI37" s="20"/>
      <c r="BJ37" s="28"/>
      <c r="BK37" s="3"/>
      <c r="BL37" s="10"/>
    </row>
    <row r="38" spans="2:64" x14ac:dyDescent="0.3">
      <c r="B38" s="62">
        <f t="shared" si="0"/>
        <v>0</v>
      </c>
      <c r="C38" s="47">
        <f t="shared" si="1"/>
        <v>0</v>
      </c>
      <c r="D38" s="47">
        <f t="shared" si="2"/>
        <v>0</v>
      </c>
      <c r="E38" s="47">
        <f t="shared" si="3"/>
        <v>0</v>
      </c>
      <c r="F38" s="47">
        <f t="shared" si="4"/>
        <v>0</v>
      </c>
      <c r="G38" s="47">
        <f t="shared" si="5"/>
        <v>0</v>
      </c>
      <c r="H38" s="47">
        <f t="shared" si="6"/>
        <v>0</v>
      </c>
      <c r="I38" s="47">
        <f t="shared" si="7"/>
        <v>0</v>
      </c>
      <c r="J38" s="47">
        <f t="shared" si="8"/>
        <v>0</v>
      </c>
      <c r="K38" s="63">
        <f t="shared" si="9"/>
        <v>0</v>
      </c>
      <c r="L38" s="55">
        <f t="shared" si="10"/>
        <v>0</v>
      </c>
      <c r="N38" s="33">
        <v>19</v>
      </c>
      <c r="O38" s="28"/>
      <c r="P38" s="88"/>
      <c r="Q38" s="88"/>
      <c r="R38" s="37"/>
      <c r="S38" s="20"/>
      <c r="T38" s="3"/>
      <c r="U38" s="3"/>
      <c r="V38" s="3"/>
      <c r="W38" s="3"/>
      <c r="X38" s="10"/>
      <c r="Y38" s="17"/>
      <c r="Z38" s="2"/>
      <c r="AA38" s="2"/>
      <c r="AB38" s="2"/>
      <c r="AC38" s="3"/>
      <c r="AD38" s="37"/>
      <c r="AE38" s="9"/>
      <c r="AF38" s="2"/>
      <c r="AG38" s="2"/>
      <c r="AH38" s="2"/>
      <c r="AI38" s="3"/>
      <c r="AJ38" s="10"/>
      <c r="AK38" s="28"/>
      <c r="AL38" s="3"/>
      <c r="AM38" s="3"/>
      <c r="AN38" s="10"/>
      <c r="AO38" s="28"/>
      <c r="AP38" s="28"/>
      <c r="AQ38" s="3"/>
      <c r="AR38" s="10"/>
      <c r="AS38" s="20"/>
      <c r="AT38" s="28"/>
      <c r="AU38" s="3"/>
      <c r="AV38" s="10"/>
      <c r="AW38" s="20"/>
      <c r="AX38" s="28"/>
      <c r="AY38" s="3"/>
      <c r="AZ38" s="10"/>
      <c r="BA38" s="20"/>
      <c r="BB38" s="28"/>
      <c r="BC38" s="3"/>
      <c r="BD38" s="10"/>
      <c r="BE38" s="23"/>
      <c r="BF38" s="28"/>
      <c r="BG38" s="3"/>
      <c r="BH38" s="10"/>
      <c r="BI38" s="20"/>
      <c r="BJ38" s="28"/>
      <c r="BK38" s="3"/>
      <c r="BL38" s="10"/>
    </row>
    <row r="39" spans="2:64" x14ac:dyDescent="0.3">
      <c r="B39" s="62">
        <f t="shared" si="0"/>
        <v>0</v>
      </c>
      <c r="C39" s="47">
        <f t="shared" si="1"/>
        <v>0</v>
      </c>
      <c r="D39" s="47">
        <f t="shared" si="2"/>
        <v>0</v>
      </c>
      <c r="E39" s="47">
        <f t="shared" si="3"/>
        <v>0</v>
      </c>
      <c r="F39" s="47">
        <f t="shared" si="4"/>
        <v>0</v>
      </c>
      <c r="G39" s="47">
        <f t="shared" si="5"/>
        <v>0</v>
      </c>
      <c r="H39" s="47">
        <f t="shared" si="6"/>
        <v>0</v>
      </c>
      <c r="I39" s="47">
        <f t="shared" si="7"/>
        <v>0</v>
      </c>
      <c r="J39" s="47">
        <f t="shared" si="8"/>
        <v>0</v>
      </c>
      <c r="K39" s="63">
        <f t="shared" si="9"/>
        <v>0</v>
      </c>
      <c r="L39" s="55">
        <f t="shared" si="10"/>
        <v>0</v>
      </c>
      <c r="N39" s="33">
        <v>20</v>
      </c>
      <c r="O39" s="28"/>
      <c r="P39" s="88"/>
      <c r="Q39" s="88"/>
      <c r="R39" s="37"/>
      <c r="S39" s="20"/>
      <c r="T39" s="3"/>
      <c r="U39" s="3"/>
      <c r="V39" s="3"/>
      <c r="W39" s="3"/>
      <c r="X39" s="10"/>
      <c r="Y39" s="17"/>
      <c r="Z39" s="2"/>
      <c r="AA39" s="2"/>
      <c r="AB39" s="2"/>
      <c r="AC39" s="3"/>
      <c r="AD39" s="37"/>
      <c r="AE39" s="9"/>
      <c r="AF39" s="2"/>
      <c r="AG39" s="2"/>
      <c r="AH39" s="2"/>
      <c r="AI39" s="3"/>
      <c r="AJ39" s="10"/>
      <c r="AK39" s="28"/>
      <c r="AL39" s="3"/>
      <c r="AM39" s="3"/>
      <c r="AN39" s="10"/>
      <c r="AO39" s="28"/>
      <c r="AP39" s="28"/>
      <c r="AQ39" s="3"/>
      <c r="AR39" s="10"/>
      <c r="AS39" s="20"/>
      <c r="AT39" s="28"/>
      <c r="AU39" s="3"/>
      <c r="AV39" s="10"/>
      <c r="AW39" s="20"/>
      <c r="AX39" s="28"/>
      <c r="AY39" s="3"/>
      <c r="AZ39" s="10"/>
      <c r="BA39" s="20"/>
      <c r="BB39" s="28"/>
      <c r="BC39" s="3"/>
      <c r="BD39" s="10"/>
      <c r="BE39" s="23"/>
      <c r="BF39" s="28"/>
      <c r="BG39" s="3"/>
      <c r="BH39" s="10"/>
      <c r="BI39" s="20"/>
      <c r="BJ39" s="28"/>
      <c r="BK39" s="3"/>
      <c r="BL39" s="10"/>
    </row>
    <row r="40" spans="2:64" x14ac:dyDescent="0.3">
      <c r="B40" s="62">
        <f t="shared" si="0"/>
        <v>0</v>
      </c>
      <c r="C40" s="47">
        <f t="shared" si="1"/>
        <v>0</v>
      </c>
      <c r="D40" s="47">
        <f t="shared" si="2"/>
        <v>0</v>
      </c>
      <c r="E40" s="47">
        <f t="shared" si="3"/>
        <v>0</v>
      </c>
      <c r="F40" s="47">
        <f t="shared" si="4"/>
        <v>0</v>
      </c>
      <c r="G40" s="47">
        <f t="shared" si="5"/>
        <v>0</v>
      </c>
      <c r="H40" s="47">
        <f t="shared" si="6"/>
        <v>0</v>
      </c>
      <c r="I40" s="47">
        <f t="shared" si="7"/>
        <v>0</v>
      </c>
      <c r="J40" s="47">
        <f t="shared" si="8"/>
        <v>0</v>
      </c>
      <c r="K40" s="63">
        <f t="shared" si="9"/>
        <v>0</v>
      </c>
      <c r="L40" s="55">
        <f t="shared" si="10"/>
        <v>0</v>
      </c>
      <c r="N40" s="33">
        <v>21</v>
      </c>
      <c r="O40" s="28"/>
      <c r="P40" s="88"/>
      <c r="Q40" s="88"/>
      <c r="R40" s="37"/>
      <c r="S40" s="20"/>
      <c r="T40" s="3"/>
      <c r="U40" s="3"/>
      <c r="V40" s="3"/>
      <c r="W40" s="3"/>
      <c r="X40" s="10"/>
      <c r="Y40" s="17"/>
      <c r="Z40" s="2"/>
      <c r="AA40" s="2"/>
      <c r="AB40" s="2"/>
      <c r="AC40" s="3"/>
      <c r="AD40" s="37"/>
      <c r="AE40" s="9"/>
      <c r="AF40" s="2"/>
      <c r="AG40" s="2"/>
      <c r="AH40" s="2"/>
      <c r="AI40" s="3"/>
      <c r="AJ40" s="10"/>
      <c r="AK40" s="28"/>
      <c r="AL40" s="3"/>
      <c r="AM40" s="3"/>
      <c r="AN40" s="10"/>
      <c r="AO40" s="28"/>
      <c r="AP40" s="28"/>
      <c r="AQ40" s="3"/>
      <c r="AR40" s="10"/>
      <c r="AS40" s="20"/>
      <c r="AT40" s="28"/>
      <c r="AU40" s="3"/>
      <c r="AV40" s="10"/>
      <c r="AW40" s="20"/>
      <c r="AX40" s="28"/>
      <c r="AY40" s="3"/>
      <c r="AZ40" s="10"/>
      <c r="BA40" s="20"/>
      <c r="BB40" s="28"/>
      <c r="BC40" s="3"/>
      <c r="BD40" s="10"/>
      <c r="BE40" s="23"/>
      <c r="BF40" s="28"/>
      <c r="BG40" s="3"/>
      <c r="BH40" s="10"/>
      <c r="BI40" s="20"/>
      <c r="BJ40" s="28"/>
      <c r="BK40" s="3"/>
      <c r="BL40" s="10"/>
    </row>
    <row r="41" spans="2:64" x14ac:dyDescent="0.3">
      <c r="B41" s="62">
        <f t="shared" si="0"/>
        <v>0</v>
      </c>
      <c r="C41" s="47">
        <f t="shared" si="1"/>
        <v>0</v>
      </c>
      <c r="D41" s="47">
        <f t="shared" si="2"/>
        <v>0</v>
      </c>
      <c r="E41" s="47">
        <f t="shared" si="3"/>
        <v>0</v>
      </c>
      <c r="F41" s="47">
        <f t="shared" si="4"/>
        <v>0</v>
      </c>
      <c r="G41" s="47">
        <f t="shared" si="5"/>
        <v>0</v>
      </c>
      <c r="H41" s="47">
        <f t="shared" si="6"/>
        <v>0</v>
      </c>
      <c r="I41" s="47">
        <f t="shared" si="7"/>
        <v>0</v>
      </c>
      <c r="J41" s="47">
        <f t="shared" si="8"/>
        <v>0</v>
      </c>
      <c r="K41" s="63">
        <f t="shared" si="9"/>
        <v>0</v>
      </c>
      <c r="L41" s="55">
        <f t="shared" si="10"/>
        <v>0</v>
      </c>
      <c r="N41" s="33">
        <v>22</v>
      </c>
      <c r="O41" s="28"/>
      <c r="P41" s="88"/>
      <c r="Q41" s="88"/>
      <c r="R41" s="37"/>
      <c r="S41" s="20"/>
      <c r="T41" s="3"/>
      <c r="U41" s="3"/>
      <c r="V41" s="3"/>
      <c r="W41" s="3"/>
      <c r="X41" s="10"/>
      <c r="Y41" s="17"/>
      <c r="Z41" s="2"/>
      <c r="AA41" s="2"/>
      <c r="AB41" s="2"/>
      <c r="AC41" s="3"/>
      <c r="AD41" s="37"/>
      <c r="AE41" s="9"/>
      <c r="AF41" s="2"/>
      <c r="AG41" s="2"/>
      <c r="AH41" s="2"/>
      <c r="AI41" s="3"/>
      <c r="AJ41" s="10"/>
      <c r="AK41" s="28"/>
      <c r="AL41" s="3"/>
      <c r="AM41" s="3"/>
      <c r="AN41" s="10"/>
      <c r="AO41" s="28"/>
      <c r="AP41" s="28"/>
      <c r="AQ41" s="3"/>
      <c r="AR41" s="10"/>
      <c r="AS41" s="20"/>
      <c r="AT41" s="28"/>
      <c r="AU41" s="3"/>
      <c r="AV41" s="10"/>
      <c r="AW41" s="20"/>
      <c r="AX41" s="28"/>
      <c r="AY41" s="3"/>
      <c r="AZ41" s="10"/>
      <c r="BA41" s="20"/>
      <c r="BB41" s="28"/>
      <c r="BC41" s="3"/>
      <c r="BD41" s="10"/>
      <c r="BE41" s="23"/>
      <c r="BF41" s="28"/>
      <c r="BG41" s="3"/>
      <c r="BH41" s="10"/>
      <c r="BI41" s="20"/>
      <c r="BJ41" s="28"/>
      <c r="BK41" s="3"/>
      <c r="BL41" s="10"/>
    </row>
    <row r="42" spans="2:64" x14ac:dyDescent="0.3">
      <c r="B42" s="62">
        <f t="shared" si="0"/>
        <v>0</v>
      </c>
      <c r="C42" s="47">
        <f t="shared" si="1"/>
        <v>0</v>
      </c>
      <c r="D42" s="47">
        <f t="shared" si="2"/>
        <v>0</v>
      </c>
      <c r="E42" s="47">
        <f t="shared" si="3"/>
        <v>0</v>
      </c>
      <c r="F42" s="47">
        <f t="shared" si="4"/>
        <v>0</v>
      </c>
      <c r="G42" s="47">
        <f t="shared" si="5"/>
        <v>0</v>
      </c>
      <c r="H42" s="47">
        <f t="shared" si="6"/>
        <v>0</v>
      </c>
      <c r="I42" s="47">
        <f t="shared" si="7"/>
        <v>0</v>
      </c>
      <c r="J42" s="47">
        <f t="shared" si="8"/>
        <v>0</v>
      </c>
      <c r="K42" s="63">
        <f t="shared" si="9"/>
        <v>0</v>
      </c>
      <c r="L42" s="55">
        <f t="shared" si="10"/>
        <v>0</v>
      </c>
      <c r="N42" s="33">
        <v>23</v>
      </c>
      <c r="O42" s="28"/>
      <c r="P42" s="88"/>
      <c r="Q42" s="88"/>
      <c r="R42" s="37"/>
      <c r="S42" s="20"/>
      <c r="T42" s="3"/>
      <c r="U42" s="3"/>
      <c r="V42" s="3"/>
      <c r="W42" s="3"/>
      <c r="X42" s="10"/>
      <c r="Y42" s="17"/>
      <c r="Z42" s="2"/>
      <c r="AA42" s="2"/>
      <c r="AB42" s="2"/>
      <c r="AC42" s="3"/>
      <c r="AD42" s="37"/>
      <c r="AE42" s="9"/>
      <c r="AF42" s="2"/>
      <c r="AG42" s="2"/>
      <c r="AH42" s="2"/>
      <c r="AI42" s="3"/>
      <c r="AJ42" s="10"/>
      <c r="AK42" s="28"/>
      <c r="AL42" s="3"/>
      <c r="AM42" s="3"/>
      <c r="AN42" s="10"/>
      <c r="AO42" s="28"/>
      <c r="AP42" s="28"/>
      <c r="AQ42" s="3"/>
      <c r="AR42" s="10"/>
      <c r="AS42" s="20"/>
      <c r="AT42" s="28"/>
      <c r="AU42" s="3"/>
      <c r="AV42" s="10"/>
      <c r="AW42" s="20"/>
      <c r="AX42" s="28"/>
      <c r="AY42" s="3"/>
      <c r="AZ42" s="10"/>
      <c r="BA42" s="20"/>
      <c r="BB42" s="28"/>
      <c r="BC42" s="3"/>
      <c r="BD42" s="10"/>
      <c r="BE42" s="23"/>
      <c r="BF42" s="28"/>
      <c r="BG42" s="3"/>
      <c r="BH42" s="10"/>
      <c r="BI42" s="20"/>
      <c r="BJ42" s="28"/>
      <c r="BK42" s="3"/>
      <c r="BL42" s="10"/>
    </row>
    <row r="43" spans="2:64" x14ac:dyDescent="0.3">
      <c r="B43" s="62">
        <f t="shared" si="0"/>
        <v>0</v>
      </c>
      <c r="C43" s="47">
        <f t="shared" si="1"/>
        <v>0</v>
      </c>
      <c r="D43" s="47">
        <f t="shared" si="2"/>
        <v>0</v>
      </c>
      <c r="E43" s="47">
        <f t="shared" si="3"/>
        <v>0</v>
      </c>
      <c r="F43" s="47">
        <f t="shared" si="4"/>
        <v>0</v>
      </c>
      <c r="G43" s="47">
        <f t="shared" si="5"/>
        <v>0</v>
      </c>
      <c r="H43" s="47">
        <f t="shared" si="6"/>
        <v>0</v>
      </c>
      <c r="I43" s="47">
        <f t="shared" si="7"/>
        <v>0</v>
      </c>
      <c r="J43" s="47">
        <f t="shared" si="8"/>
        <v>0</v>
      </c>
      <c r="K43" s="63">
        <f t="shared" si="9"/>
        <v>0</v>
      </c>
      <c r="L43" s="55">
        <f t="shared" si="10"/>
        <v>0</v>
      </c>
      <c r="N43" s="33">
        <v>24</v>
      </c>
      <c r="O43" s="28"/>
      <c r="P43" s="88"/>
      <c r="Q43" s="88"/>
      <c r="R43" s="37"/>
      <c r="S43" s="20"/>
      <c r="T43" s="3"/>
      <c r="U43" s="3"/>
      <c r="V43" s="3"/>
      <c r="W43" s="3"/>
      <c r="X43" s="10"/>
      <c r="Y43" s="17"/>
      <c r="Z43" s="2"/>
      <c r="AA43" s="2"/>
      <c r="AB43" s="2"/>
      <c r="AC43" s="3"/>
      <c r="AD43" s="37"/>
      <c r="AE43" s="9"/>
      <c r="AF43" s="2"/>
      <c r="AG43" s="2"/>
      <c r="AH43" s="2"/>
      <c r="AI43" s="3"/>
      <c r="AJ43" s="10"/>
      <c r="AK43" s="28"/>
      <c r="AL43" s="3"/>
      <c r="AM43" s="3"/>
      <c r="AN43" s="10"/>
      <c r="AO43" s="28"/>
      <c r="AP43" s="28"/>
      <c r="AQ43" s="3"/>
      <c r="AR43" s="10"/>
      <c r="AS43" s="20"/>
      <c r="AT43" s="28"/>
      <c r="AU43" s="3"/>
      <c r="AV43" s="10"/>
      <c r="AW43" s="20"/>
      <c r="AX43" s="28"/>
      <c r="AY43" s="3"/>
      <c r="AZ43" s="10"/>
      <c r="BA43" s="20"/>
      <c r="BB43" s="28"/>
      <c r="BC43" s="3"/>
      <c r="BD43" s="10"/>
      <c r="BE43" s="23"/>
      <c r="BF43" s="28"/>
      <c r="BG43" s="3"/>
      <c r="BH43" s="10"/>
      <c r="BI43" s="20"/>
      <c r="BJ43" s="28"/>
      <c r="BK43" s="3"/>
      <c r="BL43" s="10"/>
    </row>
    <row r="44" spans="2:64" x14ac:dyDescent="0.3">
      <c r="B44" s="62">
        <f t="shared" si="0"/>
        <v>0</v>
      </c>
      <c r="C44" s="47">
        <f t="shared" si="1"/>
        <v>0</v>
      </c>
      <c r="D44" s="47">
        <f t="shared" si="2"/>
        <v>0</v>
      </c>
      <c r="E44" s="47">
        <f t="shared" si="3"/>
        <v>0</v>
      </c>
      <c r="F44" s="47">
        <f t="shared" si="4"/>
        <v>0</v>
      </c>
      <c r="G44" s="47">
        <f t="shared" si="5"/>
        <v>0</v>
      </c>
      <c r="H44" s="47">
        <f t="shared" si="6"/>
        <v>0</v>
      </c>
      <c r="I44" s="47">
        <f t="shared" si="7"/>
        <v>0</v>
      </c>
      <c r="J44" s="47">
        <f t="shared" si="8"/>
        <v>0</v>
      </c>
      <c r="K44" s="63">
        <f t="shared" si="9"/>
        <v>0</v>
      </c>
      <c r="L44" s="55">
        <f t="shared" si="10"/>
        <v>0</v>
      </c>
      <c r="N44" s="33">
        <v>25</v>
      </c>
      <c r="O44" s="28"/>
      <c r="P44" s="88"/>
      <c r="Q44" s="88"/>
      <c r="R44" s="37"/>
      <c r="S44" s="20"/>
      <c r="T44" s="3"/>
      <c r="U44" s="3"/>
      <c r="V44" s="3"/>
      <c r="W44" s="3"/>
      <c r="X44" s="10"/>
      <c r="Y44" s="17"/>
      <c r="Z44" s="2"/>
      <c r="AA44" s="2"/>
      <c r="AB44" s="2"/>
      <c r="AC44" s="3"/>
      <c r="AD44" s="37"/>
      <c r="AE44" s="9"/>
      <c r="AF44" s="2"/>
      <c r="AG44" s="2"/>
      <c r="AH44" s="2"/>
      <c r="AI44" s="3"/>
      <c r="AJ44" s="10"/>
      <c r="AK44" s="28"/>
      <c r="AL44" s="3"/>
      <c r="AM44" s="3"/>
      <c r="AN44" s="10"/>
      <c r="AO44" s="28"/>
      <c r="AP44" s="28"/>
      <c r="AQ44" s="3"/>
      <c r="AR44" s="10"/>
      <c r="AS44" s="20"/>
      <c r="AT44" s="28"/>
      <c r="AU44" s="3"/>
      <c r="AV44" s="10"/>
      <c r="AW44" s="20"/>
      <c r="AX44" s="28"/>
      <c r="AY44" s="3"/>
      <c r="AZ44" s="10"/>
      <c r="BA44" s="20"/>
      <c r="BB44" s="28"/>
      <c r="BC44" s="3"/>
      <c r="BD44" s="10"/>
      <c r="BE44" s="23"/>
      <c r="BF44" s="28"/>
      <c r="BG44" s="3"/>
      <c r="BH44" s="10"/>
      <c r="BI44" s="20"/>
      <c r="BJ44" s="28"/>
      <c r="BK44" s="3"/>
      <c r="BL44" s="10"/>
    </row>
    <row r="45" spans="2:64" x14ac:dyDescent="0.3">
      <c r="B45" s="62">
        <f t="shared" si="0"/>
        <v>0</v>
      </c>
      <c r="C45" s="47">
        <f t="shared" si="1"/>
        <v>0</v>
      </c>
      <c r="D45" s="47">
        <f t="shared" si="2"/>
        <v>0</v>
      </c>
      <c r="E45" s="47">
        <f t="shared" si="3"/>
        <v>0</v>
      </c>
      <c r="F45" s="47">
        <f t="shared" si="4"/>
        <v>0</v>
      </c>
      <c r="G45" s="47">
        <f t="shared" si="5"/>
        <v>0</v>
      </c>
      <c r="H45" s="47">
        <f t="shared" si="6"/>
        <v>0</v>
      </c>
      <c r="I45" s="47">
        <f t="shared" si="7"/>
        <v>0</v>
      </c>
      <c r="J45" s="47">
        <f t="shared" si="8"/>
        <v>0</v>
      </c>
      <c r="K45" s="63">
        <f t="shared" si="9"/>
        <v>0</v>
      </c>
      <c r="L45" s="55">
        <f t="shared" si="10"/>
        <v>0</v>
      </c>
      <c r="N45" s="33">
        <v>26</v>
      </c>
      <c r="O45" s="28"/>
      <c r="P45" s="88"/>
      <c r="Q45" s="88"/>
      <c r="R45" s="37"/>
      <c r="S45" s="20"/>
      <c r="T45" s="3"/>
      <c r="U45" s="3"/>
      <c r="V45" s="3"/>
      <c r="W45" s="3"/>
      <c r="X45" s="10"/>
      <c r="Y45" s="17"/>
      <c r="Z45" s="2"/>
      <c r="AA45" s="2"/>
      <c r="AB45" s="2"/>
      <c r="AC45" s="3"/>
      <c r="AD45" s="37"/>
      <c r="AE45" s="9"/>
      <c r="AF45" s="2"/>
      <c r="AG45" s="2"/>
      <c r="AH45" s="2"/>
      <c r="AI45" s="3"/>
      <c r="AJ45" s="10"/>
      <c r="AK45" s="28"/>
      <c r="AL45" s="3"/>
      <c r="AM45" s="3"/>
      <c r="AN45" s="10"/>
      <c r="AO45" s="28"/>
      <c r="AP45" s="28"/>
      <c r="AQ45" s="3"/>
      <c r="AR45" s="10"/>
      <c r="AS45" s="20"/>
      <c r="AT45" s="28"/>
      <c r="AU45" s="3"/>
      <c r="AV45" s="10"/>
      <c r="AW45" s="20"/>
      <c r="AX45" s="28"/>
      <c r="AY45" s="3"/>
      <c r="AZ45" s="10"/>
      <c r="BA45" s="20"/>
      <c r="BB45" s="28"/>
      <c r="BC45" s="3"/>
      <c r="BD45" s="10"/>
      <c r="BE45" s="23"/>
      <c r="BF45" s="28"/>
      <c r="BG45" s="3"/>
      <c r="BH45" s="10"/>
      <c r="BI45" s="20"/>
      <c r="BJ45" s="28"/>
      <c r="BK45" s="3"/>
      <c r="BL45" s="10"/>
    </row>
    <row r="46" spans="2:64" x14ac:dyDescent="0.3">
      <c r="B46" s="62">
        <f t="shared" si="0"/>
        <v>0</v>
      </c>
      <c r="C46" s="47">
        <f t="shared" si="1"/>
        <v>0</v>
      </c>
      <c r="D46" s="47">
        <f t="shared" si="2"/>
        <v>0</v>
      </c>
      <c r="E46" s="47">
        <f t="shared" si="3"/>
        <v>0</v>
      </c>
      <c r="F46" s="47">
        <f t="shared" si="4"/>
        <v>0</v>
      </c>
      <c r="G46" s="47">
        <f t="shared" si="5"/>
        <v>0</v>
      </c>
      <c r="H46" s="47">
        <f t="shared" si="6"/>
        <v>0</v>
      </c>
      <c r="I46" s="47">
        <f t="shared" si="7"/>
        <v>0</v>
      </c>
      <c r="J46" s="47">
        <f t="shared" si="8"/>
        <v>0</v>
      </c>
      <c r="K46" s="63">
        <f t="shared" si="9"/>
        <v>0</v>
      </c>
      <c r="L46" s="55">
        <f t="shared" si="10"/>
        <v>0</v>
      </c>
      <c r="N46" s="33">
        <v>27</v>
      </c>
      <c r="O46" s="28"/>
      <c r="P46" s="88"/>
      <c r="Q46" s="88"/>
      <c r="R46" s="37"/>
      <c r="S46" s="20"/>
      <c r="T46" s="3"/>
      <c r="U46" s="3"/>
      <c r="V46" s="3"/>
      <c r="W46" s="3"/>
      <c r="X46" s="10"/>
      <c r="Y46" s="17"/>
      <c r="Z46" s="2"/>
      <c r="AA46" s="2"/>
      <c r="AB46" s="2"/>
      <c r="AC46" s="3"/>
      <c r="AD46" s="37"/>
      <c r="AE46" s="9"/>
      <c r="AF46" s="2"/>
      <c r="AG46" s="2"/>
      <c r="AH46" s="2"/>
      <c r="AI46" s="3"/>
      <c r="AJ46" s="10"/>
      <c r="AK46" s="28"/>
      <c r="AL46" s="3"/>
      <c r="AM46" s="3"/>
      <c r="AN46" s="10"/>
      <c r="AO46" s="28"/>
      <c r="AP46" s="28"/>
      <c r="AQ46" s="3"/>
      <c r="AR46" s="10"/>
      <c r="AS46" s="20"/>
      <c r="AT46" s="28"/>
      <c r="AU46" s="3"/>
      <c r="AV46" s="10"/>
      <c r="AW46" s="20"/>
      <c r="AX46" s="28"/>
      <c r="AY46" s="3"/>
      <c r="AZ46" s="10"/>
      <c r="BA46" s="20"/>
      <c r="BB46" s="28"/>
      <c r="BC46" s="3"/>
      <c r="BD46" s="10"/>
      <c r="BE46" s="23"/>
      <c r="BF46" s="28"/>
      <c r="BG46" s="3"/>
      <c r="BH46" s="10"/>
      <c r="BI46" s="20"/>
      <c r="BJ46" s="28"/>
      <c r="BK46" s="3"/>
      <c r="BL46" s="10"/>
    </row>
    <row r="47" spans="2:64" x14ac:dyDescent="0.3">
      <c r="B47" s="62">
        <f t="shared" si="0"/>
        <v>0</v>
      </c>
      <c r="C47" s="47">
        <f t="shared" si="1"/>
        <v>0</v>
      </c>
      <c r="D47" s="47">
        <f t="shared" si="2"/>
        <v>0</v>
      </c>
      <c r="E47" s="47">
        <f t="shared" si="3"/>
        <v>0</v>
      </c>
      <c r="F47" s="47">
        <f t="shared" si="4"/>
        <v>0</v>
      </c>
      <c r="G47" s="47">
        <f t="shared" si="5"/>
        <v>0</v>
      </c>
      <c r="H47" s="47">
        <f t="shared" si="6"/>
        <v>0</v>
      </c>
      <c r="I47" s="47">
        <f t="shared" si="7"/>
        <v>0</v>
      </c>
      <c r="J47" s="47">
        <f t="shared" si="8"/>
        <v>0</v>
      </c>
      <c r="K47" s="63">
        <f t="shared" si="9"/>
        <v>0</v>
      </c>
      <c r="L47" s="55">
        <f t="shared" si="10"/>
        <v>0</v>
      </c>
      <c r="N47" s="33">
        <v>28</v>
      </c>
      <c r="O47" s="28"/>
      <c r="P47" s="88"/>
      <c r="Q47" s="88"/>
      <c r="R47" s="37"/>
      <c r="S47" s="20"/>
      <c r="T47" s="3"/>
      <c r="U47" s="3"/>
      <c r="V47" s="3"/>
      <c r="W47" s="3"/>
      <c r="X47" s="10"/>
      <c r="Y47" s="17"/>
      <c r="Z47" s="2"/>
      <c r="AA47" s="2"/>
      <c r="AB47" s="2"/>
      <c r="AC47" s="3"/>
      <c r="AD47" s="37"/>
      <c r="AE47" s="9"/>
      <c r="AF47" s="2"/>
      <c r="AG47" s="2"/>
      <c r="AH47" s="2"/>
      <c r="AI47" s="3"/>
      <c r="AJ47" s="10"/>
      <c r="AK47" s="28"/>
      <c r="AL47" s="3"/>
      <c r="AM47" s="3"/>
      <c r="AN47" s="10"/>
      <c r="AO47" s="28"/>
      <c r="AP47" s="28"/>
      <c r="AQ47" s="3"/>
      <c r="AR47" s="10"/>
      <c r="AS47" s="20"/>
      <c r="AT47" s="28"/>
      <c r="AU47" s="3"/>
      <c r="AV47" s="10"/>
      <c r="AW47" s="20"/>
      <c r="AX47" s="28"/>
      <c r="AY47" s="3"/>
      <c r="AZ47" s="10"/>
      <c r="BA47" s="20"/>
      <c r="BB47" s="28"/>
      <c r="BC47" s="3"/>
      <c r="BD47" s="10"/>
      <c r="BE47" s="23"/>
      <c r="BF47" s="28"/>
      <c r="BG47" s="3"/>
      <c r="BH47" s="10"/>
      <c r="BI47" s="20"/>
      <c r="BJ47" s="28"/>
      <c r="BK47" s="3"/>
      <c r="BL47" s="10"/>
    </row>
    <row r="48" spans="2:64" x14ac:dyDescent="0.3">
      <c r="B48" s="62">
        <f t="shared" si="0"/>
        <v>0</v>
      </c>
      <c r="C48" s="47">
        <f t="shared" si="1"/>
        <v>0</v>
      </c>
      <c r="D48" s="47">
        <f t="shared" si="2"/>
        <v>0</v>
      </c>
      <c r="E48" s="47">
        <f t="shared" si="3"/>
        <v>0</v>
      </c>
      <c r="F48" s="47">
        <f t="shared" si="4"/>
        <v>0</v>
      </c>
      <c r="G48" s="47">
        <f t="shared" si="5"/>
        <v>0</v>
      </c>
      <c r="H48" s="47">
        <f t="shared" si="6"/>
        <v>0</v>
      </c>
      <c r="I48" s="47">
        <f t="shared" si="7"/>
        <v>0</v>
      </c>
      <c r="J48" s="47">
        <f t="shared" si="8"/>
        <v>0</v>
      </c>
      <c r="K48" s="63">
        <f t="shared" si="9"/>
        <v>0</v>
      </c>
      <c r="L48" s="55">
        <f t="shared" si="10"/>
        <v>0</v>
      </c>
      <c r="N48" s="33">
        <v>29</v>
      </c>
      <c r="O48" s="28"/>
      <c r="P48" s="88"/>
      <c r="Q48" s="88"/>
      <c r="R48" s="37"/>
      <c r="S48" s="20"/>
      <c r="T48" s="3"/>
      <c r="U48" s="3"/>
      <c r="V48" s="3"/>
      <c r="W48" s="3"/>
      <c r="X48" s="10"/>
      <c r="Y48" s="17"/>
      <c r="Z48" s="2"/>
      <c r="AA48" s="2"/>
      <c r="AB48" s="2"/>
      <c r="AC48" s="3"/>
      <c r="AD48" s="37"/>
      <c r="AE48" s="9"/>
      <c r="AF48" s="2"/>
      <c r="AG48" s="2"/>
      <c r="AH48" s="2"/>
      <c r="AI48" s="3"/>
      <c r="AJ48" s="10"/>
      <c r="AK48" s="28"/>
      <c r="AL48" s="3"/>
      <c r="AM48" s="3"/>
      <c r="AN48" s="10"/>
      <c r="AO48" s="28"/>
      <c r="AP48" s="28"/>
      <c r="AQ48" s="3"/>
      <c r="AR48" s="10"/>
      <c r="AS48" s="20"/>
      <c r="AT48" s="28"/>
      <c r="AU48" s="3"/>
      <c r="AV48" s="10"/>
      <c r="AW48" s="20"/>
      <c r="AX48" s="28"/>
      <c r="AY48" s="3"/>
      <c r="AZ48" s="10"/>
      <c r="BA48" s="20"/>
      <c r="BB48" s="28"/>
      <c r="BC48" s="3"/>
      <c r="BD48" s="10"/>
      <c r="BE48" s="23"/>
      <c r="BF48" s="28"/>
      <c r="BG48" s="3"/>
      <c r="BH48" s="10"/>
      <c r="BI48" s="20"/>
      <c r="BJ48" s="28"/>
      <c r="BK48" s="3"/>
      <c r="BL48" s="10"/>
    </row>
    <row r="49" spans="2:64" x14ac:dyDescent="0.3">
      <c r="B49" s="62">
        <f t="shared" si="0"/>
        <v>0</v>
      </c>
      <c r="C49" s="47">
        <f t="shared" si="1"/>
        <v>0</v>
      </c>
      <c r="D49" s="47">
        <f t="shared" si="2"/>
        <v>0</v>
      </c>
      <c r="E49" s="47">
        <f t="shared" si="3"/>
        <v>0</v>
      </c>
      <c r="F49" s="47">
        <f t="shared" si="4"/>
        <v>0</v>
      </c>
      <c r="G49" s="47">
        <f t="shared" si="5"/>
        <v>0</v>
      </c>
      <c r="H49" s="47">
        <f t="shared" si="6"/>
        <v>0</v>
      </c>
      <c r="I49" s="47">
        <f t="shared" si="7"/>
        <v>0</v>
      </c>
      <c r="J49" s="47">
        <f t="shared" si="8"/>
        <v>0</v>
      </c>
      <c r="K49" s="63">
        <f t="shared" si="9"/>
        <v>0</v>
      </c>
      <c r="L49" s="55">
        <f t="shared" si="10"/>
        <v>0</v>
      </c>
      <c r="N49" s="33">
        <v>30</v>
      </c>
      <c r="O49" s="28"/>
      <c r="P49" s="88"/>
      <c r="Q49" s="88"/>
      <c r="R49" s="37"/>
      <c r="S49" s="20"/>
      <c r="T49" s="3"/>
      <c r="U49" s="3"/>
      <c r="V49" s="3"/>
      <c r="W49" s="3"/>
      <c r="X49" s="10"/>
      <c r="Y49" s="17"/>
      <c r="Z49" s="2"/>
      <c r="AA49" s="2"/>
      <c r="AB49" s="2"/>
      <c r="AC49" s="3"/>
      <c r="AD49" s="37"/>
      <c r="AE49" s="9"/>
      <c r="AF49" s="2"/>
      <c r="AG49" s="2"/>
      <c r="AH49" s="2"/>
      <c r="AI49" s="3"/>
      <c r="AJ49" s="10"/>
      <c r="AK49" s="28"/>
      <c r="AL49" s="3"/>
      <c r="AM49" s="3"/>
      <c r="AN49" s="10"/>
      <c r="AO49" s="28"/>
      <c r="AP49" s="28"/>
      <c r="AQ49" s="3"/>
      <c r="AR49" s="10"/>
      <c r="AS49" s="20"/>
      <c r="AT49" s="28"/>
      <c r="AU49" s="3"/>
      <c r="AV49" s="10"/>
      <c r="AW49" s="20"/>
      <c r="AX49" s="28"/>
      <c r="AY49" s="3"/>
      <c r="AZ49" s="10"/>
      <c r="BA49" s="20"/>
      <c r="BB49" s="28"/>
      <c r="BC49" s="3"/>
      <c r="BD49" s="10"/>
      <c r="BE49" s="23"/>
      <c r="BF49" s="28"/>
      <c r="BG49" s="3"/>
      <c r="BH49" s="10"/>
      <c r="BI49" s="20"/>
      <c r="BJ49" s="28"/>
      <c r="BK49" s="3"/>
      <c r="BL49" s="10"/>
    </row>
    <row r="50" spans="2:64" x14ac:dyDescent="0.3">
      <c r="B50" s="62">
        <f t="shared" si="0"/>
        <v>0</v>
      </c>
      <c r="C50" s="47">
        <f t="shared" si="1"/>
        <v>0</v>
      </c>
      <c r="D50" s="47">
        <f t="shared" si="2"/>
        <v>0</v>
      </c>
      <c r="E50" s="47">
        <f t="shared" si="3"/>
        <v>0</v>
      </c>
      <c r="F50" s="47">
        <f t="shared" si="4"/>
        <v>0</v>
      </c>
      <c r="G50" s="47">
        <f t="shared" si="5"/>
        <v>0</v>
      </c>
      <c r="H50" s="47">
        <f t="shared" si="6"/>
        <v>0</v>
      </c>
      <c r="I50" s="47">
        <f t="shared" si="7"/>
        <v>0</v>
      </c>
      <c r="J50" s="47">
        <f t="shared" si="8"/>
        <v>0</v>
      </c>
      <c r="K50" s="63">
        <f t="shared" si="9"/>
        <v>0</v>
      </c>
      <c r="L50" s="55">
        <f t="shared" si="10"/>
        <v>0</v>
      </c>
      <c r="N50" s="33">
        <v>31</v>
      </c>
      <c r="O50" s="28"/>
      <c r="P50" s="88"/>
      <c r="Q50" s="88"/>
      <c r="R50" s="37"/>
      <c r="S50" s="20"/>
      <c r="T50" s="3"/>
      <c r="U50" s="3"/>
      <c r="V50" s="3"/>
      <c r="W50" s="3"/>
      <c r="X50" s="10"/>
      <c r="Y50" s="17"/>
      <c r="Z50" s="2"/>
      <c r="AA50" s="2"/>
      <c r="AB50" s="2"/>
      <c r="AC50" s="3"/>
      <c r="AD50" s="37"/>
      <c r="AE50" s="9"/>
      <c r="AF50" s="2"/>
      <c r="AG50" s="2"/>
      <c r="AH50" s="2"/>
      <c r="AI50" s="3"/>
      <c r="AJ50" s="10"/>
      <c r="AK50" s="28"/>
      <c r="AL50" s="3"/>
      <c r="AM50" s="3"/>
      <c r="AN50" s="10"/>
      <c r="AO50" s="28"/>
      <c r="AP50" s="28"/>
      <c r="AQ50" s="3"/>
      <c r="AR50" s="10"/>
      <c r="AS50" s="20"/>
      <c r="AT50" s="28"/>
      <c r="AU50" s="3"/>
      <c r="AV50" s="10"/>
      <c r="AW50" s="20"/>
      <c r="AX50" s="28"/>
      <c r="AY50" s="3"/>
      <c r="AZ50" s="10"/>
      <c r="BA50" s="20"/>
      <c r="BB50" s="28"/>
      <c r="BC50" s="3"/>
      <c r="BD50" s="10"/>
      <c r="BE50" s="23"/>
      <c r="BF50" s="28"/>
      <c r="BG50" s="3"/>
      <c r="BH50" s="10"/>
      <c r="BI50" s="20"/>
      <c r="BJ50" s="28"/>
      <c r="BK50" s="3"/>
      <c r="BL50" s="10"/>
    </row>
    <row r="51" spans="2:64" ht="15" thickBot="1" x14ac:dyDescent="0.35">
      <c r="B51" s="64">
        <f t="shared" si="0"/>
        <v>0</v>
      </c>
      <c r="C51" s="65">
        <f t="shared" si="1"/>
        <v>0</v>
      </c>
      <c r="D51" s="65">
        <f t="shared" si="2"/>
        <v>0</v>
      </c>
      <c r="E51" s="65">
        <f t="shared" si="3"/>
        <v>0</v>
      </c>
      <c r="F51" s="65">
        <f t="shared" si="4"/>
        <v>0</v>
      </c>
      <c r="G51" s="65">
        <f t="shared" si="5"/>
        <v>0</v>
      </c>
      <c r="H51" s="65">
        <f t="shared" si="6"/>
        <v>0</v>
      </c>
      <c r="I51" s="65">
        <f t="shared" si="7"/>
        <v>0</v>
      </c>
      <c r="J51" s="65">
        <f t="shared" si="8"/>
        <v>0</v>
      </c>
      <c r="K51" s="66">
        <f t="shared" si="9"/>
        <v>0</v>
      </c>
      <c r="L51" s="55">
        <f t="shared" si="10"/>
        <v>0</v>
      </c>
      <c r="N51" s="33">
        <v>32</v>
      </c>
      <c r="O51" s="28"/>
      <c r="P51" s="88"/>
      <c r="Q51" s="88"/>
      <c r="R51" s="37"/>
      <c r="S51" s="20"/>
      <c r="T51" s="3"/>
      <c r="U51" s="3"/>
      <c r="V51" s="3"/>
      <c r="W51" s="3"/>
      <c r="X51" s="10"/>
      <c r="Y51" s="17"/>
      <c r="Z51" s="2"/>
      <c r="AA51" s="2"/>
      <c r="AB51" s="2"/>
      <c r="AC51" s="3"/>
      <c r="AD51" s="37"/>
      <c r="AE51" s="9"/>
      <c r="AF51" s="2"/>
      <c r="AG51" s="2"/>
      <c r="AH51" s="2"/>
      <c r="AI51" s="3"/>
      <c r="AJ51" s="10"/>
      <c r="AK51" s="28"/>
      <c r="AL51" s="3"/>
      <c r="AM51" s="3"/>
      <c r="AN51" s="10"/>
      <c r="AO51" s="28"/>
      <c r="AP51" s="28"/>
      <c r="AQ51" s="3"/>
      <c r="AR51" s="10"/>
      <c r="AS51" s="20"/>
      <c r="AT51" s="28"/>
      <c r="AU51" s="3"/>
      <c r="AV51" s="10"/>
      <c r="AW51" s="20"/>
      <c r="AX51" s="28"/>
      <c r="AY51" s="3"/>
      <c r="AZ51" s="10"/>
      <c r="BA51" s="20"/>
      <c r="BB51" s="28"/>
      <c r="BC51" s="3"/>
      <c r="BD51" s="10"/>
      <c r="BE51" s="23"/>
      <c r="BF51" s="28"/>
      <c r="BG51" s="3"/>
      <c r="BH51" s="10"/>
      <c r="BI51" s="20"/>
      <c r="BJ51" s="28"/>
      <c r="BK51" s="3"/>
      <c r="BL51" s="10"/>
    </row>
    <row r="52" spans="2:64" x14ac:dyDescent="0.3">
      <c r="N52" s="34" t="s">
        <v>25</v>
      </c>
      <c r="O52" s="29"/>
      <c r="P52" s="89"/>
      <c r="Q52" s="89"/>
      <c r="R52" s="38"/>
      <c r="S52" s="18">
        <f>AVERAGE(S20:S51)</f>
        <v>1.6666666666666665E-7</v>
      </c>
      <c r="T52" s="4">
        <f>AVERAGE(T20:T51)</f>
        <v>2.5000005000000001</v>
      </c>
      <c r="U52" s="4">
        <f>AVERAGE(U20:U51)</f>
        <v>0.33333333333333331</v>
      </c>
      <c r="V52" s="4" t="e">
        <f>AVERAGE(V20:V51)</f>
        <v>#DIV/0!</v>
      </c>
      <c r="W52" s="4">
        <f>(SUM(D20:D51)+SUM(T20:T51)+SUM(S20:S51)*0.35)/SUM(S20:U51)</f>
        <v>1.2285712704082086</v>
      </c>
      <c r="X52" s="48">
        <f>AVERAGE(X20:X51)</f>
        <v>7.5</v>
      </c>
      <c r="Y52" s="58">
        <f>AVERAGE(Y20:Y51)</f>
        <v>1.6666666666666665E-7</v>
      </c>
      <c r="Z52" s="56">
        <f>AVERAGE(Z20:Z51)</f>
        <v>1.6666666666666665E-7</v>
      </c>
      <c r="AA52" s="56">
        <f>AVERAGE(AA20:AA51)</f>
        <v>1.6666666666666665E-7</v>
      </c>
      <c r="AB52" s="56" t="e">
        <f>AVERAGE(AB20:AB51)</f>
        <v>#DIV/0!</v>
      </c>
      <c r="AC52" s="56">
        <f>(SUM(B20:B51)+SUM(Z20:Z51)+SUM(Y20:Y51)*0.35)/SUM(Y20:AA51)</f>
        <v>0.45</v>
      </c>
      <c r="AD52" s="76" t="e">
        <f>AVERAGE(AD20:AD51)</f>
        <v>#DIV/0!</v>
      </c>
      <c r="AE52" s="79">
        <f>AVERAGE(AE20:AE51)</f>
        <v>1</v>
      </c>
      <c r="AF52" s="56">
        <f>AVERAGE(AF20:AF51)</f>
        <v>1.6666668333333334</v>
      </c>
      <c r="AG52" s="56">
        <f>AVERAGE(AG20:AG51)</f>
        <v>0.66666683333333332</v>
      </c>
      <c r="AH52" s="56" t="e">
        <f>AVERAGE(AH20:AH51)</f>
        <v>#DIV/0!</v>
      </c>
      <c r="AI52" s="56">
        <f>(SUM(C20:C51)+SUM(AF20:AF51)+SUM(AE20:AE51)*0.35)/SUM(AE20:AG51)</f>
        <v>0.96499995350000467</v>
      </c>
      <c r="AJ52" s="57">
        <f>AVERAGE(AJ20:AJ51)</f>
        <v>7.75</v>
      </c>
      <c r="AK52" s="58">
        <f>AVERAGE(AK20:AK51)</f>
        <v>13.333333333333334</v>
      </c>
      <c r="AL52" s="56" t="e">
        <f>AVERAGE(AL20:AL51)</f>
        <v>#DIV/0!</v>
      </c>
      <c r="AM52" s="56">
        <f>SUM(E20:E51)/SUM(AK20:AK51)</f>
        <v>2.2674999999999992</v>
      </c>
      <c r="AN52" s="57">
        <f>AVERAGE(AN20:AN51)</f>
        <v>7.166666666666667</v>
      </c>
      <c r="AO52" s="58">
        <f>AVERAGE(AO20:AO51)</f>
        <v>1.1666668333333334</v>
      </c>
      <c r="AP52" s="56" t="e">
        <f>AVERAGE(AP20:AP51)</f>
        <v>#DIV/0!</v>
      </c>
      <c r="AQ52" s="56">
        <f>SUM(F20:F51)/SUM(AO20:AO51)</f>
        <v>1.8999997285714672</v>
      </c>
      <c r="AR52" s="57">
        <f>AVERAGE(AR20:AR51)</f>
        <v>7</v>
      </c>
      <c r="AS52" s="58">
        <f>AVERAGE(AS20:AS51)</f>
        <v>9.9999999999999995E-7</v>
      </c>
      <c r="AT52" s="56" t="e">
        <f>AVERAGE(AT20:AT51)</f>
        <v>#DIV/0!</v>
      </c>
      <c r="AU52" s="56">
        <f>SUM(G20:G51)/SUM(AS20:AS51)</f>
        <v>0</v>
      </c>
      <c r="AV52" s="57" t="e">
        <f>AVERAGE(AV20:AV51)</f>
        <v>#DIV/0!</v>
      </c>
      <c r="AW52" s="58">
        <f>AVERAGE(AW20:AW51)</f>
        <v>9.9999999999999995E-7</v>
      </c>
      <c r="AX52" s="56" t="e">
        <f>AVERAGE(AX20:AX51)</f>
        <v>#DIV/0!</v>
      </c>
      <c r="AY52" s="56">
        <f>SUM(H20:H51)/SUM(AW20:AW51)</f>
        <v>0</v>
      </c>
      <c r="AZ52" s="57" t="e">
        <f>AVERAGE(AZ20:AZ51)</f>
        <v>#DIV/0!</v>
      </c>
      <c r="BA52" s="58">
        <f>AVERAGE(BA20:BA51)</f>
        <v>9.9999999999999995E-7</v>
      </c>
      <c r="BB52" s="56" t="e">
        <f>AVERAGE(BB20:BB51)</f>
        <v>#DIV/0!</v>
      </c>
      <c r="BC52" s="56">
        <f>SUM(I20:I51)/SUM(BA20:BA51)</f>
        <v>0</v>
      </c>
      <c r="BD52" s="57" t="e">
        <f>AVERAGE(BD20:BD51)</f>
        <v>#DIV/0!</v>
      </c>
      <c r="BE52" s="58">
        <f>AVERAGE(BE20:BE51)</f>
        <v>9.9999999999999995E-7</v>
      </c>
      <c r="BF52" s="56" t="e">
        <f>AVERAGE(BF20:BF51)</f>
        <v>#DIV/0!</v>
      </c>
      <c r="BG52" s="56">
        <f>SUM(J20:J51)/SUM(BE20:BE51)</f>
        <v>0</v>
      </c>
      <c r="BH52" s="57" t="e">
        <f>AVERAGE(BH20:BH51)</f>
        <v>#DIV/0!</v>
      </c>
      <c r="BI52" s="58">
        <f>AVERAGE(BI20:BI51)</f>
        <v>0.83333350000000006</v>
      </c>
      <c r="BJ52" s="56" t="e">
        <f>AVERAGE(BJ20:BJ51)</f>
        <v>#DIV/0!</v>
      </c>
      <c r="BK52" s="56">
        <f>SUM(K20:K51)/SUM(BI20:BI51)</f>
        <v>1.0999997800000441</v>
      </c>
      <c r="BL52" s="57">
        <f>AVERAGE(BL20:BL51)</f>
        <v>7</v>
      </c>
    </row>
    <row r="53" spans="2:64" x14ac:dyDescent="0.3">
      <c r="N53" s="34" t="s">
        <v>30</v>
      </c>
      <c r="O53" s="29"/>
      <c r="P53" s="89"/>
      <c r="Q53" s="89"/>
      <c r="R53" s="38"/>
      <c r="S53" s="18"/>
      <c r="T53" s="4"/>
      <c r="U53" s="4"/>
      <c r="V53" s="4"/>
      <c r="W53" s="5">
        <f>SUM(D20:D51)/SUM(U20:U51)</f>
        <v>1.8</v>
      </c>
      <c r="X53" s="38"/>
      <c r="Y53" s="58"/>
      <c r="Z53" s="56"/>
      <c r="AA53" s="56"/>
      <c r="AB53" s="56"/>
      <c r="AC53" s="77">
        <f>SUM(B20:B51)/SUM(AA20:AA51)</f>
        <v>0</v>
      </c>
      <c r="AD53" s="78"/>
      <c r="AE53" s="79"/>
      <c r="AF53" s="56"/>
      <c r="AG53" s="56"/>
      <c r="AH53" s="56"/>
      <c r="AI53" s="77">
        <f>SUM(C20:C51)/SUM(AG20:AG51)</f>
        <v>1.7999995500001125</v>
      </c>
      <c r="AJ53" s="80"/>
      <c r="AK53" s="29"/>
      <c r="AL53" s="5"/>
      <c r="AM53" s="5"/>
      <c r="AN53" s="12"/>
      <c r="AO53" s="29"/>
      <c r="AP53" s="29"/>
      <c r="AQ53" s="5"/>
      <c r="AR53" s="12"/>
      <c r="AS53" s="21"/>
      <c r="AT53" s="29"/>
      <c r="AU53" s="5"/>
      <c r="AV53" s="12"/>
      <c r="AW53" s="21"/>
      <c r="AX53" s="29"/>
      <c r="AY53" s="5"/>
      <c r="AZ53" s="12"/>
      <c r="BA53" s="21"/>
      <c r="BB53" s="29"/>
      <c r="BC53" s="5"/>
      <c r="BD53" s="12"/>
      <c r="BE53" s="21"/>
      <c r="BF53" s="29"/>
      <c r="BG53" s="5"/>
      <c r="BH53" s="12"/>
      <c r="BI53" s="21"/>
      <c r="BJ53" s="29"/>
      <c r="BK53" s="5"/>
      <c r="BL53" s="12"/>
    </row>
    <row r="54" spans="2:64" x14ac:dyDescent="0.3">
      <c r="N54" s="34" t="s">
        <v>11</v>
      </c>
      <c r="O54" s="29"/>
      <c r="P54" s="89"/>
      <c r="Q54" s="89"/>
      <c r="R54" s="38"/>
      <c r="S54" s="21"/>
      <c r="T54" s="5"/>
      <c r="U54" s="5"/>
      <c r="V54" s="5"/>
      <c r="W54" s="5"/>
      <c r="X54" s="12"/>
      <c r="Y54" s="18"/>
      <c r="Z54" s="4"/>
      <c r="AA54" s="4"/>
      <c r="AB54" s="4"/>
      <c r="AC54" s="5"/>
      <c r="AD54" s="38"/>
      <c r="AE54" s="11"/>
      <c r="AF54" s="4"/>
      <c r="AG54" s="4"/>
      <c r="AH54" s="4"/>
      <c r="AI54" s="5"/>
      <c r="AJ54" s="12"/>
      <c r="AK54" s="29"/>
      <c r="AL54" s="5"/>
      <c r="AM54" s="5"/>
      <c r="AN54" s="12"/>
      <c r="AO54" s="29"/>
      <c r="AP54" s="29"/>
      <c r="AQ54" s="5"/>
      <c r="AR54" s="12"/>
      <c r="AS54" s="21"/>
      <c r="AT54" s="29"/>
      <c r="AU54" s="5"/>
      <c r="AV54" s="12"/>
      <c r="AW54" s="21"/>
      <c r="AX54" s="29"/>
      <c r="AY54" s="5"/>
      <c r="AZ54" s="12"/>
      <c r="BA54" s="21"/>
      <c r="BB54" s="29"/>
      <c r="BC54" s="5"/>
      <c r="BD54" s="12"/>
      <c r="BE54" s="21"/>
      <c r="BF54" s="29"/>
      <c r="BG54" s="5"/>
      <c r="BH54" s="12"/>
      <c r="BI54" s="21"/>
      <c r="BJ54" s="29"/>
      <c r="BK54" s="5"/>
      <c r="BL54" s="12"/>
    </row>
    <row r="55" spans="2:64" ht="15" thickBot="1" x14ac:dyDescent="0.35">
      <c r="N55" s="35" t="s">
        <v>12</v>
      </c>
      <c r="O55" s="30"/>
      <c r="P55" s="90"/>
      <c r="Q55" s="90"/>
      <c r="R55" s="39"/>
      <c r="S55" s="22"/>
      <c r="T55" s="15"/>
      <c r="U55" s="15"/>
      <c r="V55" s="15"/>
      <c r="W55" s="15"/>
      <c r="X55" s="16"/>
      <c r="Y55" s="19"/>
      <c r="Z55" s="14"/>
      <c r="AA55" s="14"/>
      <c r="AB55" s="14"/>
      <c r="AC55" s="15"/>
      <c r="AD55" s="39"/>
      <c r="AE55" s="13"/>
      <c r="AF55" s="14"/>
      <c r="AG55" s="14"/>
      <c r="AH55" s="14"/>
      <c r="AI55" s="15"/>
      <c r="AJ55" s="16"/>
      <c r="AK55" s="30"/>
      <c r="AL55" s="15"/>
      <c r="AM55" s="15"/>
      <c r="AN55" s="16"/>
      <c r="AO55" s="30"/>
      <c r="AP55" s="30"/>
      <c r="AQ55" s="15"/>
      <c r="AR55" s="16"/>
      <c r="AS55" s="22"/>
      <c r="AT55" s="30"/>
      <c r="AU55" s="15"/>
      <c r="AV55" s="16"/>
      <c r="AW55" s="22"/>
      <c r="AX55" s="30"/>
      <c r="AY55" s="15"/>
      <c r="AZ55" s="16"/>
      <c r="BA55" s="22"/>
      <c r="BB55" s="30"/>
      <c r="BC55" s="15"/>
      <c r="BD55" s="16"/>
      <c r="BE55" s="22"/>
      <c r="BF55" s="30"/>
      <c r="BG55" s="15"/>
      <c r="BH55" s="16"/>
      <c r="BI55" s="22"/>
      <c r="BJ55" s="30"/>
      <c r="BK55" s="15"/>
      <c r="BL55" s="16"/>
    </row>
    <row r="60" spans="2:64" ht="15" thickBot="1" x14ac:dyDescent="0.35">
      <c r="U60">
        <f>T13</f>
        <v>0</v>
      </c>
      <c r="V60" t="s">
        <v>33</v>
      </c>
    </row>
    <row r="61" spans="2:64" ht="15" thickBot="1" x14ac:dyDescent="0.35">
      <c r="B61" s="59" t="s">
        <v>44</v>
      </c>
      <c r="C61" s="60"/>
      <c r="D61" s="61"/>
      <c r="E61" s="47"/>
      <c r="F61" s="47"/>
      <c r="I61" s="47"/>
      <c r="J61" s="47"/>
      <c r="K61" s="47"/>
      <c r="O61" t="s">
        <v>161</v>
      </c>
    </row>
    <row r="62" spans="2:64" ht="15" thickBot="1" x14ac:dyDescent="0.35">
      <c r="B62" s="73" t="str">
        <f>V62</f>
        <v>D, см</v>
      </c>
      <c r="C62" s="74" t="str">
        <f>W62</f>
        <v>h, м</v>
      </c>
      <c r="D62" s="75" t="str">
        <f>X62</f>
        <v>A, лет</v>
      </c>
      <c r="E62" s="47"/>
      <c r="F62" s="47"/>
      <c r="I62" s="47"/>
      <c r="J62" s="47"/>
      <c r="K62" s="47"/>
      <c r="O62" s="115"/>
      <c r="P62" s="116"/>
      <c r="Q62" s="116"/>
      <c r="R62" s="116"/>
      <c r="S62" s="116"/>
      <c r="T62" s="116"/>
      <c r="U62" s="116" t="s">
        <v>24</v>
      </c>
      <c r="V62" s="116" t="str">
        <f>AB19</f>
        <v>D, см</v>
      </c>
      <c r="W62" s="116" t="str">
        <f>AC19</f>
        <v>h, м</v>
      </c>
      <c r="X62" s="117" t="str">
        <f>AD19</f>
        <v>A, лет</v>
      </c>
    </row>
    <row r="63" spans="2:64" x14ac:dyDescent="0.3">
      <c r="B63" s="81" t="e">
        <f>V63*U63</f>
        <v>#DIV/0!</v>
      </c>
      <c r="C63" s="82">
        <f>W63*U63</f>
        <v>3.4877678502501599</v>
      </c>
      <c r="D63" s="83">
        <f>X63*U63</f>
        <v>21.291608803602237</v>
      </c>
      <c r="E63" s="47"/>
      <c r="F63" s="85"/>
      <c r="H63" s="47"/>
      <c r="I63" s="47"/>
      <c r="J63" s="47"/>
      <c r="K63" s="47"/>
      <c r="O63" s="138">
        <f t="shared" ref="O63:O72" si="11">U63/$U$75*10</f>
        <v>1.3178294098912449</v>
      </c>
      <c r="P63" s="139"/>
      <c r="Q63" s="139"/>
      <c r="R63" s="47" t="str">
        <f>S18</f>
        <v>Сосна</v>
      </c>
      <c r="S63" s="47"/>
      <c r="T63" s="47"/>
      <c r="U63" s="123">
        <f>SUM(S52:U52)/(AE16*AE16*3.15/10000*1000)</f>
        <v>2.8388811738136317</v>
      </c>
      <c r="V63" s="139" t="e">
        <f>V52</f>
        <v>#DIV/0!</v>
      </c>
      <c r="W63" s="139">
        <f>W52</f>
        <v>1.2285712704082086</v>
      </c>
      <c r="X63" s="140">
        <f>X52</f>
        <v>7.5</v>
      </c>
      <c r="Y63" s="55"/>
    </row>
    <row r="64" spans="2:64" x14ac:dyDescent="0.3">
      <c r="B64" s="81" t="e">
        <f t="shared" ref="B64:B72" si="12">V64*U64</f>
        <v>#DIV/0!</v>
      </c>
      <c r="C64" s="82">
        <f t="shared" ref="C64:C72" si="13">W64*U64</f>
        <v>2.2544051075802112E-7</v>
      </c>
      <c r="D64" s="83" t="e">
        <f t="shared" ref="D64:D72" si="14">X64*U64</f>
        <v>#DIV/0!</v>
      </c>
      <c r="E64" s="47"/>
      <c r="F64" s="85"/>
      <c r="H64" s="47"/>
      <c r="I64" s="47"/>
      <c r="J64" s="47"/>
      <c r="K64" s="47"/>
      <c r="O64" s="138">
        <f t="shared" si="11"/>
        <v>2.3255807643773108E-7</v>
      </c>
      <c r="P64" s="139"/>
      <c r="Q64" s="139"/>
      <c r="R64" s="47" t="str">
        <f>Y18</f>
        <v>Ель из подроста</v>
      </c>
      <c r="S64" s="47"/>
      <c r="T64" s="47"/>
      <c r="U64" s="123">
        <f>SUM(Y52:AA52)/(AE16*AE16*3.15/10000*1000)</f>
        <v>5.0097891279560248E-7</v>
      </c>
      <c r="V64" s="139" t="e">
        <f>AB52</f>
        <v>#DIV/0!</v>
      </c>
      <c r="W64" s="139">
        <f>AC52</f>
        <v>0.45</v>
      </c>
      <c r="X64" s="140" t="e">
        <f>AD52</f>
        <v>#DIV/0!</v>
      </c>
      <c r="Y64" s="55"/>
    </row>
    <row r="65" spans="2:25" x14ac:dyDescent="0.3">
      <c r="B65" s="81" t="e">
        <f t="shared" si="12"/>
        <v>#DIV/0!</v>
      </c>
      <c r="C65" s="82">
        <f t="shared" si="13"/>
        <v>3.2229645059780139</v>
      </c>
      <c r="D65" s="83">
        <f t="shared" si="14"/>
        <v>25.88391308283051</v>
      </c>
      <c r="E65" s="47"/>
      <c r="F65" s="47"/>
      <c r="G65" s="47"/>
      <c r="H65" s="47"/>
      <c r="I65" s="47"/>
      <c r="J65" s="47"/>
      <c r="K65" s="47"/>
      <c r="O65" s="138">
        <f t="shared" si="11"/>
        <v>1.5503873312902583</v>
      </c>
      <c r="P65" s="139"/>
      <c r="Q65" s="139"/>
      <c r="R65" s="47" t="str">
        <f>AE18</f>
        <v>ЕЛЬ лесные культуры</v>
      </c>
      <c r="S65" s="47"/>
      <c r="T65" s="47"/>
      <c r="U65" s="123">
        <f>SUM(AE52:AG52)/(AE16*AE16*3.15/10000*1000)</f>
        <v>3.3398597526232918</v>
      </c>
      <c r="V65" s="139" t="e">
        <f>AH52</f>
        <v>#DIV/0!</v>
      </c>
      <c r="W65" s="139">
        <f>AI52</f>
        <v>0.96499995350000467</v>
      </c>
      <c r="X65" s="140">
        <f>AJ52</f>
        <v>7.75</v>
      </c>
      <c r="Y65" s="55"/>
    </row>
    <row r="66" spans="2:25" x14ac:dyDescent="0.3">
      <c r="B66" s="81" t="e">
        <f t="shared" si="12"/>
        <v>#DIV/0!</v>
      </c>
      <c r="C66" s="82">
        <f t="shared" si="13"/>
        <v>30.292524927040759</v>
      </c>
      <c r="D66" s="83">
        <f t="shared" si="14"/>
        <v>95.74263666760406</v>
      </c>
      <c r="E66" s="47"/>
      <c r="F66" s="47"/>
      <c r="G66" s="47"/>
      <c r="H66" s="47"/>
      <c r="I66" s="47"/>
      <c r="J66" s="47"/>
      <c r="K66" s="47"/>
      <c r="O66" s="138">
        <f t="shared" si="11"/>
        <v>6.2015487050061635</v>
      </c>
      <c r="P66" s="139"/>
      <c r="Q66" s="139"/>
      <c r="R66" s="47" t="str">
        <f>AK18</f>
        <v>Берёза</v>
      </c>
      <c r="S66" s="47"/>
      <c r="T66" s="47"/>
      <c r="U66" s="123">
        <f>AK52/(AE16*AE16*3.15/10000*1000)</f>
        <v>13.359437674549403</v>
      </c>
      <c r="V66" s="139" t="e">
        <f>AL52</f>
        <v>#DIV/0!</v>
      </c>
      <c r="W66" s="139">
        <f>AM52</f>
        <v>2.2674999999999992</v>
      </c>
      <c r="X66" s="140">
        <f>AN52</f>
        <v>7.166666666666667</v>
      </c>
      <c r="Y66" s="55"/>
    </row>
    <row r="67" spans="2:25" x14ac:dyDescent="0.3">
      <c r="B67" s="81" t="e">
        <f t="shared" si="12"/>
        <v>#DIV/0!</v>
      </c>
      <c r="C67" s="82">
        <f t="shared" si="13"/>
        <v>2.2210065133938381</v>
      </c>
      <c r="D67" s="83">
        <f t="shared" si="14"/>
        <v>8.1826567446123057</v>
      </c>
      <c r="E67" s="47"/>
      <c r="F67" s="47"/>
      <c r="G67" s="47"/>
      <c r="H67" s="47"/>
      <c r="I67" s="47"/>
      <c r="J67" s="47"/>
      <c r="K67" s="47"/>
      <c r="O67" s="138">
        <f t="shared" si="11"/>
        <v>0.54263558920739818</v>
      </c>
      <c r="P67" s="139"/>
      <c r="Q67" s="139"/>
      <c r="R67" s="47" t="str">
        <f>AO18</f>
        <v>Осина</v>
      </c>
      <c r="S67" s="47"/>
      <c r="T67" s="47"/>
      <c r="U67" s="123">
        <f>AO52/(AE16*AE16*3.15/10000*1000)</f>
        <v>1.1689509635160438</v>
      </c>
      <c r="V67" s="139" t="e">
        <f>AP52</f>
        <v>#DIV/0!</v>
      </c>
      <c r="W67" s="139">
        <f>AQ52</f>
        <v>1.8999997285714672</v>
      </c>
      <c r="X67" s="140">
        <f>AR52</f>
        <v>7</v>
      </c>
      <c r="Y67" s="55"/>
    </row>
    <row r="68" spans="2:25" x14ac:dyDescent="0.3">
      <c r="B68" s="81" t="e">
        <f t="shared" si="12"/>
        <v>#DIV/0!</v>
      </c>
      <c r="C68" s="82">
        <f t="shared" si="13"/>
        <v>0</v>
      </c>
      <c r="D68" s="83" t="e">
        <f t="shared" si="14"/>
        <v>#DIV/0!</v>
      </c>
      <c r="E68" s="47"/>
      <c r="F68" s="47"/>
      <c r="G68" s="47"/>
      <c r="H68" s="47"/>
      <c r="I68" s="47"/>
      <c r="J68" s="47"/>
      <c r="K68" s="47"/>
      <c r="O68" s="138">
        <f t="shared" si="11"/>
        <v>4.6511615287546217E-7</v>
      </c>
      <c r="P68" s="139"/>
      <c r="Q68" s="139"/>
      <c r="R68" s="47" t="str">
        <f>AS18</f>
        <v>Ольха серая</v>
      </c>
      <c r="S68" s="47"/>
      <c r="T68" s="47"/>
      <c r="U68" s="123">
        <f>AS52/(AE16*AE16*3.15/10000*1000)</f>
        <v>1.001957825591205E-6</v>
      </c>
      <c r="V68" s="139" t="e">
        <f>AT52</f>
        <v>#DIV/0!</v>
      </c>
      <c r="W68" s="139">
        <f>AU52</f>
        <v>0</v>
      </c>
      <c r="X68" s="140" t="e">
        <f>AV52</f>
        <v>#DIV/0!</v>
      </c>
      <c r="Y68" s="55"/>
    </row>
    <row r="69" spans="2:25" x14ac:dyDescent="0.3">
      <c r="B69" s="81" t="e">
        <f t="shared" si="12"/>
        <v>#DIV/0!</v>
      </c>
      <c r="C69" s="82">
        <f t="shared" si="13"/>
        <v>0</v>
      </c>
      <c r="D69" s="83" t="e">
        <f t="shared" si="14"/>
        <v>#DIV/0!</v>
      </c>
      <c r="E69" s="47"/>
      <c r="F69" s="47"/>
      <c r="G69" s="47"/>
      <c r="H69" s="47"/>
      <c r="I69" s="47"/>
      <c r="J69" s="47"/>
      <c r="K69" s="47"/>
      <c r="O69" s="138">
        <f t="shared" si="11"/>
        <v>4.6511615287546217E-7</v>
      </c>
      <c r="P69" s="139"/>
      <c r="Q69" s="139"/>
      <c r="R69" s="47" t="str">
        <f>AW18</f>
        <v>Ива</v>
      </c>
      <c r="S69" s="47"/>
      <c r="T69" s="47"/>
      <c r="U69" s="123">
        <f>AW52/(AE16*AE16*3.15/10000*1000)</f>
        <v>1.001957825591205E-6</v>
      </c>
      <c r="V69" s="139" t="e">
        <f>AX52</f>
        <v>#DIV/0!</v>
      </c>
      <c r="W69" s="139">
        <f>AY52</f>
        <v>0</v>
      </c>
      <c r="X69" s="140" t="e">
        <f>AZ52</f>
        <v>#DIV/0!</v>
      </c>
      <c r="Y69" s="55"/>
    </row>
    <row r="70" spans="2:25" x14ac:dyDescent="0.3">
      <c r="B70" s="81" t="e">
        <f t="shared" si="12"/>
        <v>#DIV/0!</v>
      </c>
      <c r="C70" s="82">
        <f t="shared" si="13"/>
        <v>0</v>
      </c>
      <c r="D70" s="83" t="e">
        <f t="shared" si="14"/>
        <v>#DIV/0!</v>
      </c>
      <c r="E70" s="47"/>
      <c r="F70" s="47"/>
      <c r="G70" s="47"/>
      <c r="H70" s="47"/>
      <c r="I70" s="47"/>
      <c r="J70" s="47"/>
      <c r="K70" s="47"/>
      <c r="O70" s="138">
        <f t="shared" si="11"/>
        <v>4.6511615287546217E-7</v>
      </c>
      <c r="P70" s="139"/>
      <c r="Q70" s="139"/>
      <c r="R70" s="47" t="str">
        <f>BA18</f>
        <v>Чёрёмуха</v>
      </c>
      <c r="S70" s="47"/>
      <c r="T70" s="47"/>
      <c r="U70" s="123">
        <f>BA52/(AE16*AE16*3.15/10000*1000)</f>
        <v>1.001957825591205E-6</v>
      </c>
      <c r="V70" s="139" t="e">
        <f>BB52</f>
        <v>#DIV/0!</v>
      </c>
      <c r="W70" s="139">
        <f>BC52</f>
        <v>0</v>
      </c>
      <c r="X70" s="140" t="e">
        <f>BD52</f>
        <v>#DIV/0!</v>
      </c>
      <c r="Y70" s="55"/>
    </row>
    <row r="71" spans="2:25" x14ac:dyDescent="0.3">
      <c r="B71" s="81" t="e">
        <f t="shared" si="12"/>
        <v>#DIV/0!</v>
      </c>
      <c r="C71" s="82">
        <f t="shared" si="13"/>
        <v>0</v>
      </c>
      <c r="D71" s="83" t="e">
        <f t="shared" si="14"/>
        <v>#DIV/0!</v>
      </c>
      <c r="E71" s="47"/>
      <c r="F71" s="47"/>
      <c r="G71" s="47"/>
      <c r="H71" s="47"/>
      <c r="I71" s="47"/>
      <c r="J71" s="47"/>
      <c r="K71" s="47"/>
      <c r="O71" s="138">
        <f t="shared" si="11"/>
        <v>4.6511615287546217E-7</v>
      </c>
      <c r="P71" s="139"/>
      <c r="Q71" s="139"/>
      <c r="R71" s="47" t="str">
        <f>BE18</f>
        <v>Дуб</v>
      </c>
      <c r="S71" s="47"/>
      <c r="T71" s="47"/>
      <c r="U71" s="123">
        <f>BE52/(AE16*AE16*3.15/10000*1000)</f>
        <v>1.001957825591205E-6</v>
      </c>
      <c r="V71" s="139" t="e">
        <f>BF52</f>
        <v>#DIV/0!</v>
      </c>
      <c r="W71" s="139">
        <f>BG52</f>
        <v>0</v>
      </c>
      <c r="X71" s="140" t="e">
        <f>BH52</f>
        <v>#DIV/0!</v>
      </c>
      <c r="Y71" s="55"/>
    </row>
    <row r="72" spans="2:25" x14ac:dyDescent="0.3">
      <c r="B72" s="81" t="e">
        <f t="shared" si="12"/>
        <v>#DIV/0!</v>
      </c>
      <c r="C72" s="82">
        <f t="shared" si="13"/>
        <v>0.91846134012527147</v>
      </c>
      <c r="D72" s="83">
        <f t="shared" si="14"/>
        <v>5.8447551515661598</v>
      </c>
      <c r="E72" s="47"/>
      <c r="F72" s="47"/>
      <c r="G72" s="47"/>
      <c r="H72" s="47"/>
      <c r="I72" s="47"/>
      <c r="J72" s="47"/>
      <c r="K72" s="47"/>
      <c r="O72" s="138">
        <f t="shared" si="11"/>
        <v>0.38759687158224398</v>
      </c>
      <c r="P72" s="139"/>
      <c r="Q72" s="139"/>
      <c r="R72" s="47" t="str">
        <f>BI18</f>
        <v>Рябина</v>
      </c>
      <c r="S72" s="47"/>
      <c r="T72" s="47"/>
      <c r="U72" s="123">
        <f>BI52/(AE16*AE16*3.15/10000*1000)</f>
        <v>0.83496502165230857</v>
      </c>
      <c r="V72" s="139" t="e">
        <f>BJ52</f>
        <v>#DIV/0!</v>
      </c>
      <c r="W72" s="139">
        <f>BK52</f>
        <v>1.0999997800000441</v>
      </c>
      <c r="X72" s="140">
        <f>BL52</f>
        <v>7</v>
      </c>
      <c r="Y72" s="55"/>
    </row>
    <row r="73" spans="2:25" x14ac:dyDescent="0.3">
      <c r="B73" s="62">
        <f>AC72*AA72</f>
        <v>0</v>
      </c>
      <c r="C73" s="71">
        <f>AI72*AG72</f>
        <v>0</v>
      </c>
      <c r="D73" s="63"/>
      <c r="E73" s="47"/>
      <c r="F73" s="47"/>
      <c r="G73" s="47"/>
      <c r="H73" s="47"/>
      <c r="I73" s="47"/>
      <c r="J73" s="47"/>
      <c r="K73" s="47"/>
      <c r="O73" s="118"/>
      <c r="P73" s="47"/>
      <c r="Q73" s="47"/>
      <c r="R73" s="47"/>
      <c r="S73" s="47"/>
      <c r="T73" s="47"/>
      <c r="U73" s="141"/>
      <c r="V73" s="141"/>
      <c r="W73" s="141"/>
      <c r="X73" s="140"/>
      <c r="Y73" s="55"/>
    </row>
    <row r="74" spans="2:25" x14ac:dyDescent="0.3">
      <c r="B74" s="62">
        <f>AC73*AA73</f>
        <v>0</v>
      </c>
      <c r="C74" s="71">
        <f>AI73*AG73</f>
        <v>0</v>
      </c>
      <c r="D74" s="63">
        <f>W73*U73</f>
        <v>0</v>
      </c>
      <c r="E74" s="47"/>
      <c r="F74" s="47"/>
      <c r="G74" s="47"/>
      <c r="H74" s="47"/>
      <c r="I74" s="47"/>
      <c r="J74" s="47"/>
      <c r="K74" s="47"/>
      <c r="O74" s="118"/>
      <c r="P74" s="47"/>
      <c r="Q74" s="47"/>
      <c r="R74" s="47"/>
      <c r="S74" s="47"/>
      <c r="T74" s="47"/>
      <c r="U74" s="141"/>
      <c r="V74" s="141"/>
      <c r="W74" s="141"/>
      <c r="X74" s="140"/>
      <c r="Y74" s="55"/>
    </row>
    <row r="75" spans="2:25" x14ac:dyDescent="0.3">
      <c r="B75" s="62">
        <f>AC74*AA74</f>
        <v>0</v>
      </c>
      <c r="C75" s="71">
        <f>AI74*AG74</f>
        <v>0</v>
      </c>
      <c r="D75" s="63">
        <f>W74*U74</f>
        <v>0</v>
      </c>
      <c r="E75" s="47"/>
      <c r="F75" s="47"/>
      <c r="G75" s="47"/>
      <c r="H75" s="47"/>
      <c r="I75" s="47"/>
      <c r="J75" s="47"/>
      <c r="K75" s="47"/>
      <c r="O75" s="142">
        <f>SUM(O63:O72)</f>
        <v>10</v>
      </c>
      <c r="P75" s="143"/>
      <c r="Q75" s="143"/>
      <c r="R75" s="45" t="s">
        <v>27</v>
      </c>
      <c r="S75" s="45"/>
      <c r="T75" s="45"/>
      <c r="U75" s="144">
        <f>SUM(U63:U72)</f>
        <v>21.5420990949649</v>
      </c>
      <c r="V75" s="144" t="e">
        <f>SUM(B63:B72)/$U$75</f>
        <v>#DIV/0!</v>
      </c>
      <c r="W75" s="144">
        <f>SUM(C63:C72)/$U$75</f>
        <v>1.8634546793822535</v>
      </c>
      <c r="X75" s="145" t="e">
        <f>SUM(D63:D72)/$U$75</f>
        <v>#DIV/0!</v>
      </c>
      <c r="Y75" s="55"/>
    </row>
    <row r="76" spans="2:25" x14ac:dyDescent="0.3">
      <c r="B76" s="62">
        <f>AC75*AA75</f>
        <v>0</v>
      </c>
      <c r="C76" s="71">
        <f>AI75*AG75</f>
        <v>0</v>
      </c>
      <c r="D76" s="63"/>
      <c r="E76" s="47"/>
      <c r="F76" s="47"/>
      <c r="G76" s="47"/>
      <c r="H76" s="47"/>
      <c r="I76" s="47"/>
      <c r="J76" s="47"/>
      <c r="K76" s="47"/>
    </row>
    <row r="77" spans="2:25" ht="15" thickBot="1" x14ac:dyDescent="0.35">
      <c r="B77" s="64">
        <f>AC93*AA93</f>
        <v>0</v>
      </c>
      <c r="C77" s="72">
        <f>AI93*AG93</f>
        <v>0</v>
      </c>
      <c r="D77" s="66">
        <f>W93*U93</f>
        <v>0</v>
      </c>
      <c r="E77" s="47"/>
      <c r="F77" s="47"/>
      <c r="G77" s="47"/>
      <c r="H77" s="47"/>
      <c r="I77" s="47"/>
      <c r="J77" s="47"/>
      <c r="K77" s="47"/>
    </row>
  </sheetData>
  <mergeCells count="11">
    <mergeCell ref="AS18:AV18"/>
    <mergeCell ref="AW18:AZ18"/>
    <mergeCell ref="BA18:BD18"/>
    <mergeCell ref="BE18:BH18"/>
    <mergeCell ref="BI18:BL18"/>
    <mergeCell ref="O18:R18"/>
    <mergeCell ref="S18:X18"/>
    <mergeCell ref="Y18:AD18"/>
    <mergeCell ref="AE18:AJ18"/>
    <mergeCell ref="AK18:AN18"/>
    <mergeCell ref="AO18:AR18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BL77"/>
  <sheetViews>
    <sheetView zoomScale="80" zoomScaleNormal="80" workbookViewId="0">
      <pane xSplit="18" ySplit="19" topLeftCell="S20" activePane="bottomRight" state="frozen"/>
      <selection pane="topRight" activeCell="Q1" sqref="Q1"/>
      <selection pane="bottomLeft" activeCell="A11" sqref="A11"/>
      <selection pane="bottomRight" activeCell="O20" sqref="O20:BL31"/>
    </sheetView>
  </sheetViews>
  <sheetFormatPr defaultRowHeight="14.4" x14ac:dyDescent="0.3"/>
  <cols>
    <col min="2" max="2" width="16.109375" hidden="1" customWidth="1"/>
    <col min="3" max="3" width="17.5546875" hidden="1" customWidth="1"/>
    <col min="4" max="11" width="12.88671875" hidden="1" customWidth="1"/>
    <col min="18" max="18" width="11" customWidth="1"/>
    <col min="21" max="21" width="9" customWidth="1"/>
    <col min="34" max="56" width="9.88671875" bestFit="1" customWidth="1"/>
  </cols>
  <sheetData>
    <row r="1" spans="14:39" ht="15" thickBot="1" x14ac:dyDescent="0.35"/>
    <row r="2" spans="14:39" x14ac:dyDescent="0.3">
      <c r="V2" s="59"/>
      <c r="W2" s="67" t="s">
        <v>38</v>
      </c>
      <c r="X2" s="67"/>
      <c r="Y2" s="60"/>
      <c r="Z2" s="60"/>
      <c r="AA2" s="60"/>
      <c r="AB2" s="60"/>
      <c r="AC2" s="60"/>
      <c r="AD2" s="60"/>
      <c r="AE2" s="60">
        <v>8</v>
      </c>
      <c r="AF2" s="60" t="s">
        <v>142</v>
      </c>
      <c r="AG2" s="60"/>
      <c r="AH2" s="60"/>
      <c r="AI2" s="60"/>
      <c r="AJ2" s="60"/>
      <c r="AK2" s="60"/>
      <c r="AL2" s="60"/>
      <c r="AM2" s="61"/>
    </row>
    <row r="3" spans="14:39" x14ac:dyDescent="0.3">
      <c r="V3" s="62">
        <v>1</v>
      </c>
      <c r="W3" s="47" t="s">
        <v>158</v>
      </c>
      <c r="X3" s="47"/>
      <c r="Y3" s="47"/>
      <c r="Z3" s="47"/>
      <c r="AA3" s="47"/>
      <c r="AB3" s="47"/>
      <c r="AC3" s="47"/>
      <c r="AD3" s="47"/>
      <c r="AE3" s="47">
        <v>9</v>
      </c>
      <c r="AF3" s="47" t="s">
        <v>156</v>
      </c>
      <c r="AG3" s="47"/>
      <c r="AH3" s="47"/>
      <c r="AI3" s="47"/>
      <c r="AJ3" s="47"/>
      <c r="AK3" s="47"/>
      <c r="AL3" s="47"/>
      <c r="AM3" s="63"/>
    </row>
    <row r="4" spans="14:39" x14ac:dyDescent="0.3">
      <c r="V4" s="62">
        <v>2</v>
      </c>
      <c r="W4" s="47" t="s">
        <v>159</v>
      </c>
      <c r="X4" s="47"/>
      <c r="Y4" s="47"/>
      <c r="Z4" s="47"/>
      <c r="AA4" s="47"/>
      <c r="AB4" s="47"/>
      <c r="AC4" s="47"/>
      <c r="AD4" s="47"/>
      <c r="AE4" s="47">
        <v>10</v>
      </c>
      <c r="AF4" s="47" t="s">
        <v>157</v>
      </c>
      <c r="AG4" s="47"/>
      <c r="AH4" s="47"/>
      <c r="AI4" s="47"/>
      <c r="AJ4" s="47"/>
      <c r="AK4" s="47"/>
      <c r="AL4" s="47"/>
      <c r="AM4" s="63"/>
    </row>
    <row r="5" spans="14:39" x14ac:dyDescent="0.3">
      <c r="V5" s="62">
        <v>3</v>
      </c>
      <c r="W5" s="47" t="s">
        <v>34</v>
      </c>
      <c r="X5" s="47"/>
      <c r="Y5" s="47"/>
      <c r="Z5" s="47"/>
      <c r="AA5" s="47"/>
      <c r="AB5" s="47"/>
      <c r="AC5" s="47"/>
      <c r="AD5" s="47"/>
      <c r="AE5" s="47">
        <v>11</v>
      </c>
      <c r="AF5" s="47" t="s">
        <v>39</v>
      </c>
      <c r="AG5" s="47"/>
      <c r="AH5" s="47"/>
      <c r="AI5" s="47"/>
      <c r="AJ5" s="47"/>
      <c r="AK5" s="47"/>
      <c r="AL5" s="47"/>
      <c r="AM5" s="63"/>
    </row>
    <row r="6" spans="14:39" x14ac:dyDescent="0.3">
      <c r="V6" s="62">
        <v>4</v>
      </c>
      <c r="W6" s="47" t="s">
        <v>35</v>
      </c>
      <c r="X6" s="47"/>
      <c r="Y6" s="47"/>
      <c r="Z6" s="47"/>
      <c r="AA6" s="47"/>
      <c r="AB6" s="47"/>
      <c r="AC6" s="47"/>
      <c r="AD6" s="47"/>
      <c r="AE6" s="47">
        <v>12</v>
      </c>
      <c r="AF6" s="47" t="s">
        <v>40</v>
      </c>
      <c r="AG6" s="47"/>
      <c r="AH6" s="47"/>
      <c r="AI6" s="47"/>
      <c r="AJ6" s="47"/>
      <c r="AK6" s="47"/>
      <c r="AL6" s="47"/>
      <c r="AM6" s="63"/>
    </row>
    <row r="7" spans="14:39" x14ac:dyDescent="0.3">
      <c r="V7" s="62">
        <v>5</v>
      </c>
      <c r="W7" s="47" t="s">
        <v>36</v>
      </c>
      <c r="X7" s="47"/>
      <c r="Y7" s="47"/>
      <c r="Z7" s="47"/>
      <c r="AA7" s="47"/>
      <c r="AB7" s="47"/>
      <c r="AC7" s="47"/>
      <c r="AD7" s="47"/>
      <c r="AE7" s="47">
        <v>13</v>
      </c>
      <c r="AF7" s="47" t="s">
        <v>41</v>
      </c>
      <c r="AG7" s="47"/>
      <c r="AH7" s="47"/>
      <c r="AI7" s="47"/>
      <c r="AJ7" s="47"/>
      <c r="AK7" s="47"/>
      <c r="AL7" s="47"/>
      <c r="AM7" s="63"/>
    </row>
    <row r="8" spans="14:39" x14ac:dyDescent="0.3">
      <c r="V8" s="62">
        <v>6</v>
      </c>
      <c r="W8" s="47" t="s">
        <v>141</v>
      </c>
      <c r="X8" s="47"/>
      <c r="Y8" s="47"/>
      <c r="Z8" s="47"/>
      <c r="AA8" s="47"/>
      <c r="AB8" s="47"/>
      <c r="AC8" s="47"/>
      <c r="AD8" s="47"/>
      <c r="AE8" s="47">
        <v>14</v>
      </c>
      <c r="AF8" s="47"/>
      <c r="AG8" s="47"/>
      <c r="AH8" s="47"/>
      <c r="AI8" s="47"/>
      <c r="AJ8" s="47"/>
      <c r="AK8" s="47"/>
      <c r="AL8" s="47"/>
      <c r="AM8" s="63"/>
    </row>
    <row r="9" spans="14:39" ht="15" thickBot="1" x14ac:dyDescent="0.35">
      <c r="V9" s="64">
        <v>7</v>
      </c>
      <c r="W9" s="65" t="s">
        <v>37</v>
      </c>
      <c r="X9" s="65"/>
      <c r="Y9" s="65"/>
      <c r="Z9" s="65"/>
      <c r="AA9" s="65"/>
      <c r="AB9" s="65"/>
      <c r="AC9" s="65"/>
      <c r="AD9" s="65"/>
      <c r="AE9" s="65">
        <v>15</v>
      </c>
      <c r="AF9" s="65"/>
      <c r="AG9" s="65"/>
      <c r="AH9" s="65"/>
      <c r="AI9" s="65"/>
      <c r="AJ9" s="65"/>
      <c r="AK9" s="65"/>
      <c r="AL9" s="65"/>
      <c r="AM9" s="66"/>
    </row>
    <row r="13" spans="14:39" x14ac:dyDescent="0.3">
      <c r="N13" t="s">
        <v>32</v>
      </c>
      <c r="T13" s="45"/>
    </row>
    <row r="16" spans="14:39" x14ac:dyDescent="0.3">
      <c r="N16" s="46" t="s">
        <v>13</v>
      </c>
      <c r="S16">
        <v>1</v>
      </c>
      <c r="U16" s="45" t="s">
        <v>14</v>
      </c>
      <c r="V16" s="45"/>
      <c r="W16" s="45"/>
      <c r="X16" s="45" t="s">
        <v>15</v>
      </c>
      <c r="Y16" s="45"/>
      <c r="Z16" s="45" t="s">
        <v>16</v>
      </c>
      <c r="AA16" s="45"/>
      <c r="AB16" s="47"/>
      <c r="AC16" s="85" t="s">
        <v>45</v>
      </c>
      <c r="AE16" s="45">
        <v>1.78</v>
      </c>
      <c r="AG16" s="44" t="s">
        <v>28</v>
      </c>
      <c r="AI16" s="44"/>
    </row>
    <row r="17" spans="2:64" ht="15" thickBot="1" x14ac:dyDescent="0.35"/>
    <row r="18" spans="2:64" ht="15.6" thickTop="1" thickBot="1" x14ac:dyDescent="0.35">
      <c r="B18" s="59" t="s">
        <v>31</v>
      </c>
      <c r="C18" s="60"/>
      <c r="D18" s="60"/>
      <c r="E18" s="60"/>
      <c r="F18" s="60"/>
      <c r="G18" s="60"/>
      <c r="H18" s="60"/>
      <c r="I18" s="60"/>
      <c r="J18" s="60"/>
      <c r="K18" s="61"/>
      <c r="N18" s="1" t="s">
        <v>0</v>
      </c>
      <c r="O18" s="202" t="s">
        <v>1</v>
      </c>
      <c r="P18" s="194"/>
      <c r="Q18" s="194"/>
      <c r="R18" s="195"/>
      <c r="S18" s="193" t="s">
        <v>43</v>
      </c>
      <c r="T18" s="194"/>
      <c r="U18" s="194"/>
      <c r="V18" s="194"/>
      <c r="W18" s="194"/>
      <c r="X18" s="195"/>
      <c r="Y18" s="203" t="s">
        <v>17</v>
      </c>
      <c r="Z18" s="204"/>
      <c r="AA18" s="204"/>
      <c r="AB18" s="204"/>
      <c r="AC18" s="204"/>
      <c r="AD18" s="205"/>
      <c r="AE18" s="206" t="s">
        <v>18</v>
      </c>
      <c r="AF18" s="207"/>
      <c r="AG18" s="207"/>
      <c r="AH18" s="207"/>
      <c r="AI18" s="207"/>
      <c r="AJ18" s="208"/>
      <c r="AK18" s="193" t="s">
        <v>19</v>
      </c>
      <c r="AL18" s="194"/>
      <c r="AM18" s="194"/>
      <c r="AN18" s="195"/>
      <c r="AO18" s="193" t="s">
        <v>20</v>
      </c>
      <c r="AP18" s="194"/>
      <c r="AQ18" s="194"/>
      <c r="AR18" s="195"/>
      <c r="AS18" s="193" t="s">
        <v>21</v>
      </c>
      <c r="AT18" s="194"/>
      <c r="AU18" s="194"/>
      <c r="AV18" s="195"/>
      <c r="AW18" s="193" t="s">
        <v>26</v>
      </c>
      <c r="AX18" s="194"/>
      <c r="AY18" s="194"/>
      <c r="AZ18" s="195"/>
      <c r="BA18" s="193" t="s">
        <v>22</v>
      </c>
      <c r="BB18" s="194"/>
      <c r="BC18" s="194"/>
      <c r="BD18" s="195"/>
      <c r="BE18" s="193" t="s">
        <v>29</v>
      </c>
      <c r="BF18" s="194"/>
      <c r="BG18" s="194"/>
      <c r="BH18" s="195"/>
      <c r="BI18" s="193" t="s">
        <v>42</v>
      </c>
      <c r="BJ18" s="194"/>
      <c r="BK18" s="194"/>
      <c r="BL18" s="195"/>
    </row>
    <row r="19" spans="2:64" ht="21" thickBot="1" x14ac:dyDescent="0.35">
      <c r="B19" s="64" t="str">
        <f>Y18</f>
        <v>Ель из подроста</v>
      </c>
      <c r="C19" s="65" t="str">
        <f>AE18</f>
        <v>ЕЛЬ лесные культуры</v>
      </c>
      <c r="D19" s="65" t="str">
        <f>S18</f>
        <v>Сосна</v>
      </c>
      <c r="E19" s="65" t="str">
        <f>AK18</f>
        <v>Берёза</v>
      </c>
      <c r="F19" s="65" t="str">
        <f>AO18</f>
        <v>Осина</v>
      </c>
      <c r="G19" s="65" t="str">
        <f>AS18</f>
        <v>Ольха серая</v>
      </c>
      <c r="H19" s="65" t="str">
        <f>AW18</f>
        <v>Ива</v>
      </c>
      <c r="I19" s="65" t="str">
        <f>BA18</f>
        <v>Чёрёмуха</v>
      </c>
      <c r="J19" s="65" t="str">
        <f>BE18</f>
        <v>Дуб</v>
      </c>
      <c r="K19" s="66" t="str">
        <f>BI18</f>
        <v>Рябина</v>
      </c>
      <c r="L19" t="s">
        <v>46</v>
      </c>
      <c r="N19" s="31" t="s">
        <v>2</v>
      </c>
      <c r="O19" s="25" t="s">
        <v>3</v>
      </c>
      <c r="P19" s="86" t="s">
        <v>48</v>
      </c>
      <c r="Q19" s="86" t="s">
        <v>47</v>
      </c>
      <c r="R19" s="68" t="s">
        <v>4</v>
      </c>
      <c r="S19" s="41" t="s">
        <v>5</v>
      </c>
      <c r="T19" s="42" t="s">
        <v>6</v>
      </c>
      <c r="U19" s="42" t="s">
        <v>7</v>
      </c>
      <c r="V19" s="42" t="s">
        <v>23</v>
      </c>
      <c r="W19" s="43" t="s">
        <v>8</v>
      </c>
      <c r="X19" s="26" t="s">
        <v>9</v>
      </c>
      <c r="Y19" s="70" t="s">
        <v>5</v>
      </c>
      <c r="Z19" s="42" t="s">
        <v>6</v>
      </c>
      <c r="AA19" s="42" t="s">
        <v>7</v>
      </c>
      <c r="AB19" s="42" t="s">
        <v>23</v>
      </c>
      <c r="AC19" s="43" t="s">
        <v>8</v>
      </c>
      <c r="AD19" s="26" t="s">
        <v>9</v>
      </c>
      <c r="AE19" s="53" t="s">
        <v>5</v>
      </c>
      <c r="AF19" s="50" t="s">
        <v>6</v>
      </c>
      <c r="AG19" s="50" t="s">
        <v>7</v>
      </c>
      <c r="AH19" s="50" t="s">
        <v>23</v>
      </c>
      <c r="AI19" s="51" t="s">
        <v>8</v>
      </c>
      <c r="AJ19" s="54" t="s">
        <v>9</v>
      </c>
      <c r="AK19" s="49" t="s">
        <v>10</v>
      </c>
      <c r="AL19" s="50" t="s">
        <v>23</v>
      </c>
      <c r="AM19" s="51" t="s">
        <v>8</v>
      </c>
      <c r="AN19" s="52" t="s">
        <v>9</v>
      </c>
      <c r="AO19" s="25" t="s">
        <v>10</v>
      </c>
      <c r="AP19" s="42" t="s">
        <v>23</v>
      </c>
      <c r="AQ19" s="43" t="s">
        <v>8</v>
      </c>
      <c r="AR19" s="26" t="s">
        <v>9</v>
      </c>
      <c r="AS19" s="25" t="s">
        <v>10</v>
      </c>
      <c r="AT19" s="42" t="s">
        <v>23</v>
      </c>
      <c r="AU19" s="43" t="s">
        <v>8</v>
      </c>
      <c r="AV19" s="26" t="s">
        <v>9</v>
      </c>
      <c r="AW19" s="25" t="s">
        <v>10</v>
      </c>
      <c r="AX19" s="42" t="s">
        <v>23</v>
      </c>
      <c r="AY19" s="43" t="s">
        <v>8</v>
      </c>
      <c r="AZ19" s="26" t="s">
        <v>9</v>
      </c>
      <c r="BA19" s="25" t="s">
        <v>10</v>
      </c>
      <c r="BB19" s="42" t="s">
        <v>23</v>
      </c>
      <c r="BC19" s="43" t="s">
        <v>8</v>
      </c>
      <c r="BD19" s="26" t="s">
        <v>9</v>
      </c>
      <c r="BE19" s="25" t="s">
        <v>10</v>
      </c>
      <c r="BF19" s="42" t="s">
        <v>23</v>
      </c>
      <c r="BG19" s="43" t="s">
        <v>8</v>
      </c>
      <c r="BH19" s="26" t="s">
        <v>9</v>
      </c>
      <c r="BI19" s="25" t="s">
        <v>10</v>
      </c>
      <c r="BJ19" s="42" t="s">
        <v>23</v>
      </c>
      <c r="BK19" s="43" t="s">
        <v>8</v>
      </c>
      <c r="BL19" s="26" t="s">
        <v>9</v>
      </c>
    </row>
    <row r="20" spans="2:64" x14ac:dyDescent="0.3">
      <c r="B20" s="62">
        <f>AC20*AA20</f>
        <v>0</v>
      </c>
      <c r="C20" s="47">
        <f>AI20*AG20</f>
        <v>16.099999999999998</v>
      </c>
      <c r="D20" s="47">
        <f>W20*U20</f>
        <v>0</v>
      </c>
      <c r="E20" s="47">
        <f>AK20*AM20</f>
        <v>12.100000000000001</v>
      </c>
      <c r="F20" s="47">
        <f>AO20*AQ20</f>
        <v>6</v>
      </c>
      <c r="G20" s="47">
        <f>AS20*AU20</f>
        <v>0</v>
      </c>
      <c r="H20" s="47">
        <f>AW20*AY20</f>
        <v>0</v>
      </c>
      <c r="I20" s="47">
        <f>BA20*BC20</f>
        <v>0</v>
      </c>
      <c r="J20" s="47">
        <f>BE20*BG20</f>
        <v>0</v>
      </c>
      <c r="K20" s="63">
        <f>BI20*BK20</f>
        <v>0</v>
      </c>
      <c r="L20" s="55">
        <f>SUM(S20:U20,Y20:AA20,AE20:AG20,AK20,AO20,AS20,AW20,BA20,BE20,BI20)/($AE$16*$AE$16*3.15/10000*1000)</f>
        <v>30.058745789272241</v>
      </c>
      <c r="N20" s="32">
        <v>1</v>
      </c>
      <c r="O20" s="27">
        <v>914</v>
      </c>
      <c r="P20" s="87" t="s">
        <v>175</v>
      </c>
      <c r="Q20" s="87" t="s">
        <v>166</v>
      </c>
      <c r="R20" s="69"/>
      <c r="S20" s="40">
        <v>9.9999999999999995E-7</v>
      </c>
      <c r="T20" s="40">
        <v>9.9999999999999995E-7</v>
      </c>
      <c r="U20" s="40">
        <v>9.9999999999999995E-7</v>
      </c>
      <c r="V20" s="40"/>
      <c r="W20" s="40"/>
      <c r="X20" s="24"/>
      <c r="Y20" s="40">
        <v>9.9999999999999995E-7</v>
      </c>
      <c r="Z20" s="40">
        <v>9.9999999999999995E-7</v>
      </c>
      <c r="AA20" s="40">
        <v>9.9999999999999995E-7</v>
      </c>
      <c r="AB20" s="6"/>
      <c r="AC20" s="7"/>
      <c r="AD20" s="36"/>
      <c r="AE20" s="40">
        <v>2</v>
      </c>
      <c r="AF20" s="40">
        <v>4</v>
      </c>
      <c r="AG20" s="40">
        <v>7</v>
      </c>
      <c r="AH20" s="6"/>
      <c r="AI20" s="7">
        <v>2.2999999999999998</v>
      </c>
      <c r="AJ20" s="8">
        <v>9</v>
      </c>
      <c r="AK20" s="40">
        <v>11</v>
      </c>
      <c r="AL20" s="7"/>
      <c r="AM20" s="7">
        <v>1.1000000000000001</v>
      </c>
      <c r="AN20" s="8">
        <v>6</v>
      </c>
      <c r="AO20" s="40">
        <v>6</v>
      </c>
      <c r="AP20" s="27"/>
      <c r="AQ20" s="40">
        <v>1</v>
      </c>
      <c r="AR20" s="24">
        <v>6</v>
      </c>
      <c r="AS20" s="40">
        <v>9.9999999999999995E-7</v>
      </c>
      <c r="AT20" s="27"/>
      <c r="AU20" s="40"/>
      <c r="AV20" s="24"/>
      <c r="AW20" s="40">
        <v>9.9999999999999995E-7</v>
      </c>
      <c r="AX20" s="27"/>
      <c r="AY20" s="40"/>
      <c r="AZ20" s="24"/>
      <c r="BA20" s="40">
        <v>9.9999999999999995E-7</v>
      </c>
      <c r="BB20" s="27"/>
      <c r="BC20" s="40"/>
      <c r="BD20" s="24"/>
      <c r="BE20" s="40">
        <v>9.9999999999999995E-7</v>
      </c>
      <c r="BF20" s="27"/>
      <c r="BG20" s="40"/>
      <c r="BH20" s="24"/>
      <c r="BI20" s="40">
        <v>9.9999999999999995E-7</v>
      </c>
      <c r="BJ20" s="27"/>
      <c r="BK20" s="40"/>
      <c r="BL20" s="24"/>
    </row>
    <row r="21" spans="2:64" x14ac:dyDescent="0.3">
      <c r="B21" s="62">
        <f t="shared" ref="B21:B51" si="0">AC21*AA21</f>
        <v>0</v>
      </c>
      <c r="C21" s="47">
        <f t="shared" ref="C21:C51" si="1">AI21*AG21</f>
        <v>0</v>
      </c>
      <c r="D21" s="47">
        <f t="shared" ref="D21:D51" si="2">W21*U21</f>
        <v>0</v>
      </c>
      <c r="E21" s="47">
        <f t="shared" ref="E21:E51" si="3">AK21*AM21</f>
        <v>66.5</v>
      </c>
      <c r="F21" s="47">
        <f t="shared" ref="F21:F51" si="4">AO21*AQ21</f>
        <v>8.4</v>
      </c>
      <c r="G21" s="47">
        <f t="shared" ref="G21:G51" si="5">AS21*AU21</f>
        <v>0</v>
      </c>
      <c r="H21" s="47">
        <f t="shared" ref="H21:H51" si="6">AW21*AY21</f>
        <v>9</v>
      </c>
      <c r="I21" s="47">
        <f t="shared" ref="I21:I51" si="7">BA21*BC21</f>
        <v>0</v>
      </c>
      <c r="J21" s="47">
        <f t="shared" ref="J21:J51" si="8">BE21*BG21</f>
        <v>0</v>
      </c>
      <c r="K21" s="63">
        <f t="shared" ref="K21:K51" si="9">BI21*BK21</f>
        <v>0</v>
      </c>
      <c r="L21" s="55">
        <f t="shared" ref="L21:L51" si="10">SUM(S21:U21,Y21:AA21,AE21:AG21,AK21,AO21,AS21,AW21,BA21,BE21,BI21)/($AE$16*$AE$16*3.15/10000*1000)</f>
        <v>39.076355198057001</v>
      </c>
      <c r="N21" s="33">
        <v>2</v>
      </c>
      <c r="O21" s="28">
        <v>915</v>
      </c>
      <c r="P21" s="88" t="s">
        <v>175</v>
      </c>
      <c r="Q21" s="88" t="s">
        <v>182</v>
      </c>
      <c r="R21" s="37"/>
      <c r="S21" s="20">
        <v>0</v>
      </c>
      <c r="T21" s="3">
        <v>0</v>
      </c>
      <c r="U21" s="3">
        <v>0</v>
      </c>
      <c r="V21" s="3"/>
      <c r="W21" s="3"/>
      <c r="X21" s="10"/>
      <c r="Y21" s="17"/>
      <c r="Z21" s="2"/>
      <c r="AA21" s="2"/>
      <c r="AB21" s="2"/>
      <c r="AC21" s="3"/>
      <c r="AD21" s="37"/>
      <c r="AE21" s="9">
        <v>0</v>
      </c>
      <c r="AF21" s="2">
        <v>1</v>
      </c>
      <c r="AG21" s="2">
        <v>0</v>
      </c>
      <c r="AH21" s="2"/>
      <c r="AI21" s="3"/>
      <c r="AJ21" s="10">
        <v>9</v>
      </c>
      <c r="AK21" s="28">
        <v>19</v>
      </c>
      <c r="AL21" s="3"/>
      <c r="AM21" s="3">
        <v>3.5</v>
      </c>
      <c r="AN21" s="10">
        <v>8</v>
      </c>
      <c r="AO21" s="28">
        <v>4</v>
      </c>
      <c r="AP21" s="28"/>
      <c r="AQ21" s="3">
        <v>2.1</v>
      </c>
      <c r="AR21" s="10">
        <v>8</v>
      </c>
      <c r="AS21" s="20"/>
      <c r="AT21" s="28"/>
      <c r="AU21" s="3"/>
      <c r="AV21" s="10"/>
      <c r="AW21" s="20">
        <v>6</v>
      </c>
      <c r="AX21" s="28"/>
      <c r="AY21" s="3">
        <v>1.5</v>
      </c>
      <c r="AZ21" s="10">
        <v>8</v>
      </c>
      <c r="BA21" s="20"/>
      <c r="BB21" s="28"/>
      <c r="BC21" s="3"/>
      <c r="BD21" s="10"/>
      <c r="BE21" s="23"/>
      <c r="BF21" s="28"/>
      <c r="BG21" s="3"/>
      <c r="BH21" s="10"/>
      <c r="BI21" s="23">
        <v>9</v>
      </c>
      <c r="BJ21" s="28">
        <v>1.2</v>
      </c>
      <c r="BK21" s="3"/>
      <c r="BL21" s="10">
        <v>8</v>
      </c>
    </row>
    <row r="22" spans="2:64" x14ac:dyDescent="0.3">
      <c r="B22" s="62">
        <f t="shared" si="0"/>
        <v>0</v>
      </c>
      <c r="C22" s="47">
        <f t="shared" si="1"/>
        <v>0</v>
      </c>
      <c r="D22" s="47">
        <f t="shared" si="2"/>
        <v>0</v>
      </c>
      <c r="E22" s="47">
        <f t="shared" si="3"/>
        <v>0</v>
      </c>
      <c r="F22" s="47">
        <f t="shared" si="4"/>
        <v>21</v>
      </c>
      <c r="G22" s="47">
        <f t="shared" si="5"/>
        <v>0</v>
      </c>
      <c r="H22" s="47">
        <f t="shared" si="6"/>
        <v>7.5</v>
      </c>
      <c r="I22" s="47">
        <f t="shared" si="7"/>
        <v>0</v>
      </c>
      <c r="J22" s="47">
        <f t="shared" si="8"/>
        <v>0</v>
      </c>
      <c r="K22" s="63">
        <f t="shared" si="9"/>
        <v>0</v>
      </c>
      <c r="L22" s="55">
        <f t="shared" si="10"/>
        <v>15.029367383868077</v>
      </c>
      <c r="N22" s="33">
        <v>3</v>
      </c>
      <c r="O22" s="28">
        <v>916</v>
      </c>
      <c r="P22" s="88" t="s">
        <v>175</v>
      </c>
      <c r="Q22" s="88" t="s">
        <v>167</v>
      </c>
      <c r="R22" s="37"/>
      <c r="S22" s="20">
        <v>0</v>
      </c>
      <c r="T22" s="3">
        <v>0</v>
      </c>
      <c r="U22" s="3">
        <v>0</v>
      </c>
      <c r="V22" s="3"/>
      <c r="W22" s="3"/>
      <c r="X22" s="10"/>
      <c r="Y22" s="17"/>
      <c r="Z22" s="2"/>
      <c r="AA22" s="2"/>
      <c r="AB22" s="2"/>
      <c r="AC22" s="3"/>
      <c r="AD22" s="37"/>
      <c r="AE22" s="9">
        <v>0</v>
      </c>
      <c r="AF22" s="2">
        <v>1</v>
      </c>
      <c r="AG22" s="2">
        <v>0</v>
      </c>
      <c r="AH22" s="2"/>
      <c r="AI22" s="3"/>
      <c r="AJ22" s="10">
        <v>9</v>
      </c>
      <c r="AK22" s="28">
        <v>0</v>
      </c>
      <c r="AL22" s="3"/>
      <c r="AM22" s="3"/>
      <c r="AN22" s="10"/>
      <c r="AO22" s="28">
        <v>6</v>
      </c>
      <c r="AP22" s="28"/>
      <c r="AQ22" s="3">
        <v>3.5</v>
      </c>
      <c r="AR22" s="10">
        <v>8</v>
      </c>
      <c r="AS22" s="20"/>
      <c r="AT22" s="28"/>
      <c r="AU22" s="3"/>
      <c r="AV22" s="10"/>
      <c r="AW22" s="20">
        <v>5</v>
      </c>
      <c r="AX22" s="28"/>
      <c r="AY22" s="3">
        <v>1.5</v>
      </c>
      <c r="AZ22" s="10">
        <v>8</v>
      </c>
      <c r="BA22" s="20"/>
      <c r="BB22" s="28"/>
      <c r="BC22" s="3"/>
      <c r="BD22" s="10"/>
      <c r="BE22" s="23"/>
      <c r="BF22" s="28"/>
      <c r="BG22" s="3"/>
      <c r="BH22" s="10"/>
      <c r="BI22" s="23">
        <v>3</v>
      </c>
      <c r="BJ22" s="28">
        <v>1</v>
      </c>
      <c r="BK22" s="3"/>
      <c r="BL22" s="10">
        <v>8</v>
      </c>
    </row>
    <row r="23" spans="2:64" x14ac:dyDescent="0.3">
      <c r="B23" s="62">
        <f t="shared" si="0"/>
        <v>0</v>
      </c>
      <c r="C23" s="47">
        <f t="shared" si="1"/>
        <v>21</v>
      </c>
      <c r="D23" s="47">
        <f t="shared" si="2"/>
        <v>0</v>
      </c>
      <c r="E23" s="47">
        <f t="shared" si="3"/>
        <v>6.8999999999999995</v>
      </c>
      <c r="F23" s="47">
        <f t="shared" si="4"/>
        <v>37</v>
      </c>
      <c r="G23" s="47">
        <f t="shared" si="5"/>
        <v>0</v>
      </c>
      <c r="H23" s="47">
        <f t="shared" si="6"/>
        <v>0</v>
      </c>
      <c r="I23" s="47">
        <f t="shared" si="7"/>
        <v>0</v>
      </c>
      <c r="J23" s="47">
        <f t="shared" si="8"/>
        <v>0</v>
      </c>
      <c r="K23" s="63">
        <f t="shared" si="9"/>
        <v>0</v>
      </c>
      <c r="L23" s="55">
        <f t="shared" si="10"/>
        <v>24.046987814188924</v>
      </c>
      <c r="N23" s="33">
        <v>4</v>
      </c>
      <c r="O23" s="27">
        <v>917</v>
      </c>
      <c r="P23" s="87" t="s">
        <v>175</v>
      </c>
      <c r="Q23" s="87" t="s">
        <v>166</v>
      </c>
      <c r="R23" s="37"/>
      <c r="S23" s="20">
        <v>0</v>
      </c>
      <c r="T23" s="3">
        <v>0</v>
      </c>
      <c r="U23" s="3">
        <v>0</v>
      </c>
      <c r="V23" s="3"/>
      <c r="W23" s="3"/>
      <c r="X23" s="10"/>
      <c r="Y23" s="17"/>
      <c r="Z23" s="2"/>
      <c r="AA23" s="2"/>
      <c r="AB23" s="2"/>
      <c r="AC23" s="3"/>
      <c r="AD23" s="37"/>
      <c r="AE23" s="9">
        <v>0</v>
      </c>
      <c r="AF23" s="2">
        <v>5</v>
      </c>
      <c r="AG23" s="2">
        <v>6</v>
      </c>
      <c r="AH23" s="2"/>
      <c r="AI23" s="3">
        <v>3.5</v>
      </c>
      <c r="AJ23" s="10">
        <v>10</v>
      </c>
      <c r="AK23" s="28">
        <v>3</v>
      </c>
      <c r="AL23" s="3"/>
      <c r="AM23" s="3">
        <v>2.2999999999999998</v>
      </c>
      <c r="AN23" s="10">
        <v>8</v>
      </c>
      <c r="AO23" s="28">
        <v>10</v>
      </c>
      <c r="AP23" s="28"/>
      <c r="AQ23" s="3">
        <v>3.7</v>
      </c>
      <c r="AR23" s="10">
        <v>9</v>
      </c>
      <c r="AS23" s="20"/>
      <c r="AT23" s="28"/>
      <c r="AU23" s="3"/>
      <c r="AV23" s="10"/>
      <c r="AW23" s="20">
        <v>0</v>
      </c>
      <c r="AX23" s="28"/>
      <c r="AY23" s="3"/>
      <c r="AZ23" s="10"/>
      <c r="BA23" s="20"/>
      <c r="BB23" s="28"/>
      <c r="BC23" s="3"/>
      <c r="BD23" s="10"/>
      <c r="BE23" s="23"/>
      <c r="BF23" s="28"/>
      <c r="BG23" s="3"/>
      <c r="BH23" s="10"/>
      <c r="BI23" s="23">
        <v>0</v>
      </c>
      <c r="BJ23" s="28"/>
      <c r="BK23" s="3"/>
      <c r="BL23" s="10"/>
    </row>
    <row r="24" spans="2:64" x14ac:dyDescent="0.3">
      <c r="B24" s="62">
        <f t="shared" si="0"/>
        <v>0</v>
      </c>
      <c r="C24" s="47">
        <f t="shared" si="1"/>
        <v>0</v>
      </c>
      <c r="D24" s="47">
        <f t="shared" si="2"/>
        <v>0</v>
      </c>
      <c r="E24" s="47">
        <f t="shared" si="3"/>
        <v>54</v>
      </c>
      <c r="F24" s="47">
        <f t="shared" si="4"/>
        <v>1.5</v>
      </c>
      <c r="G24" s="47">
        <f t="shared" si="5"/>
        <v>0</v>
      </c>
      <c r="H24" s="47">
        <f t="shared" si="6"/>
        <v>14.399999999999999</v>
      </c>
      <c r="I24" s="47">
        <f t="shared" si="7"/>
        <v>0</v>
      </c>
      <c r="J24" s="47">
        <f t="shared" si="8"/>
        <v>0</v>
      </c>
      <c r="K24" s="63">
        <f t="shared" si="9"/>
        <v>0</v>
      </c>
      <c r="L24" s="55">
        <f t="shared" si="10"/>
        <v>27.052861290962539</v>
      </c>
      <c r="N24" s="33">
        <v>5</v>
      </c>
      <c r="O24" s="28">
        <v>918</v>
      </c>
      <c r="P24" s="88" t="s">
        <v>175</v>
      </c>
      <c r="Q24" s="88" t="s">
        <v>165</v>
      </c>
      <c r="R24" s="37"/>
      <c r="S24" s="20">
        <v>0</v>
      </c>
      <c r="T24" s="3">
        <v>0</v>
      </c>
      <c r="U24" s="3">
        <v>0</v>
      </c>
      <c r="V24" s="3"/>
      <c r="W24" s="3"/>
      <c r="X24" s="10"/>
      <c r="Y24" s="17"/>
      <c r="Z24" s="2"/>
      <c r="AA24" s="2"/>
      <c r="AB24" s="2"/>
      <c r="AC24" s="3"/>
      <c r="AD24" s="37"/>
      <c r="AE24" s="9">
        <v>0</v>
      </c>
      <c r="AF24" s="2">
        <v>1</v>
      </c>
      <c r="AG24" s="2">
        <v>0</v>
      </c>
      <c r="AH24" s="2"/>
      <c r="AI24" s="3"/>
      <c r="AJ24" s="10">
        <v>7</v>
      </c>
      <c r="AK24" s="28">
        <v>12</v>
      </c>
      <c r="AL24" s="3"/>
      <c r="AM24" s="3">
        <v>4.5</v>
      </c>
      <c r="AN24" s="10">
        <v>8</v>
      </c>
      <c r="AO24" s="28">
        <v>1</v>
      </c>
      <c r="AP24" s="28"/>
      <c r="AQ24" s="3">
        <v>1.5</v>
      </c>
      <c r="AR24" s="10">
        <v>7</v>
      </c>
      <c r="AS24" s="20"/>
      <c r="AT24" s="28"/>
      <c r="AU24" s="3"/>
      <c r="AV24" s="10"/>
      <c r="AW24" s="20">
        <v>12</v>
      </c>
      <c r="AX24" s="28"/>
      <c r="AY24" s="3">
        <v>1.2</v>
      </c>
      <c r="AZ24" s="10">
        <v>7</v>
      </c>
      <c r="BA24" s="20"/>
      <c r="BB24" s="28"/>
      <c r="BC24" s="3"/>
      <c r="BD24" s="10"/>
      <c r="BE24" s="23"/>
      <c r="BF24" s="28"/>
      <c r="BG24" s="3"/>
      <c r="BH24" s="10"/>
      <c r="BI24" s="20">
        <v>1</v>
      </c>
      <c r="BJ24" s="28">
        <v>2</v>
      </c>
      <c r="BK24" s="3"/>
      <c r="BL24" s="10">
        <v>7</v>
      </c>
    </row>
    <row r="25" spans="2:64" x14ac:dyDescent="0.3">
      <c r="B25" s="62">
        <f t="shared" si="0"/>
        <v>0</v>
      </c>
      <c r="C25" s="47">
        <f t="shared" si="1"/>
        <v>6</v>
      </c>
      <c r="D25" s="47">
        <f t="shared" si="2"/>
        <v>0</v>
      </c>
      <c r="E25" s="47">
        <f t="shared" si="3"/>
        <v>54.400000000000006</v>
      </c>
      <c r="F25" s="47">
        <f t="shared" si="4"/>
        <v>6</v>
      </c>
      <c r="G25" s="47">
        <f t="shared" si="5"/>
        <v>0</v>
      </c>
      <c r="H25" s="47">
        <f t="shared" si="6"/>
        <v>4.8</v>
      </c>
      <c r="I25" s="47">
        <f t="shared" si="7"/>
        <v>0</v>
      </c>
      <c r="J25" s="47">
        <f t="shared" si="8"/>
        <v>0</v>
      </c>
      <c r="K25" s="63">
        <f t="shared" si="9"/>
        <v>0</v>
      </c>
      <c r="L25" s="55">
        <f t="shared" si="10"/>
        <v>54.105722581925079</v>
      </c>
      <c r="N25" s="33">
        <v>6</v>
      </c>
      <c r="O25" s="28">
        <v>919</v>
      </c>
      <c r="P25" s="88" t="s">
        <v>175</v>
      </c>
      <c r="Q25" s="88" t="s">
        <v>166</v>
      </c>
      <c r="R25" s="37"/>
      <c r="S25" s="20">
        <v>0</v>
      </c>
      <c r="T25" s="3">
        <v>0</v>
      </c>
      <c r="U25" s="3">
        <v>0</v>
      </c>
      <c r="V25" s="3"/>
      <c r="W25" s="3"/>
      <c r="X25" s="10"/>
      <c r="Y25" s="17"/>
      <c r="Z25" s="2"/>
      <c r="AA25" s="2"/>
      <c r="AB25" s="2"/>
      <c r="AC25" s="3"/>
      <c r="AD25" s="37"/>
      <c r="AE25" s="9">
        <v>1</v>
      </c>
      <c r="AF25" s="2">
        <v>1</v>
      </c>
      <c r="AG25" s="2">
        <v>2</v>
      </c>
      <c r="AH25" s="2"/>
      <c r="AI25" s="3">
        <v>3</v>
      </c>
      <c r="AJ25" s="10">
        <v>9</v>
      </c>
      <c r="AK25" s="28">
        <v>34</v>
      </c>
      <c r="AL25" s="3"/>
      <c r="AM25" s="3">
        <v>1.6</v>
      </c>
      <c r="AN25" s="10">
        <v>6</v>
      </c>
      <c r="AO25" s="28">
        <v>2</v>
      </c>
      <c r="AP25" s="28"/>
      <c r="AQ25" s="3">
        <v>3</v>
      </c>
      <c r="AR25" s="10">
        <v>8</v>
      </c>
      <c r="AS25" s="20"/>
      <c r="AT25" s="28"/>
      <c r="AU25" s="3"/>
      <c r="AV25" s="10"/>
      <c r="AW25" s="20">
        <v>4</v>
      </c>
      <c r="AX25" s="28"/>
      <c r="AY25" s="3">
        <v>1.2</v>
      </c>
      <c r="AZ25" s="10">
        <v>7</v>
      </c>
      <c r="BA25" s="20"/>
      <c r="BB25" s="28"/>
      <c r="BC25" s="3"/>
      <c r="BD25" s="10"/>
      <c r="BE25" s="23"/>
      <c r="BF25" s="28"/>
      <c r="BG25" s="3"/>
      <c r="BH25" s="10"/>
      <c r="BI25" s="20">
        <v>10</v>
      </c>
      <c r="BJ25" s="28">
        <v>1.7</v>
      </c>
      <c r="BK25" s="3"/>
      <c r="BL25" s="10">
        <v>7</v>
      </c>
    </row>
    <row r="26" spans="2:64" x14ac:dyDescent="0.3">
      <c r="B26" s="62">
        <f t="shared" si="0"/>
        <v>0</v>
      </c>
      <c r="C26" s="47">
        <f t="shared" si="1"/>
        <v>0</v>
      </c>
      <c r="D26" s="47">
        <f t="shared" si="2"/>
        <v>0</v>
      </c>
      <c r="E26" s="47">
        <f t="shared" si="3"/>
        <v>30</v>
      </c>
      <c r="F26" s="47">
        <f t="shared" si="4"/>
        <v>0</v>
      </c>
      <c r="G26" s="47">
        <f t="shared" si="5"/>
        <v>0</v>
      </c>
      <c r="H26" s="47">
        <f t="shared" si="6"/>
        <v>1.7</v>
      </c>
      <c r="I26" s="47">
        <f t="shared" si="7"/>
        <v>0</v>
      </c>
      <c r="J26" s="47">
        <f t="shared" si="8"/>
        <v>0</v>
      </c>
      <c r="K26" s="63">
        <f t="shared" si="9"/>
        <v>0</v>
      </c>
      <c r="L26" s="55">
        <f t="shared" si="10"/>
        <v>16.031325209459283</v>
      </c>
      <c r="N26" s="33">
        <v>7</v>
      </c>
      <c r="O26" s="27">
        <v>920</v>
      </c>
      <c r="P26" s="87" t="s">
        <v>175</v>
      </c>
      <c r="Q26" s="87" t="s">
        <v>165</v>
      </c>
      <c r="R26" s="37"/>
      <c r="S26" s="20">
        <v>0</v>
      </c>
      <c r="T26" s="3">
        <v>0</v>
      </c>
      <c r="U26" s="3">
        <v>0</v>
      </c>
      <c r="V26" s="3"/>
      <c r="W26" s="3"/>
      <c r="X26" s="10"/>
      <c r="Y26" s="17"/>
      <c r="Z26" s="2"/>
      <c r="AA26" s="2"/>
      <c r="AB26" s="2"/>
      <c r="AC26" s="3"/>
      <c r="AD26" s="37"/>
      <c r="AE26" s="9">
        <v>0</v>
      </c>
      <c r="AF26" s="2">
        <v>1</v>
      </c>
      <c r="AG26" s="2">
        <v>0</v>
      </c>
      <c r="AH26" s="2"/>
      <c r="AI26" s="3"/>
      <c r="AJ26" s="10">
        <v>8</v>
      </c>
      <c r="AK26" s="28">
        <v>12</v>
      </c>
      <c r="AL26" s="3"/>
      <c r="AM26" s="3">
        <v>2.5</v>
      </c>
      <c r="AN26" s="10">
        <v>7</v>
      </c>
      <c r="AO26" s="28">
        <v>0</v>
      </c>
      <c r="AP26" s="28"/>
      <c r="AQ26" s="3"/>
      <c r="AR26" s="10"/>
      <c r="AS26" s="20"/>
      <c r="AT26" s="28"/>
      <c r="AU26" s="3"/>
      <c r="AV26" s="10"/>
      <c r="AW26" s="20">
        <v>1</v>
      </c>
      <c r="AX26" s="28"/>
      <c r="AY26" s="3">
        <v>1.7</v>
      </c>
      <c r="AZ26" s="10">
        <v>8</v>
      </c>
      <c r="BA26" s="20"/>
      <c r="BB26" s="28"/>
      <c r="BC26" s="3"/>
      <c r="BD26" s="10"/>
      <c r="BE26" s="23"/>
      <c r="BF26" s="28"/>
      <c r="BG26" s="3"/>
      <c r="BH26" s="10"/>
      <c r="BI26" s="20">
        <v>2</v>
      </c>
      <c r="BJ26" s="28">
        <v>1.7</v>
      </c>
      <c r="BK26" s="3"/>
      <c r="BL26" s="10">
        <v>8</v>
      </c>
    </row>
    <row r="27" spans="2:64" x14ac:dyDescent="0.3">
      <c r="B27" s="62">
        <f t="shared" si="0"/>
        <v>0</v>
      </c>
      <c r="C27" s="47">
        <f t="shared" si="1"/>
        <v>2.2999999999999998</v>
      </c>
      <c r="D27" s="47">
        <f t="shared" si="2"/>
        <v>0</v>
      </c>
      <c r="E27" s="47">
        <f t="shared" si="3"/>
        <v>3</v>
      </c>
      <c r="F27" s="47">
        <f t="shared" si="4"/>
        <v>0</v>
      </c>
      <c r="G27" s="47">
        <f t="shared" si="5"/>
        <v>0</v>
      </c>
      <c r="H27" s="47">
        <f t="shared" si="6"/>
        <v>10.5</v>
      </c>
      <c r="I27" s="47">
        <f t="shared" si="7"/>
        <v>0</v>
      </c>
      <c r="J27" s="47">
        <f t="shared" si="8"/>
        <v>0</v>
      </c>
      <c r="K27" s="63">
        <f t="shared" si="9"/>
        <v>0</v>
      </c>
      <c r="L27" s="55">
        <f t="shared" si="10"/>
        <v>17.033283035050488</v>
      </c>
      <c r="N27" s="33">
        <v>8</v>
      </c>
      <c r="O27" s="28">
        <v>921</v>
      </c>
      <c r="P27" s="88" t="s">
        <v>175</v>
      </c>
      <c r="Q27" s="88" t="s">
        <v>166</v>
      </c>
      <c r="R27" s="37"/>
      <c r="S27" s="20">
        <v>0</v>
      </c>
      <c r="T27" s="3">
        <v>0</v>
      </c>
      <c r="U27" s="3">
        <v>0</v>
      </c>
      <c r="V27" s="3"/>
      <c r="W27" s="3"/>
      <c r="X27" s="10"/>
      <c r="Y27" s="17"/>
      <c r="Z27" s="2"/>
      <c r="AA27" s="2"/>
      <c r="AB27" s="2"/>
      <c r="AC27" s="3"/>
      <c r="AD27" s="37"/>
      <c r="AE27" s="9">
        <v>2</v>
      </c>
      <c r="AF27" s="2">
        <v>2</v>
      </c>
      <c r="AG27" s="2">
        <v>1</v>
      </c>
      <c r="AH27" s="2"/>
      <c r="AI27" s="3">
        <v>2.2999999999999998</v>
      </c>
      <c r="AJ27" s="10">
        <v>9</v>
      </c>
      <c r="AK27" s="28">
        <v>1</v>
      </c>
      <c r="AL27" s="3"/>
      <c r="AM27" s="3">
        <v>3</v>
      </c>
      <c r="AN27" s="10">
        <v>9</v>
      </c>
      <c r="AO27" s="28">
        <v>0</v>
      </c>
      <c r="AP27" s="28"/>
      <c r="AQ27" s="3"/>
      <c r="AR27" s="10"/>
      <c r="AS27" s="20"/>
      <c r="AT27" s="28"/>
      <c r="AU27" s="3"/>
      <c r="AV27" s="10"/>
      <c r="AW27" s="20">
        <v>7</v>
      </c>
      <c r="AX27" s="28"/>
      <c r="AY27" s="3">
        <v>1.5</v>
      </c>
      <c r="AZ27" s="10">
        <v>8</v>
      </c>
      <c r="BA27" s="20"/>
      <c r="BB27" s="28"/>
      <c r="BC27" s="3"/>
      <c r="BD27" s="10"/>
      <c r="BE27" s="23"/>
      <c r="BF27" s="28"/>
      <c r="BG27" s="3"/>
      <c r="BH27" s="10"/>
      <c r="BI27" s="20">
        <v>4</v>
      </c>
      <c r="BJ27" s="28">
        <v>1.2</v>
      </c>
      <c r="BK27" s="3"/>
      <c r="BL27" s="10">
        <v>8</v>
      </c>
    </row>
    <row r="28" spans="2:64" x14ac:dyDescent="0.3">
      <c r="B28" s="62">
        <f t="shared" si="0"/>
        <v>0</v>
      </c>
      <c r="C28" s="47">
        <f t="shared" si="1"/>
        <v>0</v>
      </c>
      <c r="D28" s="47">
        <f t="shared" si="2"/>
        <v>0</v>
      </c>
      <c r="E28" s="47">
        <f t="shared" si="3"/>
        <v>8.4</v>
      </c>
      <c r="F28" s="47">
        <f t="shared" si="4"/>
        <v>0</v>
      </c>
      <c r="G28" s="47">
        <f t="shared" si="5"/>
        <v>0</v>
      </c>
      <c r="H28" s="47">
        <f t="shared" si="6"/>
        <v>11</v>
      </c>
      <c r="I28" s="47">
        <f t="shared" si="7"/>
        <v>0</v>
      </c>
      <c r="J28" s="47">
        <f t="shared" si="8"/>
        <v>0</v>
      </c>
      <c r="K28" s="63">
        <f t="shared" si="9"/>
        <v>0</v>
      </c>
      <c r="L28" s="55">
        <f t="shared" si="10"/>
        <v>25.048945639780129</v>
      </c>
      <c r="N28" s="33">
        <v>9</v>
      </c>
      <c r="O28" s="28">
        <v>922</v>
      </c>
      <c r="P28" s="88" t="s">
        <v>175</v>
      </c>
      <c r="Q28" s="88" t="s">
        <v>166</v>
      </c>
      <c r="R28" s="37"/>
      <c r="S28" s="20">
        <v>0</v>
      </c>
      <c r="T28" s="3">
        <v>0</v>
      </c>
      <c r="U28" s="3">
        <v>0</v>
      </c>
      <c r="V28" s="3"/>
      <c r="W28" s="3"/>
      <c r="X28" s="10"/>
      <c r="Y28" s="17"/>
      <c r="Z28" s="2"/>
      <c r="AA28" s="2"/>
      <c r="AB28" s="2"/>
      <c r="AC28" s="3"/>
      <c r="AD28" s="37"/>
      <c r="AE28" s="9">
        <v>2</v>
      </c>
      <c r="AF28" s="2">
        <v>2</v>
      </c>
      <c r="AG28" s="2">
        <v>0</v>
      </c>
      <c r="AH28" s="2"/>
      <c r="AI28" s="3"/>
      <c r="AJ28" s="10">
        <v>8</v>
      </c>
      <c r="AK28" s="28">
        <v>7</v>
      </c>
      <c r="AL28" s="3"/>
      <c r="AM28" s="3">
        <v>1.2</v>
      </c>
      <c r="AN28" s="10">
        <v>7</v>
      </c>
      <c r="AO28" s="28">
        <v>0</v>
      </c>
      <c r="AP28" s="28"/>
      <c r="AQ28" s="3"/>
      <c r="AR28" s="10"/>
      <c r="AS28" s="20"/>
      <c r="AT28" s="28"/>
      <c r="AU28" s="3"/>
      <c r="AV28" s="10"/>
      <c r="AW28" s="20">
        <v>11</v>
      </c>
      <c r="AX28" s="28"/>
      <c r="AY28" s="3">
        <v>1</v>
      </c>
      <c r="AZ28" s="10">
        <v>7</v>
      </c>
      <c r="BA28" s="20"/>
      <c r="BB28" s="28"/>
      <c r="BC28" s="3"/>
      <c r="BD28" s="10"/>
      <c r="BE28" s="23"/>
      <c r="BF28" s="28"/>
      <c r="BG28" s="3"/>
      <c r="BH28" s="10"/>
      <c r="BI28" s="20">
        <v>3</v>
      </c>
      <c r="BJ28" s="28">
        <v>1</v>
      </c>
      <c r="BK28" s="3"/>
      <c r="BL28" s="10">
        <v>7</v>
      </c>
    </row>
    <row r="29" spans="2:64" x14ac:dyDescent="0.3">
      <c r="B29" s="62">
        <f t="shared" si="0"/>
        <v>0</v>
      </c>
      <c r="C29" s="47">
        <f t="shared" si="1"/>
        <v>1.7</v>
      </c>
      <c r="D29" s="47">
        <f t="shared" si="2"/>
        <v>0</v>
      </c>
      <c r="E29" s="47">
        <f t="shared" si="3"/>
        <v>7.7000000000000011</v>
      </c>
      <c r="F29" s="47">
        <f t="shared" si="4"/>
        <v>0</v>
      </c>
      <c r="G29" s="47">
        <f t="shared" si="5"/>
        <v>0</v>
      </c>
      <c r="H29" s="47">
        <f t="shared" si="6"/>
        <v>10</v>
      </c>
      <c r="I29" s="47">
        <f t="shared" si="7"/>
        <v>0</v>
      </c>
      <c r="J29" s="47">
        <f t="shared" si="8"/>
        <v>0</v>
      </c>
      <c r="K29" s="63">
        <f t="shared" si="9"/>
        <v>0</v>
      </c>
      <c r="L29" s="55">
        <f t="shared" si="10"/>
        <v>24.046987814188924</v>
      </c>
      <c r="N29" s="33">
        <v>10</v>
      </c>
      <c r="O29" s="27">
        <v>923</v>
      </c>
      <c r="P29" s="87" t="s">
        <v>175</v>
      </c>
      <c r="Q29" s="87" t="s">
        <v>166</v>
      </c>
      <c r="R29" s="37"/>
      <c r="S29" s="20">
        <v>0</v>
      </c>
      <c r="T29" s="3">
        <v>0</v>
      </c>
      <c r="U29" s="3">
        <v>0</v>
      </c>
      <c r="V29" s="3"/>
      <c r="W29" s="3"/>
      <c r="X29" s="10"/>
      <c r="Y29" s="17"/>
      <c r="Z29" s="2"/>
      <c r="AA29" s="2"/>
      <c r="AB29" s="2"/>
      <c r="AC29" s="3"/>
      <c r="AD29" s="37"/>
      <c r="AE29" s="9">
        <v>1</v>
      </c>
      <c r="AF29" s="2">
        <v>1</v>
      </c>
      <c r="AG29" s="2">
        <v>1</v>
      </c>
      <c r="AH29" s="2"/>
      <c r="AI29" s="3">
        <v>1.7</v>
      </c>
      <c r="AJ29" s="10">
        <v>8</v>
      </c>
      <c r="AK29" s="28">
        <v>7</v>
      </c>
      <c r="AL29" s="3"/>
      <c r="AM29" s="3">
        <v>1.1000000000000001</v>
      </c>
      <c r="AN29" s="10">
        <v>6</v>
      </c>
      <c r="AO29" s="28">
        <v>0</v>
      </c>
      <c r="AP29" s="28"/>
      <c r="AQ29" s="3"/>
      <c r="AR29" s="10"/>
      <c r="AS29" s="20"/>
      <c r="AT29" s="28"/>
      <c r="AU29" s="3"/>
      <c r="AV29" s="10"/>
      <c r="AW29" s="20">
        <v>10</v>
      </c>
      <c r="AX29" s="28"/>
      <c r="AY29" s="3">
        <v>1</v>
      </c>
      <c r="AZ29" s="10">
        <v>7</v>
      </c>
      <c r="BA29" s="20"/>
      <c r="BB29" s="28"/>
      <c r="BC29" s="3"/>
      <c r="BD29" s="10"/>
      <c r="BE29" s="23"/>
      <c r="BF29" s="28"/>
      <c r="BG29" s="3"/>
      <c r="BH29" s="10"/>
      <c r="BI29" s="20">
        <v>4</v>
      </c>
      <c r="BJ29" s="28">
        <v>1.5</v>
      </c>
      <c r="BK29" s="3"/>
      <c r="BL29" s="10">
        <v>7</v>
      </c>
    </row>
    <row r="30" spans="2:64" x14ac:dyDescent="0.3">
      <c r="B30" s="62">
        <f t="shared" si="0"/>
        <v>0</v>
      </c>
      <c r="C30" s="47">
        <f t="shared" si="1"/>
        <v>5.25</v>
      </c>
      <c r="D30" s="47">
        <f t="shared" si="2"/>
        <v>0</v>
      </c>
      <c r="E30" s="47">
        <f t="shared" si="3"/>
        <v>27</v>
      </c>
      <c r="F30" s="47">
        <f t="shared" si="4"/>
        <v>0</v>
      </c>
      <c r="G30" s="47">
        <f t="shared" si="5"/>
        <v>0</v>
      </c>
      <c r="H30" s="47">
        <f t="shared" si="6"/>
        <v>4</v>
      </c>
      <c r="I30" s="47">
        <f t="shared" si="7"/>
        <v>0</v>
      </c>
      <c r="J30" s="47">
        <f t="shared" si="8"/>
        <v>0</v>
      </c>
      <c r="K30" s="63">
        <f t="shared" si="9"/>
        <v>0</v>
      </c>
      <c r="L30" s="55">
        <f t="shared" si="10"/>
        <v>47.592996715582245</v>
      </c>
      <c r="N30" s="33">
        <v>11</v>
      </c>
      <c r="O30" s="28">
        <v>924</v>
      </c>
      <c r="P30" s="88" t="s">
        <v>175</v>
      </c>
      <c r="Q30" s="88" t="s">
        <v>165</v>
      </c>
      <c r="R30" s="37"/>
      <c r="S30" s="20">
        <v>0</v>
      </c>
      <c r="T30" s="3">
        <v>0</v>
      </c>
      <c r="U30" s="3">
        <v>0</v>
      </c>
      <c r="V30" s="3"/>
      <c r="W30" s="3"/>
      <c r="X30" s="10"/>
      <c r="Y30" s="17"/>
      <c r="Z30" s="2"/>
      <c r="AA30" s="2"/>
      <c r="AB30" s="2"/>
      <c r="AC30" s="3"/>
      <c r="AD30" s="37"/>
      <c r="AE30" s="9">
        <v>0</v>
      </c>
      <c r="AF30" s="2">
        <v>1</v>
      </c>
      <c r="AG30" s="2">
        <v>1.5</v>
      </c>
      <c r="AH30" s="2"/>
      <c r="AI30" s="3">
        <v>3.5</v>
      </c>
      <c r="AJ30" s="10">
        <v>10</v>
      </c>
      <c r="AK30" s="28">
        <v>6</v>
      </c>
      <c r="AL30" s="3"/>
      <c r="AM30" s="3">
        <v>4.5</v>
      </c>
      <c r="AN30" s="10">
        <v>9</v>
      </c>
      <c r="AO30" s="28">
        <v>0</v>
      </c>
      <c r="AP30" s="28"/>
      <c r="AQ30" s="3"/>
      <c r="AR30" s="10"/>
      <c r="AS30" s="20"/>
      <c r="AT30" s="28"/>
      <c r="AU30" s="3"/>
      <c r="AV30" s="10"/>
      <c r="AW30" s="20">
        <v>4</v>
      </c>
      <c r="AX30" s="28"/>
      <c r="AY30" s="3">
        <v>1</v>
      </c>
      <c r="AZ30" s="10">
        <v>7</v>
      </c>
      <c r="BA30" s="20"/>
      <c r="BB30" s="28"/>
      <c r="BC30" s="3"/>
      <c r="BD30" s="10"/>
      <c r="BE30" s="23"/>
      <c r="BF30" s="28"/>
      <c r="BG30" s="3"/>
      <c r="BH30" s="10"/>
      <c r="BI30" s="20">
        <v>35</v>
      </c>
      <c r="BJ30" s="28">
        <v>2.2999999999999998</v>
      </c>
      <c r="BK30" s="3"/>
      <c r="BL30" s="10">
        <v>7</v>
      </c>
    </row>
    <row r="31" spans="2:64" x14ac:dyDescent="0.3">
      <c r="B31" s="62">
        <f t="shared" si="0"/>
        <v>0</v>
      </c>
      <c r="C31" s="47">
        <f t="shared" si="1"/>
        <v>0</v>
      </c>
      <c r="D31" s="47">
        <f t="shared" si="2"/>
        <v>0</v>
      </c>
      <c r="E31" s="47">
        <f t="shared" si="3"/>
        <v>0</v>
      </c>
      <c r="F31" s="47">
        <f t="shared" si="4"/>
        <v>22.5</v>
      </c>
      <c r="G31" s="47">
        <f t="shared" si="5"/>
        <v>0</v>
      </c>
      <c r="H31" s="47">
        <f t="shared" si="6"/>
        <v>0</v>
      </c>
      <c r="I31" s="47">
        <f t="shared" si="7"/>
        <v>0</v>
      </c>
      <c r="J31" s="47">
        <f t="shared" si="8"/>
        <v>0</v>
      </c>
      <c r="K31" s="63">
        <f t="shared" si="9"/>
        <v>0</v>
      </c>
      <c r="L31" s="55">
        <f t="shared" si="10"/>
        <v>12.023493907094462</v>
      </c>
      <c r="N31" s="33">
        <v>12</v>
      </c>
      <c r="O31" s="28">
        <v>925</v>
      </c>
      <c r="P31" s="88" t="s">
        <v>175</v>
      </c>
      <c r="Q31" s="88" t="s">
        <v>166</v>
      </c>
      <c r="R31" s="37"/>
      <c r="S31" s="20">
        <v>0</v>
      </c>
      <c r="T31" s="3">
        <v>0</v>
      </c>
      <c r="U31" s="3">
        <v>0</v>
      </c>
      <c r="V31" s="3"/>
      <c r="W31" s="3"/>
      <c r="X31" s="10"/>
      <c r="Y31" s="17"/>
      <c r="Z31" s="2"/>
      <c r="AA31" s="2"/>
      <c r="AB31" s="2"/>
      <c r="AC31" s="3"/>
      <c r="AD31" s="37"/>
      <c r="AE31" s="9">
        <v>0</v>
      </c>
      <c r="AF31" s="2">
        <v>3</v>
      </c>
      <c r="AG31" s="2">
        <v>0</v>
      </c>
      <c r="AH31" s="2"/>
      <c r="AI31" s="3"/>
      <c r="AJ31" s="10">
        <v>8</v>
      </c>
      <c r="AK31" s="28">
        <v>0</v>
      </c>
      <c r="AL31" s="3"/>
      <c r="AM31" s="3"/>
      <c r="AN31" s="10"/>
      <c r="AO31" s="28">
        <v>9</v>
      </c>
      <c r="AP31" s="28"/>
      <c r="AQ31" s="3">
        <v>2.5</v>
      </c>
      <c r="AR31" s="10">
        <v>8</v>
      </c>
      <c r="AS31" s="20"/>
      <c r="AT31" s="28"/>
      <c r="AU31" s="3"/>
      <c r="AV31" s="10"/>
      <c r="AW31" s="20">
        <v>0</v>
      </c>
      <c r="AX31" s="28"/>
      <c r="AY31" s="3"/>
      <c r="AZ31" s="10"/>
      <c r="BA31" s="20"/>
      <c r="BB31" s="28"/>
      <c r="BC31" s="3"/>
      <c r="BD31" s="10"/>
      <c r="BE31" s="23"/>
      <c r="BF31" s="28"/>
      <c r="BG31" s="3"/>
      <c r="BH31" s="10"/>
      <c r="BI31" s="20">
        <v>0</v>
      </c>
      <c r="BJ31" s="28"/>
      <c r="BK31" s="3"/>
      <c r="BL31" s="10"/>
    </row>
    <row r="32" spans="2:64" x14ac:dyDescent="0.3">
      <c r="B32" s="62">
        <f t="shared" si="0"/>
        <v>0</v>
      </c>
      <c r="C32" s="47">
        <f t="shared" si="1"/>
        <v>0</v>
      </c>
      <c r="D32" s="47">
        <f t="shared" si="2"/>
        <v>0</v>
      </c>
      <c r="E32" s="47">
        <f t="shared" si="3"/>
        <v>0</v>
      </c>
      <c r="F32" s="47">
        <f t="shared" si="4"/>
        <v>0</v>
      </c>
      <c r="G32" s="47">
        <f t="shared" si="5"/>
        <v>0</v>
      </c>
      <c r="H32" s="47">
        <f t="shared" si="6"/>
        <v>0</v>
      </c>
      <c r="I32" s="47">
        <f t="shared" si="7"/>
        <v>0</v>
      </c>
      <c r="J32" s="47">
        <f t="shared" si="8"/>
        <v>0</v>
      </c>
      <c r="K32" s="63">
        <f t="shared" si="9"/>
        <v>0</v>
      </c>
      <c r="L32" s="55">
        <f t="shared" si="10"/>
        <v>0</v>
      </c>
      <c r="N32" s="33">
        <v>13</v>
      </c>
      <c r="O32" s="28"/>
      <c r="P32" s="88"/>
      <c r="Q32" s="88"/>
      <c r="R32" s="37"/>
      <c r="S32" s="20"/>
      <c r="T32" s="3"/>
      <c r="U32" s="3"/>
      <c r="V32" s="3"/>
      <c r="W32" s="3"/>
      <c r="X32" s="10"/>
      <c r="Y32" s="17"/>
      <c r="Z32" s="2"/>
      <c r="AA32" s="2"/>
      <c r="AB32" s="2"/>
      <c r="AC32" s="3"/>
      <c r="AD32" s="37"/>
      <c r="AE32" s="9"/>
      <c r="AF32" s="2"/>
      <c r="AG32" s="2"/>
      <c r="AH32" s="2"/>
      <c r="AI32" s="3"/>
      <c r="AJ32" s="10"/>
      <c r="AK32" s="28"/>
      <c r="AL32" s="3"/>
      <c r="AM32" s="3"/>
      <c r="AN32" s="10"/>
      <c r="AO32" s="28"/>
      <c r="AP32" s="28"/>
      <c r="AQ32" s="3"/>
      <c r="AR32" s="10"/>
      <c r="AS32" s="20"/>
      <c r="AT32" s="28"/>
      <c r="AU32" s="3"/>
      <c r="AV32" s="10"/>
      <c r="AW32" s="20"/>
      <c r="AX32" s="28"/>
      <c r="AY32" s="3"/>
      <c r="AZ32" s="10"/>
      <c r="BA32" s="20"/>
      <c r="BB32" s="28"/>
      <c r="BC32" s="3"/>
      <c r="BD32" s="10"/>
      <c r="BE32" s="23"/>
      <c r="BF32" s="28"/>
      <c r="BG32" s="3"/>
      <c r="BH32" s="10"/>
      <c r="BI32" s="20"/>
      <c r="BJ32" s="28"/>
      <c r="BK32" s="3"/>
      <c r="BL32" s="10"/>
    </row>
    <row r="33" spans="2:64" x14ac:dyDescent="0.3">
      <c r="B33" s="62">
        <f t="shared" si="0"/>
        <v>0</v>
      </c>
      <c r="C33" s="47">
        <f t="shared" si="1"/>
        <v>0</v>
      </c>
      <c r="D33" s="47">
        <f t="shared" si="2"/>
        <v>0</v>
      </c>
      <c r="E33" s="47">
        <f t="shared" si="3"/>
        <v>0</v>
      </c>
      <c r="F33" s="47">
        <f t="shared" si="4"/>
        <v>0</v>
      </c>
      <c r="G33" s="47">
        <f t="shared" si="5"/>
        <v>0</v>
      </c>
      <c r="H33" s="47">
        <f t="shared" si="6"/>
        <v>0</v>
      </c>
      <c r="I33" s="47">
        <f t="shared" si="7"/>
        <v>0</v>
      </c>
      <c r="J33" s="47">
        <f t="shared" si="8"/>
        <v>0</v>
      </c>
      <c r="K33" s="63">
        <f t="shared" si="9"/>
        <v>0</v>
      </c>
      <c r="L33" s="55">
        <f t="shared" si="10"/>
        <v>0</v>
      </c>
      <c r="N33" s="33">
        <v>14</v>
      </c>
      <c r="O33" s="28"/>
      <c r="P33" s="88"/>
      <c r="Q33" s="88"/>
      <c r="R33" s="37"/>
      <c r="S33" s="20"/>
      <c r="T33" s="3"/>
      <c r="U33" s="3"/>
      <c r="V33" s="3"/>
      <c r="W33" s="3"/>
      <c r="X33" s="10"/>
      <c r="Y33" s="17"/>
      <c r="Z33" s="2"/>
      <c r="AA33" s="2"/>
      <c r="AB33" s="2"/>
      <c r="AC33" s="3"/>
      <c r="AD33" s="37"/>
      <c r="AE33" s="9"/>
      <c r="AF33" s="2"/>
      <c r="AG33" s="2"/>
      <c r="AH33" s="2"/>
      <c r="AI33" s="3"/>
      <c r="AJ33" s="10"/>
      <c r="AK33" s="28"/>
      <c r="AL33" s="3"/>
      <c r="AM33" s="3"/>
      <c r="AN33" s="10"/>
      <c r="AO33" s="28"/>
      <c r="AP33" s="28"/>
      <c r="AQ33" s="3"/>
      <c r="AR33" s="10"/>
      <c r="AS33" s="20"/>
      <c r="AT33" s="28"/>
      <c r="AU33" s="3"/>
      <c r="AV33" s="10"/>
      <c r="AW33" s="20"/>
      <c r="AX33" s="28"/>
      <c r="AY33" s="3"/>
      <c r="AZ33" s="10"/>
      <c r="BA33" s="20"/>
      <c r="BB33" s="28"/>
      <c r="BC33" s="3"/>
      <c r="BD33" s="10"/>
      <c r="BE33" s="23"/>
      <c r="BF33" s="28"/>
      <c r="BG33" s="3"/>
      <c r="BH33" s="10"/>
      <c r="BI33" s="20"/>
      <c r="BJ33" s="28"/>
      <c r="BK33" s="3"/>
      <c r="BL33" s="10"/>
    </row>
    <row r="34" spans="2:64" x14ac:dyDescent="0.3">
      <c r="B34" s="62">
        <f t="shared" si="0"/>
        <v>0</v>
      </c>
      <c r="C34" s="47">
        <f t="shared" si="1"/>
        <v>0</v>
      </c>
      <c r="D34" s="47">
        <f t="shared" si="2"/>
        <v>0</v>
      </c>
      <c r="E34" s="47">
        <f t="shared" si="3"/>
        <v>0</v>
      </c>
      <c r="F34" s="47">
        <f t="shared" si="4"/>
        <v>0</v>
      </c>
      <c r="G34" s="47">
        <f t="shared" si="5"/>
        <v>0</v>
      </c>
      <c r="H34" s="47">
        <f t="shared" si="6"/>
        <v>0</v>
      </c>
      <c r="I34" s="47">
        <f t="shared" si="7"/>
        <v>0</v>
      </c>
      <c r="J34" s="47">
        <f t="shared" si="8"/>
        <v>0</v>
      </c>
      <c r="K34" s="63">
        <f t="shared" si="9"/>
        <v>0</v>
      </c>
      <c r="L34" s="55">
        <f t="shared" si="10"/>
        <v>0</v>
      </c>
      <c r="N34" s="33">
        <v>15</v>
      </c>
      <c r="O34" s="28"/>
      <c r="P34" s="88"/>
      <c r="Q34" s="88"/>
      <c r="R34" s="37"/>
      <c r="S34" s="20"/>
      <c r="T34" s="3"/>
      <c r="U34" s="3"/>
      <c r="V34" s="3"/>
      <c r="W34" s="3"/>
      <c r="X34" s="10"/>
      <c r="Y34" s="17"/>
      <c r="Z34" s="2"/>
      <c r="AA34" s="2"/>
      <c r="AB34" s="2"/>
      <c r="AC34" s="3"/>
      <c r="AD34" s="37"/>
      <c r="AE34" s="9"/>
      <c r="AF34" s="2"/>
      <c r="AG34" s="2"/>
      <c r="AH34" s="2"/>
      <c r="AI34" s="3"/>
      <c r="AJ34" s="10"/>
      <c r="AK34" s="28"/>
      <c r="AL34" s="3"/>
      <c r="AM34" s="3"/>
      <c r="AN34" s="10"/>
      <c r="AO34" s="28"/>
      <c r="AP34" s="28"/>
      <c r="AQ34" s="3"/>
      <c r="AR34" s="10"/>
      <c r="AS34" s="20"/>
      <c r="AT34" s="28"/>
      <c r="AU34" s="3"/>
      <c r="AV34" s="10"/>
      <c r="AW34" s="20"/>
      <c r="AX34" s="28"/>
      <c r="AY34" s="3"/>
      <c r="AZ34" s="10"/>
      <c r="BA34" s="20"/>
      <c r="BB34" s="28"/>
      <c r="BC34" s="3"/>
      <c r="BD34" s="10"/>
      <c r="BE34" s="23"/>
      <c r="BF34" s="28"/>
      <c r="BG34" s="3"/>
      <c r="BH34" s="10"/>
      <c r="BI34" s="20"/>
      <c r="BJ34" s="28"/>
      <c r="BK34" s="3"/>
      <c r="BL34" s="10"/>
    </row>
    <row r="35" spans="2:64" x14ac:dyDescent="0.3">
      <c r="B35" s="62">
        <f t="shared" si="0"/>
        <v>0</v>
      </c>
      <c r="C35" s="47">
        <f t="shared" si="1"/>
        <v>0</v>
      </c>
      <c r="D35" s="47">
        <f t="shared" si="2"/>
        <v>0</v>
      </c>
      <c r="E35" s="47">
        <f t="shared" si="3"/>
        <v>0</v>
      </c>
      <c r="F35" s="47">
        <f t="shared" si="4"/>
        <v>0</v>
      </c>
      <c r="G35" s="47">
        <f t="shared" si="5"/>
        <v>0</v>
      </c>
      <c r="H35" s="47">
        <f t="shared" si="6"/>
        <v>0</v>
      </c>
      <c r="I35" s="47">
        <f t="shared" si="7"/>
        <v>0</v>
      </c>
      <c r="J35" s="47">
        <f t="shared" si="8"/>
        <v>0</v>
      </c>
      <c r="K35" s="63">
        <f t="shared" si="9"/>
        <v>0</v>
      </c>
      <c r="L35" s="55">
        <f t="shared" si="10"/>
        <v>0</v>
      </c>
      <c r="N35" s="33">
        <v>16</v>
      </c>
      <c r="O35" s="28"/>
      <c r="P35" s="88"/>
      <c r="Q35" s="88"/>
      <c r="R35" s="37"/>
      <c r="S35" s="20"/>
      <c r="T35" s="3"/>
      <c r="U35" s="3"/>
      <c r="V35" s="3"/>
      <c r="W35" s="3"/>
      <c r="X35" s="10"/>
      <c r="Y35" s="17"/>
      <c r="Z35" s="2"/>
      <c r="AA35" s="2"/>
      <c r="AB35" s="2"/>
      <c r="AC35" s="3"/>
      <c r="AD35" s="37"/>
      <c r="AE35" s="9"/>
      <c r="AF35" s="2"/>
      <c r="AG35" s="2"/>
      <c r="AH35" s="2"/>
      <c r="AI35" s="3"/>
      <c r="AJ35" s="10"/>
      <c r="AK35" s="28"/>
      <c r="AL35" s="3"/>
      <c r="AM35" s="3"/>
      <c r="AN35" s="10"/>
      <c r="AO35" s="28"/>
      <c r="AP35" s="28"/>
      <c r="AQ35" s="3"/>
      <c r="AR35" s="10"/>
      <c r="AS35" s="20"/>
      <c r="AT35" s="28"/>
      <c r="AU35" s="3"/>
      <c r="AV35" s="10"/>
      <c r="AW35" s="20"/>
      <c r="AX35" s="28"/>
      <c r="AY35" s="3"/>
      <c r="AZ35" s="10"/>
      <c r="BA35" s="20"/>
      <c r="BB35" s="28"/>
      <c r="BC35" s="3"/>
      <c r="BD35" s="10"/>
      <c r="BE35" s="23"/>
      <c r="BF35" s="28"/>
      <c r="BG35" s="3"/>
      <c r="BH35" s="10"/>
      <c r="BI35" s="20"/>
      <c r="BJ35" s="28"/>
      <c r="BK35" s="3"/>
      <c r="BL35" s="10"/>
    </row>
    <row r="36" spans="2:64" x14ac:dyDescent="0.3">
      <c r="B36" s="62">
        <f t="shared" si="0"/>
        <v>0</v>
      </c>
      <c r="C36" s="47">
        <f t="shared" si="1"/>
        <v>0</v>
      </c>
      <c r="D36" s="47">
        <f t="shared" si="2"/>
        <v>0</v>
      </c>
      <c r="E36" s="47">
        <f t="shared" si="3"/>
        <v>0</v>
      </c>
      <c r="F36" s="47">
        <f t="shared" si="4"/>
        <v>0</v>
      </c>
      <c r="G36" s="47">
        <f t="shared" si="5"/>
        <v>0</v>
      </c>
      <c r="H36" s="47">
        <f t="shared" si="6"/>
        <v>0</v>
      </c>
      <c r="I36" s="47">
        <f t="shared" si="7"/>
        <v>0</v>
      </c>
      <c r="J36" s="47">
        <f t="shared" si="8"/>
        <v>0</v>
      </c>
      <c r="K36" s="63">
        <f t="shared" si="9"/>
        <v>0</v>
      </c>
      <c r="L36" s="55">
        <f t="shared" si="10"/>
        <v>0</v>
      </c>
      <c r="N36" s="33">
        <v>17</v>
      </c>
      <c r="O36" s="28"/>
      <c r="P36" s="88"/>
      <c r="Q36" s="88"/>
      <c r="R36" s="37"/>
      <c r="S36" s="20"/>
      <c r="T36" s="3"/>
      <c r="U36" s="3"/>
      <c r="V36" s="3"/>
      <c r="W36" s="3"/>
      <c r="X36" s="10"/>
      <c r="Y36" s="17"/>
      <c r="Z36" s="2"/>
      <c r="AA36" s="2"/>
      <c r="AB36" s="2"/>
      <c r="AC36" s="3"/>
      <c r="AD36" s="37"/>
      <c r="AE36" s="9"/>
      <c r="AF36" s="2"/>
      <c r="AG36" s="2"/>
      <c r="AH36" s="2"/>
      <c r="AI36" s="3"/>
      <c r="AJ36" s="10"/>
      <c r="AK36" s="28"/>
      <c r="AL36" s="3"/>
      <c r="AM36" s="3"/>
      <c r="AN36" s="10"/>
      <c r="AO36" s="28"/>
      <c r="AP36" s="28"/>
      <c r="AQ36" s="3"/>
      <c r="AR36" s="10"/>
      <c r="AS36" s="20"/>
      <c r="AT36" s="28"/>
      <c r="AU36" s="3"/>
      <c r="AV36" s="10"/>
      <c r="AW36" s="20"/>
      <c r="AX36" s="28"/>
      <c r="AY36" s="3"/>
      <c r="AZ36" s="10"/>
      <c r="BA36" s="20"/>
      <c r="BB36" s="28"/>
      <c r="BC36" s="3"/>
      <c r="BD36" s="10"/>
      <c r="BE36" s="23"/>
      <c r="BF36" s="28"/>
      <c r="BG36" s="3"/>
      <c r="BH36" s="10"/>
      <c r="BI36" s="20"/>
      <c r="BJ36" s="28"/>
      <c r="BK36" s="3"/>
      <c r="BL36" s="10"/>
    </row>
    <row r="37" spans="2:64" x14ac:dyDescent="0.3">
      <c r="B37" s="62">
        <f t="shared" si="0"/>
        <v>0</v>
      </c>
      <c r="C37" s="47">
        <f t="shared" si="1"/>
        <v>0</v>
      </c>
      <c r="D37" s="47">
        <f t="shared" si="2"/>
        <v>0</v>
      </c>
      <c r="E37" s="47">
        <f t="shared" si="3"/>
        <v>0</v>
      </c>
      <c r="F37" s="47">
        <f t="shared" si="4"/>
        <v>0</v>
      </c>
      <c r="G37" s="47">
        <f t="shared" si="5"/>
        <v>0</v>
      </c>
      <c r="H37" s="47">
        <f t="shared" si="6"/>
        <v>0</v>
      </c>
      <c r="I37" s="47">
        <f t="shared" si="7"/>
        <v>0</v>
      </c>
      <c r="J37" s="47">
        <f t="shared" si="8"/>
        <v>0</v>
      </c>
      <c r="K37" s="63">
        <f t="shared" si="9"/>
        <v>0</v>
      </c>
      <c r="L37" s="55">
        <f t="shared" si="10"/>
        <v>0</v>
      </c>
      <c r="N37" s="33">
        <v>18</v>
      </c>
      <c r="O37" s="28"/>
      <c r="P37" s="88"/>
      <c r="Q37" s="88"/>
      <c r="R37" s="37"/>
      <c r="S37" s="20"/>
      <c r="T37" s="3"/>
      <c r="U37" s="3"/>
      <c r="V37" s="3"/>
      <c r="W37" s="3"/>
      <c r="X37" s="10"/>
      <c r="Y37" s="17"/>
      <c r="Z37" s="2"/>
      <c r="AA37" s="2"/>
      <c r="AB37" s="2"/>
      <c r="AC37" s="3"/>
      <c r="AD37" s="37"/>
      <c r="AE37" s="9"/>
      <c r="AF37" s="2"/>
      <c r="AG37" s="2"/>
      <c r="AH37" s="2"/>
      <c r="AI37" s="3"/>
      <c r="AJ37" s="10"/>
      <c r="AK37" s="28"/>
      <c r="AL37" s="3"/>
      <c r="AM37" s="3"/>
      <c r="AN37" s="10"/>
      <c r="AO37" s="28"/>
      <c r="AP37" s="28"/>
      <c r="AQ37" s="3"/>
      <c r="AR37" s="10"/>
      <c r="AS37" s="20"/>
      <c r="AT37" s="28"/>
      <c r="AU37" s="3"/>
      <c r="AV37" s="10"/>
      <c r="AW37" s="20"/>
      <c r="AX37" s="28"/>
      <c r="AY37" s="3"/>
      <c r="AZ37" s="10"/>
      <c r="BA37" s="20"/>
      <c r="BB37" s="28"/>
      <c r="BC37" s="3"/>
      <c r="BD37" s="10"/>
      <c r="BE37" s="23"/>
      <c r="BF37" s="28"/>
      <c r="BG37" s="3"/>
      <c r="BH37" s="10"/>
      <c r="BI37" s="20"/>
      <c r="BJ37" s="28"/>
      <c r="BK37" s="3"/>
      <c r="BL37" s="10"/>
    </row>
    <row r="38" spans="2:64" x14ac:dyDescent="0.3">
      <c r="B38" s="62">
        <f t="shared" si="0"/>
        <v>0</v>
      </c>
      <c r="C38" s="47">
        <f t="shared" si="1"/>
        <v>0</v>
      </c>
      <c r="D38" s="47">
        <f t="shared" si="2"/>
        <v>0</v>
      </c>
      <c r="E38" s="47">
        <f t="shared" si="3"/>
        <v>0</v>
      </c>
      <c r="F38" s="47">
        <f t="shared" si="4"/>
        <v>0</v>
      </c>
      <c r="G38" s="47">
        <f t="shared" si="5"/>
        <v>0</v>
      </c>
      <c r="H38" s="47">
        <f t="shared" si="6"/>
        <v>0</v>
      </c>
      <c r="I38" s="47">
        <f t="shared" si="7"/>
        <v>0</v>
      </c>
      <c r="J38" s="47">
        <f t="shared" si="8"/>
        <v>0</v>
      </c>
      <c r="K38" s="63">
        <f t="shared" si="9"/>
        <v>0</v>
      </c>
      <c r="L38" s="55">
        <f t="shared" si="10"/>
        <v>0</v>
      </c>
      <c r="N38" s="33">
        <v>19</v>
      </c>
      <c r="O38" s="28"/>
      <c r="P38" s="88"/>
      <c r="Q38" s="88"/>
      <c r="R38" s="37"/>
      <c r="S38" s="20"/>
      <c r="T38" s="3"/>
      <c r="U38" s="3"/>
      <c r="V38" s="3"/>
      <c r="W38" s="3"/>
      <c r="X38" s="10"/>
      <c r="Y38" s="17"/>
      <c r="Z38" s="2"/>
      <c r="AA38" s="2"/>
      <c r="AB38" s="2"/>
      <c r="AC38" s="3"/>
      <c r="AD38" s="37"/>
      <c r="AE38" s="9"/>
      <c r="AF38" s="2"/>
      <c r="AG38" s="2"/>
      <c r="AH38" s="2"/>
      <c r="AI38" s="3"/>
      <c r="AJ38" s="10"/>
      <c r="AK38" s="28"/>
      <c r="AL38" s="3"/>
      <c r="AM38" s="3"/>
      <c r="AN38" s="10"/>
      <c r="AO38" s="28"/>
      <c r="AP38" s="28"/>
      <c r="AQ38" s="3"/>
      <c r="AR38" s="10"/>
      <c r="AS38" s="20"/>
      <c r="AT38" s="28"/>
      <c r="AU38" s="3"/>
      <c r="AV38" s="10"/>
      <c r="AW38" s="20"/>
      <c r="AX38" s="28"/>
      <c r="AY38" s="3"/>
      <c r="AZ38" s="10"/>
      <c r="BA38" s="20"/>
      <c r="BB38" s="28"/>
      <c r="BC38" s="3"/>
      <c r="BD38" s="10"/>
      <c r="BE38" s="23"/>
      <c r="BF38" s="28"/>
      <c r="BG38" s="3"/>
      <c r="BH38" s="10"/>
      <c r="BI38" s="20"/>
      <c r="BJ38" s="28"/>
      <c r="BK38" s="3"/>
      <c r="BL38" s="10"/>
    </row>
    <row r="39" spans="2:64" x14ac:dyDescent="0.3">
      <c r="B39" s="62">
        <f t="shared" si="0"/>
        <v>0</v>
      </c>
      <c r="C39" s="47">
        <f t="shared" si="1"/>
        <v>0</v>
      </c>
      <c r="D39" s="47">
        <f t="shared" si="2"/>
        <v>0</v>
      </c>
      <c r="E39" s="47">
        <f t="shared" si="3"/>
        <v>0</v>
      </c>
      <c r="F39" s="47">
        <f t="shared" si="4"/>
        <v>0</v>
      </c>
      <c r="G39" s="47">
        <f t="shared" si="5"/>
        <v>0</v>
      </c>
      <c r="H39" s="47">
        <f t="shared" si="6"/>
        <v>0</v>
      </c>
      <c r="I39" s="47">
        <f t="shared" si="7"/>
        <v>0</v>
      </c>
      <c r="J39" s="47">
        <f t="shared" si="8"/>
        <v>0</v>
      </c>
      <c r="K39" s="63">
        <f t="shared" si="9"/>
        <v>0</v>
      </c>
      <c r="L39" s="55">
        <f t="shared" si="10"/>
        <v>0</v>
      </c>
      <c r="N39" s="33">
        <v>20</v>
      </c>
      <c r="O39" s="28"/>
      <c r="P39" s="88"/>
      <c r="Q39" s="88"/>
      <c r="R39" s="37"/>
      <c r="S39" s="20"/>
      <c r="T39" s="3"/>
      <c r="U39" s="3"/>
      <c r="V39" s="3"/>
      <c r="W39" s="3"/>
      <c r="X39" s="10"/>
      <c r="Y39" s="17"/>
      <c r="Z39" s="2"/>
      <c r="AA39" s="2"/>
      <c r="AB39" s="2"/>
      <c r="AC39" s="3"/>
      <c r="AD39" s="37"/>
      <c r="AE39" s="9"/>
      <c r="AF39" s="2"/>
      <c r="AG39" s="2"/>
      <c r="AH39" s="2"/>
      <c r="AI39" s="3"/>
      <c r="AJ39" s="10"/>
      <c r="AK39" s="28"/>
      <c r="AL39" s="3"/>
      <c r="AM39" s="3"/>
      <c r="AN39" s="10"/>
      <c r="AO39" s="28"/>
      <c r="AP39" s="28"/>
      <c r="AQ39" s="3"/>
      <c r="AR39" s="10"/>
      <c r="AS39" s="20"/>
      <c r="AT39" s="28"/>
      <c r="AU39" s="3"/>
      <c r="AV39" s="10"/>
      <c r="AW39" s="20"/>
      <c r="AX39" s="28"/>
      <c r="AY39" s="3"/>
      <c r="AZ39" s="10"/>
      <c r="BA39" s="20"/>
      <c r="BB39" s="28"/>
      <c r="BC39" s="3"/>
      <c r="BD39" s="10"/>
      <c r="BE39" s="23"/>
      <c r="BF39" s="28"/>
      <c r="BG39" s="3"/>
      <c r="BH39" s="10"/>
      <c r="BI39" s="20"/>
      <c r="BJ39" s="28"/>
      <c r="BK39" s="3"/>
      <c r="BL39" s="10"/>
    </row>
    <row r="40" spans="2:64" x14ac:dyDescent="0.3">
      <c r="B40" s="62">
        <f t="shared" si="0"/>
        <v>0</v>
      </c>
      <c r="C40" s="47">
        <f t="shared" si="1"/>
        <v>0</v>
      </c>
      <c r="D40" s="47">
        <f t="shared" si="2"/>
        <v>0</v>
      </c>
      <c r="E40" s="47">
        <f t="shared" si="3"/>
        <v>0</v>
      </c>
      <c r="F40" s="47">
        <f t="shared" si="4"/>
        <v>0</v>
      </c>
      <c r="G40" s="47">
        <f t="shared" si="5"/>
        <v>0</v>
      </c>
      <c r="H40" s="47">
        <f t="shared" si="6"/>
        <v>0</v>
      </c>
      <c r="I40" s="47">
        <f t="shared" si="7"/>
        <v>0</v>
      </c>
      <c r="J40" s="47">
        <f t="shared" si="8"/>
        <v>0</v>
      </c>
      <c r="K40" s="63">
        <f t="shared" si="9"/>
        <v>0</v>
      </c>
      <c r="L40" s="55">
        <f t="shared" si="10"/>
        <v>0</v>
      </c>
      <c r="N40" s="33">
        <v>21</v>
      </c>
      <c r="O40" s="28"/>
      <c r="P40" s="88"/>
      <c r="Q40" s="88"/>
      <c r="R40" s="37"/>
      <c r="S40" s="20"/>
      <c r="T40" s="3"/>
      <c r="U40" s="3"/>
      <c r="V40" s="3"/>
      <c r="W40" s="3"/>
      <c r="X40" s="10"/>
      <c r="Y40" s="17"/>
      <c r="Z40" s="2"/>
      <c r="AA40" s="2"/>
      <c r="AB40" s="2"/>
      <c r="AC40" s="3"/>
      <c r="AD40" s="37"/>
      <c r="AE40" s="9"/>
      <c r="AF40" s="2"/>
      <c r="AG40" s="2"/>
      <c r="AH40" s="2"/>
      <c r="AI40" s="3"/>
      <c r="AJ40" s="10"/>
      <c r="AK40" s="28"/>
      <c r="AL40" s="3"/>
      <c r="AM40" s="3"/>
      <c r="AN40" s="10"/>
      <c r="AO40" s="28"/>
      <c r="AP40" s="28"/>
      <c r="AQ40" s="3"/>
      <c r="AR40" s="10"/>
      <c r="AS40" s="20"/>
      <c r="AT40" s="28"/>
      <c r="AU40" s="3"/>
      <c r="AV40" s="10"/>
      <c r="AW40" s="20"/>
      <c r="AX40" s="28"/>
      <c r="AY40" s="3"/>
      <c r="AZ40" s="10"/>
      <c r="BA40" s="20"/>
      <c r="BB40" s="28"/>
      <c r="BC40" s="3"/>
      <c r="BD40" s="10"/>
      <c r="BE40" s="23"/>
      <c r="BF40" s="28"/>
      <c r="BG40" s="3"/>
      <c r="BH40" s="10"/>
      <c r="BI40" s="20"/>
      <c r="BJ40" s="28"/>
      <c r="BK40" s="3"/>
      <c r="BL40" s="10"/>
    </row>
    <row r="41" spans="2:64" x14ac:dyDescent="0.3">
      <c r="B41" s="62">
        <f t="shared" si="0"/>
        <v>0</v>
      </c>
      <c r="C41" s="47">
        <f t="shared" si="1"/>
        <v>0</v>
      </c>
      <c r="D41" s="47">
        <f t="shared" si="2"/>
        <v>0</v>
      </c>
      <c r="E41" s="47">
        <f t="shared" si="3"/>
        <v>0</v>
      </c>
      <c r="F41" s="47">
        <f t="shared" si="4"/>
        <v>0</v>
      </c>
      <c r="G41" s="47">
        <f t="shared" si="5"/>
        <v>0</v>
      </c>
      <c r="H41" s="47">
        <f t="shared" si="6"/>
        <v>0</v>
      </c>
      <c r="I41" s="47">
        <f t="shared" si="7"/>
        <v>0</v>
      </c>
      <c r="J41" s="47">
        <f t="shared" si="8"/>
        <v>0</v>
      </c>
      <c r="K41" s="63">
        <f t="shared" si="9"/>
        <v>0</v>
      </c>
      <c r="L41" s="55">
        <f t="shared" si="10"/>
        <v>0</v>
      </c>
      <c r="N41" s="33">
        <v>22</v>
      </c>
      <c r="O41" s="28"/>
      <c r="P41" s="88"/>
      <c r="Q41" s="88"/>
      <c r="R41" s="37"/>
      <c r="S41" s="20"/>
      <c r="T41" s="3"/>
      <c r="U41" s="3"/>
      <c r="V41" s="3"/>
      <c r="W41" s="3"/>
      <c r="X41" s="10"/>
      <c r="Y41" s="17"/>
      <c r="Z41" s="2"/>
      <c r="AA41" s="2"/>
      <c r="AB41" s="2"/>
      <c r="AC41" s="3"/>
      <c r="AD41" s="37"/>
      <c r="AE41" s="9"/>
      <c r="AF41" s="2"/>
      <c r="AG41" s="2"/>
      <c r="AH41" s="2"/>
      <c r="AI41" s="3"/>
      <c r="AJ41" s="10"/>
      <c r="AK41" s="28"/>
      <c r="AL41" s="3"/>
      <c r="AM41" s="3"/>
      <c r="AN41" s="10"/>
      <c r="AO41" s="28"/>
      <c r="AP41" s="28"/>
      <c r="AQ41" s="3"/>
      <c r="AR41" s="10"/>
      <c r="AS41" s="20"/>
      <c r="AT41" s="28"/>
      <c r="AU41" s="3"/>
      <c r="AV41" s="10"/>
      <c r="AW41" s="20"/>
      <c r="AX41" s="28"/>
      <c r="AY41" s="3"/>
      <c r="AZ41" s="10"/>
      <c r="BA41" s="20"/>
      <c r="BB41" s="28"/>
      <c r="BC41" s="3"/>
      <c r="BD41" s="10"/>
      <c r="BE41" s="23"/>
      <c r="BF41" s="28"/>
      <c r="BG41" s="3"/>
      <c r="BH41" s="10"/>
      <c r="BI41" s="20"/>
      <c r="BJ41" s="28"/>
      <c r="BK41" s="3"/>
      <c r="BL41" s="10"/>
    </row>
    <row r="42" spans="2:64" x14ac:dyDescent="0.3">
      <c r="B42" s="62">
        <f t="shared" si="0"/>
        <v>0</v>
      </c>
      <c r="C42" s="47">
        <f t="shared" si="1"/>
        <v>0</v>
      </c>
      <c r="D42" s="47">
        <f t="shared" si="2"/>
        <v>0</v>
      </c>
      <c r="E42" s="47">
        <f t="shared" si="3"/>
        <v>0</v>
      </c>
      <c r="F42" s="47">
        <f t="shared" si="4"/>
        <v>0</v>
      </c>
      <c r="G42" s="47">
        <f t="shared" si="5"/>
        <v>0</v>
      </c>
      <c r="H42" s="47">
        <f t="shared" si="6"/>
        <v>0</v>
      </c>
      <c r="I42" s="47">
        <f t="shared" si="7"/>
        <v>0</v>
      </c>
      <c r="J42" s="47">
        <f t="shared" si="8"/>
        <v>0</v>
      </c>
      <c r="K42" s="63">
        <f t="shared" si="9"/>
        <v>0</v>
      </c>
      <c r="L42" s="55">
        <f t="shared" si="10"/>
        <v>0</v>
      </c>
      <c r="N42" s="33">
        <v>23</v>
      </c>
      <c r="O42" s="28"/>
      <c r="P42" s="88"/>
      <c r="Q42" s="88"/>
      <c r="R42" s="37"/>
      <c r="S42" s="20"/>
      <c r="T42" s="3"/>
      <c r="U42" s="3"/>
      <c r="V42" s="3"/>
      <c r="W42" s="3"/>
      <c r="X42" s="10"/>
      <c r="Y42" s="17"/>
      <c r="Z42" s="2"/>
      <c r="AA42" s="2"/>
      <c r="AB42" s="2"/>
      <c r="AC42" s="3"/>
      <c r="AD42" s="37"/>
      <c r="AE42" s="9"/>
      <c r="AF42" s="2"/>
      <c r="AG42" s="2"/>
      <c r="AH42" s="2"/>
      <c r="AI42" s="3"/>
      <c r="AJ42" s="10"/>
      <c r="AK42" s="28"/>
      <c r="AL42" s="3"/>
      <c r="AM42" s="3"/>
      <c r="AN42" s="10"/>
      <c r="AO42" s="28"/>
      <c r="AP42" s="28"/>
      <c r="AQ42" s="3"/>
      <c r="AR42" s="10"/>
      <c r="AS42" s="20"/>
      <c r="AT42" s="28"/>
      <c r="AU42" s="3"/>
      <c r="AV42" s="10"/>
      <c r="AW42" s="20"/>
      <c r="AX42" s="28"/>
      <c r="AY42" s="3"/>
      <c r="AZ42" s="10"/>
      <c r="BA42" s="20"/>
      <c r="BB42" s="28"/>
      <c r="BC42" s="3"/>
      <c r="BD42" s="10"/>
      <c r="BE42" s="23"/>
      <c r="BF42" s="28"/>
      <c r="BG42" s="3"/>
      <c r="BH42" s="10"/>
      <c r="BI42" s="20"/>
      <c r="BJ42" s="28"/>
      <c r="BK42" s="3"/>
      <c r="BL42" s="10"/>
    </row>
    <row r="43" spans="2:64" x14ac:dyDescent="0.3">
      <c r="B43" s="62">
        <f t="shared" si="0"/>
        <v>0</v>
      </c>
      <c r="C43" s="47">
        <f t="shared" si="1"/>
        <v>0</v>
      </c>
      <c r="D43" s="47">
        <f t="shared" si="2"/>
        <v>0</v>
      </c>
      <c r="E43" s="47">
        <f t="shared" si="3"/>
        <v>0</v>
      </c>
      <c r="F43" s="47">
        <f t="shared" si="4"/>
        <v>0</v>
      </c>
      <c r="G43" s="47">
        <f t="shared" si="5"/>
        <v>0</v>
      </c>
      <c r="H43" s="47">
        <f t="shared" si="6"/>
        <v>0</v>
      </c>
      <c r="I43" s="47">
        <f t="shared" si="7"/>
        <v>0</v>
      </c>
      <c r="J43" s="47">
        <f t="shared" si="8"/>
        <v>0</v>
      </c>
      <c r="K43" s="63">
        <f t="shared" si="9"/>
        <v>0</v>
      </c>
      <c r="L43" s="55">
        <f t="shared" si="10"/>
        <v>0</v>
      </c>
      <c r="N43" s="33">
        <v>24</v>
      </c>
      <c r="O43" s="28"/>
      <c r="P43" s="88"/>
      <c r="Q43" s="88"/>
      <c r="R43" s="37"/>
      <c r="S43" s="20"/>
      <c r="T43" s="3"/>
      <c r="U43" s="3"/>
      <c r="V43" s="3"/>
      <c r="W43" s="3"/>
      <c r="X43" s="10"/>
      <c r="Y43" s="17"/>
      <c r="Z43" s="2"/>
      <c r="AA43" s="2"/>
      <c r="AB43" s="2"/>
      <c r="AC43" s="3"/>
      <c r="AD43" s="37"/>
      <c r="AE43" s="9"/>
      <c r="AF43" s="2"/>
      <c r="AG43" s="2"/>
      <c r="AH43" s="2"/>
      <c r="AI43" s="3"/>
      <c r="AJ43" s="10"/>
      <c r="AK43" s="28"/>
      <c r="AL43" s="3"/>
      <c r="AM43" s="3"/>
      <c r="AN43" s="10"/>
      <c r="AO43" s="28"/>
      <c r="AP43" s="28"/>
      <c r="AQ43" s="3"/>
      <c r="AR43" s="10"/>
      <c r="AS43" s="20"/>
      <c r="AT43" s="28"/>
      <c r="AU43" s="3"/>
      <c r="AV43" s="10"/>
      <c r="AW43" s="20"/>
      <c r="AX43" s="28"/>
      <c r="AY43" s="3"/>
      <c r="AZ43" s="10"/>
      <c r="BA43" s="20"/>
      <c r="BB43" s="28"/>
      <c r="BC43" s="3"/>
      <c r="BD43" s="10"/>
      <c r="BE43" s="23"/>
      <c r="BF43" s="28"/>
      <c r="BG43" s="3"/>
      <c r="BH43" s="10"/>
      <c r="BI43" s="20"/>
      <c r="BJ43" s="28"/>
      <c r="BK43" s="3"/>
      <c r="BL43" s="10"/>
    </row>
    <row r="44" spans="2:64" x14ac:dyDescent="0.3">
      <c r="B44" s="62">
        <f t="shared" si="0"/>
        <v>0</v>
      </c>
      <c r="C44" s="47">
        <f t="shared" si="1"/>
        <v>0</v>
      </c>
      <c r="D44" s="47">
        <f t="shared" si="2"/>
        <v>0</v>
      </c>
      <c r="E44" s="47">
        <f t="shared" si="3"/>
        <v>0</v>
      </c>
      <c r="F44" s="47">
        <f t="shared" si="4"/>
        <v>0</v>
      </c>
      <c r="G44" s="47">
        <f t="shared" si="5"/>
        <v>0</v>
      </c>
      <c r="H44" s="47">
        <f t="shared" si="6"/>
        <v>0</v>
      </c>
      <c r="I44" s="47">
        <f t="shared" si="7"/>
        <v>0</v>
      </c>
      <c r="J44" s="47">
        <f t="shared" si="8"/>
        <v>0</v>
      </c>
      <c r="K44" s="63">
        <f t="shared" si="9"/>
        <v>0</v>
      </c>
      <c r="L44" s="55">
        <f t="shared" si="10"/>
        <v>0</v>
      </c>
      <c r="N44" s="33">
        <v>25</v>
      </c>
      <c r="O44" s="28"/>
      <c r="P44" s="88"/>
      <c r="Q44" s="88"/>
      <c r="R44" s="37"/>
      <c r="S44" s="20"/>
      <c r="T44" s="3"/>
      <c r="U44" s="3"/>
      <c r="V44" s="3"/>
      <c r="W44" s="3"/>
      <c r="X44" s="10"/>
      <c r="Y44" s="17"/>
      <c r="Z44" s="2"/>
      <c r="AA44" s="2"/>
      <c r="AB44" s="2"/>
      <c r="AC44" s="3"/>
      <c r="AD44" s="37"/>
      <c r="AE44" s="9"/>
      <c r="AF44" s="2"/>
      <c r="AG44" s="2"/>
      <c r="AH44" s="2"/>
      <c r="AI44" s="3"/>
      <c r="AJ44" s="10"/>
      <c r="AK44" s="28"/>
      <c r="AL44" s="3"/>
      <c r="AM44" s="3"/>
      <c r="AN44" s="10"/>
      <c r="AO44" s="28"/>
      <c r="AP44" s="28"/>
      <c r="AQ44" s="3"/>
      <c r="AR44" s="10"/>
      <c r="AS44" s="20"/>
      <c r="AT44" s="28"/>
      <c r="AU44" s="3"/>
      <c r="AV44" s="10"/>
      <c r="AW44" s="20"/>
      <c r="AX44" s="28"/>
      <c r="AY44" s="3"/>
      <c r="AZ44" s="10"/>
      <c r="BA44" s="20"/>
      <c r="BB44" s="28"/>
      <c r="BC44" s="3"/>
      <c r="BD44" s="10"/>
      <c r="BE44" s="23"/>
      <c r="BF44" s="28"/>
      <c r="BG44" s="3"/>
      <c r="BH44" s="10"/>
      <c r="BI44" s="20"/>
      <c r="BJ44" s="28"/>
      <c r="BK44" s="3"/>
      <c r="BL44" s="10"/>
    </row>
    <row r="45" spans="2:64" x14ac:dyDescent="0.3">
      <c r="B45" s="62">
        <f t="shared" si="0"/>
        <v>0</v>
      </c>
      <c r="C45" s="47">
        <f t="shared" si="1"/>
        <v>0</v>
      </c>
      <c r="D45" s="47">
        <f t="shared" si="2"/>
        <v>0</v>
      </c>
      <c r="E45" s="47">
        <f t="shared" si="3"/>
        <v>0</v>
      </c>
      <c r="F45" s="47">
        <f t="shared" si="4"/>
        <v>0</v>
      </c>
      <c r="G45" s="47">
        <f t="shared" si="5"/>
        <v>0</v>
      </c>
      <c r="H45" s="47">
        <f t="shared" si="6"/>
        <v>0</v>
      </c>
      <c r="I45" s="47">
        <f t="shared" si="7"/>
        <v>0</v>
      </c>
      <c r="J45" s="47">
        <f t="shared" si="8"/>
        <v>0</v>
      </c>
      <c r="K45" s="63">
        <f t="shared" si="9"/>
        <v>0</v>
      </c>
      <c r="L45" s="55">
        <f t="shared" si="10"/>
        <v>0</v>
      </c>
      <c r="N45" s="33">
        <v>26</v>
      </c>
      <c r="O45" s="28"/>
      <c r="P45" s="88"/>
      <c r="Q45" s="88"/>
      <c r="R45" s="37"/>
      <c r="S45" s="20"/>
      <c r="T45" s="3"/>
      <c r="U45" s="3"/>
      <c r="V45" s="3"/>
      <c r="W45" s="3"/>
      <c r="X45" s="10"/>
      <c r="Y45" s="17"/>
      <c r="Z45" s="2"/>
      <c r="AA45" s="2"/>
      <c r="AB45" s="2"/>
      <c r="AC45" s="3"/>
      <c r="AD45" s="37"/>
      <c r="AE45" s="9"/>
      <c r="AF45" s="2"/>
      <c r="AG45" s="2"/>
      <c r="AH45" s="2"/>
      <c r="AI45" s="3"/>
      <c r="AJ45" s="10"/>
      <c r="AK45" s="28"/>
      <c r="AL45" s="3"/>
      <c r="AM45" s="3"/>
      <c r="AN45" s="10"/>
      <c r="AO45" s="28"/>
      <c r="AP45" s="28"/>
      <c r="AQ45" s="3"/>
      <c r="AR45" s="10"/>
      <c r="AS45" s="20"/>
      <c r="AT45" s="28"/>
      <c r="AU45" s="3"/>
      <c r="AV45" s="10"/>
      <c r="AW45" s="20"/>
      <c r="AX45" s="28"/>
      <c r="AY45" s="3"/>
      <c r="AZ45" s="10"/>
      <c r="BA45" s="20"/>
      <c r="BB45" s="28"/>
      <c r="BC45" s="3"/>
      <c r="BD45" s="10"/>
      <c r="BE45" s="23"/>
      <c r="BF45" s="28"/>
      <c r="BG45" s="3"/>
      <c r="BH45" s="10"/>
      <c r="BI45" s="20"/>
      <c r="BJ45" s="28"/>
      <c r="BK45" s="3"/>
      <c r="BL45" s="10"/>
    </row>
    <row r="46" spans="2:64" x14ac:dyDescent="0.3">
      <c r="B46" s="62">
        <f t="shared" si="0"/>
        <v>0</v>
      </c>
      <c r="C46" s="47">
        <f t="shared" si="1"/>
        <v>0</v>
      </c>
      <c r="D46" s="47">
        <f t="shared" si="2"/>
        <v>0</v>
      </c>
      <c r="E46" s="47">
        <f t="shared" si="3"/>
        <v>0</v>
      </c>
      <c r="F46" s="47">
        <f t="shared" si="4"/>
        <v>0</v>
      </c>
      <c r="G46" s="47">
        <f t="shared" si="5"/>
        <v>0</v>
      </c>
      <c r="H46" s="47">
        <f t="shared" si="6"/>
        <v>0</v>
      </c>
      <c r="I46" s="47">
        <f t="shared" si="7"/>
        <v>0</v>
      </c>
      <c r="J46" s="47">
        <f t="shared" si="8"/>
        <v>0</v>
      </c>
      <c r="K46" s="63">
        <f t="shared" si="9"/>
        <v>0</v>
      </c>
      <c r="L46" s="55">
        <f t="shared" si="10"/>
        <v>0</v>
      </c>
      <c r="N46" s="33">
        <v>27</v>
      </c>
      <c r="O46" s="28"/>
      <c r="P46" s="88"/>
      <c r="Q46" s="88"/>
      <c r="R46" s="37"/>
      <c r="S46" s="20"/>
      <c r="T46" s="3"/>
      <c r="U46" s="3"/>
      <c r="V46" s="3"/>
      <c r="W46" s="3"/>
      <c r="X46" s="10"/>
      <c r="Y46" s="17"/>
      <c r="Z46" s="2"/>
      <c r="AA46" s="2"/>
      <c r="AB46" s="2"/>
      <c r="AC46" s="3"/>
      <c r="AD46" s="37"/>
      <c r="AE46" s="9"/>
      <c r="AF46" s="2"/>
      <c r="AG46" s="2"/>
      <c r="AH46" s="2"/>
      <c r="AI46" s="3"/>
      <c r="AJ46" s="10"/>
      <c r="AK46" s="28"/>
      <c r="AL46" s="3"/>
      <c r="AM46" s="3"/>
      <c r="AN46" s="10"/>
      <c r="AO46" s="28"/>
      <c r="AP46" s="28"/>
      <c r="AQ46" s="3"/>
      <c r="AR46" s="10"/>
      <c r="AS46" s="20"/>
      <c r="AT46" s="28"/>
      <c r="AU46" s="3"/>
      <c r="AV46" s="10"/>
      <c r="AW46" s="20"/>
      <c r="AX46" s="28"/>
      <c r="AY46" s="3"/>
      <c r="AZ46" s="10"/>
      <c r="BA46" s="20"/>
      <c r="BB46" s="28"/>
      <c r="BC46" s="3"/>
      <c r="BD46" s="10"/>
      <c r="BE46" s="23"/>
      <c r="BF46" s="28"/>
      <c r="BG46" s="3"/>
      <c r="BH46" s="10"/>
      <c r="BI46" s="20"/>
      <c r="BJ46" s="28"/>
      <c r="BK46" s="3"/>
      <c r="BL46" s="10"/>
    </row>
    <row r="47" spans="2:64" x14ac:dyDescent="0.3">
      <c r="B47" s="62">
        <f t="shared" si="0"/>
        <v>0</v>
      </c>
      <c r="C47" s="47">
        <f t="shared" si="1"/>
        <v>0</v>
      </c>
      <c r="D47" s="47">
        <f t="shared" si="2"/>
        <v>0</v>
      </c>
      <c r="E47" s="47">
        <f t="shared" si="3"/>
        <v>0</v>
      </c>
      <c r="F47" s="47">
        <f t="shared" si="4"/>
        <v>0</v>
      </c>
      <c r="G47" s="47">
        <f t="shared" si="5"/>
        <v>0</v>
      </c>
      <c r="H47" s="47">
        <f t="shared" si="6"/>
        <v>0</v>
      </c>
      <c r="I47" s="47">
        <f t="shared" si="7"/>
        <v>0</v>
      </c>
      <c r="J47" s="47">
        <f t="shared" si="8"/>
        <v>0</v>
      </c>
      <c r="K47" s="63">
        <f t="shared" si="9"/>
        <v>0</v>
      </c>
      <c r="L47" s="55">
        <f t="shared" si="10"/>
        <v>0</v>
      </c>
      <c r="N47" s="33">
        <v>28</v>
      </c>
      <c r="O47" s="28"/>
      <c r="P47" s="88"/>
      <c r="Q47" s="88"/>
      <c r="R47" s="37"/>
      <c r="S47" s="20"/>
      <c r="T47" s="3"/>
      <c r="U47" s="3"/>
      <c r="V47" s="3"/>
      <c r="W47" s="3"/>
      <c r="X47" s="10"/>
      <c r="Y47" s="17"/>
      <c r="Z47" s="2"/>
      <c r="AA47" s="2"/>
      <c r="AB47" s="2"/>
      <c r="AC47" s="3"/>
      <c r="AD47" s="37"/>
      <c r="AE47" s="9"/>
      <c r="AF47" s="2"/>
      <c r="AG47" s="2"/>
      <c r="AH47" s="2"/>
      <c r="AI47" s="3"/>
      <c r="AJ47" s="10"/>
      <c r="AK47" s="28"/>
      <c r="AL47" s="3"/>
      <c r="AM47" s="3"/>
      <c r="AN47" s="10"/>
      <c r="AO47" s="28"/>
      <c r="AP47" s="28"/>
      <c r="AQ47" s="3"/>
      <c r="AR47" s="10"/>
      <c r="AS47" s="20"/>
      <c r="AT47" s="28"/>
      <c r="AU47" s="3"/>
      <c r="AV47" s="10"/>
      <c r="AW47" s="20"/>
      <c r="AX47" s="28"/>
      <c r="AY47" s="3"/>
      <c r="AZ47" s="10"/>
      <c r="BA47" s="20"/>
      <c r="BB47" s="28"/>
      <c r="BC47" s="3"/>
      <c r="BD47" s="10"/>
      <c r="BE47" s="23"/>
      <c r="BF47" s="28"/>
      <c r="BG47" s="3"/>
      <c r="BH47" s="10"/>
      <c r="BI47" s="20"/>
      <c r="BJ47" s="28"/>
      <c r="BK47" s="3"/>
      <c r="BL47" s="10"/>
    </row>
    <row r="48" spans="2:64" x14ac:dyDescent="0.3">
      <c r="B48" s="62">
        <f t="shared" si="0"/>
        <v>0</v>
      </c>
      <c r="C48" s="47">
        <f t="shared" si="1"/>
        <v>0</v>
      </c>
      <c r="D48" s="47">
        <f t="shared" si="2"/>
        <v>0</v>
      </c>
      <c r="E48" s="47">
        <f t="shared" si="3"/>
        <v>0</v>
      </c>
      <c r="F48" s="47">
        <f t="shared" si="4"/>
        <v>0</v>
      </c>
      <c r="G48" s="47">
        <f t="shared" si="5"/>
        <v>0</v>
      </c>
      <c r="H48" s="47">
        <f t="shared" si="6"/>
        <v>0</v>
      </c>
      <c r="I48" s="47">
        <f t="shared" si="7"/>
        <v>0</v>
      </c>
      <c r="J48" s="47">
        <f t="shared" si="8"/>
        <v>0</v>
      </c>
      <c r="K48" s="63">
        <f t="shared" si="9"/>
        <v>0</v>
      </c>
      <c r="L48" s="55">
        <f t="shared" si="10"/>
        <v>0</v>
      </c>
      <c r="N48" s="33">
        <v>29</v>
      </c>
      <c r="O48" s="28"/>
      <c r="P48" s="88"/>
      <c r="Q48" s="88"/>
      <c r="R48" s="37"/>
      <c r="S48" s="20"/>
      <c r="T48" s="3"/>
      <c r="U48" s="3"/>
      <c r="V48" s="3"/>
      <c r="W48" s="3"/>
      <c r="X48" s="10"/>
      <c r="Y48" s="17"/>
      <c r="Z48" s="2"/>
      <c r="AA48" s="2"/>
      <c r="AB48" s="2"/>
      <c r="AC48" s="3"/>
      <c r="AD48" s="37"/>
      <c r="AE48" s="9"/>
      <c r="AF48" s="2"/>
      <c r="AG48" s="2"/>
      <c r="AH48" s="2"/>
      <c r="AI48" s="3"/>
      <c r="AJ48" s="10"/>
      <c r="AK48" s="28"/>
      <c r="AL48" s="3"/>
      <c r="AM48" s="3"/>
      <c r="AN48" s="10"/>
      <c r="AO48" s="28"/>
      <c r="AP48" s="28"/>
      <c r="AQ48" s="3"/>
      <c r="AR48" s="10"/>
      <c r="AS48" s="20"/>
      <c r="AT48" s="28"/>
      <c r="AU48" s="3"/>
      <c r="AV48" s="10"/>
      <c r="AW48" s="20"/>
      <c r="AX48" s="28"/>
      <c r="AY48" s="3"/>
      <c r="AZ48" s="10"/>
      <c r="BA48" s="20"/>
      <c r="BB48" s="28"/>
      <c r="BC48" s="3"/>
      <c r="BD48" s="10"/>
      <c r="BE48" s="23"/>
      <c r="BF48" s="28"/>
      <c r="BG48" s="3"/>
      <c r="BH48" s="10"/>
      <c r="BI48" s="20"/>
      <c r="BJ48" s="28"/>
      <c r="BK48" s="3"/>
      <c r="BL48" s="10"/>
    </row>
    <row r="49" spans="2:64" x14ac:dyDescent="0.3">
      <c r="B49" s="62">
        <f t="shared" si="0"/>
        <v>0</v>
      </c>
      <c r="C49" s="47">
        <f t="shared" si="1"/>
        <v>0</v>
      </c>
      <c r="D49" s="47">
        <f t="shared" si="2"/>
        <v>0</v>
      </c>
      <c r="E49" s="47">
        <f t="shared" si="3"/>
        <v>0</v>
      </c>
      <c r="F49" s="47">
        <f t="shared" si="4"/>
        <v>0</v>
      </c>
      <c r="G49" s="47">
        <f t="shared" si="5"/>
        <v>0</v>
      </c>
      <c r="H49" s="47">
        <f t="shared" si="6"/>
        <v>0</v>
      </c>
      <c r="I49" s="47">
        <f t="shared" si="7"/>
        <v>0</v>
      </c>
      <c r="J49" s="47">
        <f t="shared" si="8"/>
        <v>0</v>
      </c>
      <c r="K49" s="63">
        <f t="shared" si="9"/>
        <v>0</v>
      </c>
      <c r="L49" s="55">
        <f t="shared" si="10"/>
        <v>0</v>
      </c>
      <c r="N49" s="33">
        <v>30</v>
      </c>
      <c r="O49" s="28"/>
      <c r="P49" s="88"/>
      <c r="Q49" s="88"/>
      <c r="R49" s="37"/>
      <c r="S49" s="20"/>
      <c r="T49" s="3"/>
      <c r="U49" s="3"/>
      <c r="V49" s="3"/>
      <c r="W49" s="3"/>
      <c r="X49" s="10"/>
      <c r="Y49" s="17"/>
      <c r="Z49" s="2"/>
      <c r="AA49" s="2"/>
      <c r="AB49" s="2"/>
      <c r="AC49" s="3"/>
      <c r="AD49" s="37"/>
      <c r="AE49" s="9"/>
      <c r="AF49" s="2"/>
      <c r="AG49" s="2"/>
      <c r="AH49" s="2"/>
      <c r="AI49" s="3"/>
      <c r="AJ49" s="10"/>
      <c r="AK49" s="28"/>
      <c r="AL49" s="3"/>
      <c r="AM49" s="3"/>
      <c r="AN49" s="10"/>
      <c r="AO49" s="28"/>
      <c r="AP49" s="28"/>
      <c r="AQ49" s="3"/>
      <c r="AR49" s="10"/>
      <c r="AS49" s="20"/>
      <c r="AT49" s="28"/>
      <c r="AU49" s="3"/>
      <c r="AV49" s="10"/>
      <c r="AW49" s="20"/>
      <c r="AX49" s="28"/>
      <c r="AY49" s="3"/>
      <c r="AZ49" s="10"/>
      <c r="BA49" s="20"/>
      <c r="BB49" s="28"/>
      <c r="BC49" s="3"/>
      <c r="BD49" s="10"/>
      <c r="BE49" s="23"/>
      <c r="BF49" s="28"/>
      <c r="BG49" s="3"/>
      <c r="BH49" s="10"/>
      <c r="BI49" s="20"/>
      <c r="BJ49" s="28"/>
      <c r="BK49" s="3"/>
      <c r="BL49" s="10"/>
    </row>
    <row r="50" spans="2:64" x14ac:dyDescent="0.3">
      <c r="B50" s="62">
        <f t="shared" si="0"/>
        <v>0</v>
      </c>
      <c r="C50" s="47">
        <f t="shared" si="1"/>
        <v>0</v>
      </c>
      <c r="D50" s="47">
        <f t="shared" si="2"/>
        <v>0</v>
      </c>
      <c r="E50" s="47">
        <f t="shared" si="3"/>
        <v>0</v>
      </c>
      <c r="F50" s="47">
        <f t="shared" si="4"/>
        <v>0</v>
      </c>
      <c r="G50" s="47">
        <f t="shared" si="5"/>
        <v>0</v>
      </c>
      <c r="H50" s="47">
        <f t="shared" si="6"/>
        <v>0</v>
      </c>
      <c r="I50" s="47">
        <f t="shared" si="7"/>
        <v>0</v>
      </c>
      <c r="J50" s="47">
        <f t="shared" si="8"/>
        <v>0</v>
      </c>
      <c r="K50" s="63">
        <f t="shared" si="9"/>
        <v>0</v>
      </c>
      <c r="L50" s="55">
        <f t="shared" si="10"/>
        <v>0</v>
      </c>
      <c r="N50" s="33">
        <v>31</v>
      </c>
      <c r="O50" s="28"/>
      <c r="P50" s="88"/>
      <c r="Q50" s="88"/>
      <c r="R50" s="37"/>
      <c r="S50" s="20"/>
      <c r="T50" s="3"/>
      <c r="U50" s="3"/>
      <c r="V50" s="3"/>
      <c r="W50" s="3"/>
      <c r="X50" s="10"/>
      <c r="Y50" s="17"/>
      <c r="Z50" s="2"/>
      <c r="AA50" s="2"/>
      <c r="AB50" s="2"/>
      <c r="AC50" s="3"/>
      <c r="AD50" s="37"/>
      <c r="AE50" s="9"/>
      <c r="AF50" s="2"/>
      <c r="AG50" s="2"/>
      <c r="AH50" s="2"/>
      <c r="AI50" s="3"/>
      <c r="AJ50" s="10"/>
      <c r="AK50" s="28"/>
      <c r="AL50" s="3"/>
      <c r="AM50" s="3"/>
      <c r="AN50" s="10"/>
      <c r="AO50" s="28"/>
      <c r="AP50" s="28"/>
      <c r="AQ50" s="3"/>
      <c r="AR50" s="10"/>
      <c r="AS50" s="20"/>
      <c r="AT50" s="28"/>
      <c r="AU50" s="3"/>
      <c r="AV50" s="10"/>
      <c r="AW50" s="20"/>
      <c r="AX50" s="28"/>
      <c r="AY50" s="3"/>
      <c r="AZ50" s="10"/>
      <c r="BA50" s="20"/>
      <c r="BB50" s="28"/>
      <c r="BC50" s="3"/>
      <c r="BD50" s="10"/>
      <c r="BE50" s="23"/>
      <c r="BF50" s="28"/>
      <c r="BG50" s="3"/>
      <c r="BH50" s="10"/>
      <c r="BI50" s="20"/>
      <c r="BJ50" s="28"/>
      <c r="BK50" s="3"/>
      <c r="BL50" s="10"/>
    </row>
    <row r="51" spans="2:64" ht="15" thickBot="1" x14ac:dyDescent="0.35">
      <c r="B51" s="64">
        <f t="shared" si="0"/>
        <v>0</v>
      </c>
      <c r="C51" s="65">
        <f t="shared" si="1"/>
        <v>0</v>
      </c>
      <c r="D51" s="65">
        <f t="shared" si="2"/>
        <v>0</v>
      </c>
      <c r="E51" s="65">
        <f t="shared" si="3"/>
        <v>0</v>
      </c>
      <c r="F51" s="65">
        <f t="shared" si="4"/>
        <v>0</v>
      </c>
      <c r="G51" s="65">
        <f t="shared" si="5"/>
        <v>0</v>
      </c>
      <c r="H51" s="65">
        <f t="shared" si="6"/>
        <v>0</v>
      </c>
      <c r="I51" s="65">
        <f t="shared" si="7"/>
        <v>0</v>
      </c>
      <c r="J51" s="65">
        <f t="shared" si="8"/>
        <v>0</v>
      </c>
      <c r="K51" s="66">
        <f t="shared" si="9"/>
        <v>0</v>
      </c>
      <c r="L51" s="55">
        <f t="shared" si="10"/>
        <v>0</v>
      </c>
      <c r="N51" s="33">
        <v>32</v>
      </c>
      <c r="O51" s="28"/>
      <c r="P51" s="88"/>
      <c r="Q51" s="88"/>
      <c r="R51" s="37"/>
      <c r="S51" s="20"/>
      <c r="T51" s="3"/>
      <c r="U51" s="3"/>
      <c r="V51" s="3"/>
      <c r="W51" s="3"/>
      <c r="X51" s="10"/>
      <c r="Y51" s="17"/>
      <c r="Z51" s="2"/>
      <c r="AA51" s="2"/>
      <c r="AB51" s="2"/>
      <c r="AC51" s="3"/>
      <c r="AD51" s="37"/>
      <c r="AE51" s="9"/>
      <c r="AF51" s="2"/>
      <c r="AG51" s="2"/>
      <c r="AH51" s="2"/>
      <c r="AI51" s="3"/>
      <c r="AJ51" s="10"/>
      <c r="AK51" s="28"/>
      <c r="AL51" s="3"/>
      <c r="AM51" s="3"/>
      <c r="AN51" s="10"/>
      <c r="AO51" s="28"/>
      <c r="AP51" s="28"/>
      <c r="AQ51" s="3"/>
      <c r="AR51" s="10"/>
      <c r="AS51" s="20"/>
      <c r="AT51" s="28"/>
      <c r="AU51" s="3"/>
      <c r="AV51" s="10"/>
      <c r="AW51" s="20"/>
      <c r="AX51" s="28"/>
      <c r="AY51" s="3"/>
      <c r="AZ51" s="10"/>
      <c r="BA51" s="20"/>
      <c r="BB51" s="28"/>
      <c r="BC51" s="3"/>
      <c r="BD51" s="10"/>
      <c r="BE51" s="23"/>
      <c r="BF51" s="28"/>
      <c r="BG51" s="3"/>
      <c r="BH51" s="10"/>
      <c r="BI51" s="20"/>
      <c r="BJ51" s="28"/>
      <c r="BK51" s="3"/>
      <c r="BL51" s="10"/>
    </row>
    <row r="52" spans="2:64" x14ac:dyDescent="0.3">
      <c r="N52" s="34" t="s">
        <v>25</v>
      </c>
      <c r="O52" s="29"/>
      <c r="P52" s="89"/>
      <c r="Q52" s="89"/>
      <c r="R52" s="38"/>
      <c r="S52" s="18">
        <f>AVERAGE(S20:S51)</f>
        <v>8.3333333333333325E-8</v>
      </c>
      <c r="T52" s="4">
        <f>AVERAGE(T20:T51)</f>
        <v>8.3333333333333325E-8</v>
      </c>
      <c r="U52" s="4">
        <f>AVERAGE(U20:U51)</f>
        <v>8.3333333333333325E-8</v>
      </c>
      <c r="V52" s="4" t="e">
        <f>AVERAGE(V20:V51)</f>
        <v>#DIV/0!</v>
      </c>
      <c r="W52" s="4">
        <f>(SUM(D20:D51)+SUM(T20:T51)+SUM(S20:S51)*0.35)/SUM(S20:U51)</f>
        <v>0.45</v>
      </c>
      <c r="X52" s="48" t="e">
        <f>AVERAGE(X20:X51)</f>
        <v>#DIV/0!</v>
      </c>
      <c r="Y52" s="58">
        <f>AVERAGE(Y20:Y51)</f>
        <v>9.9999999999999995E-7</v>
      </c>
      <c r="Z52" s="56">
        <f>AVERAGE(Z20:Z51)</f>
        <v>9.9999999999999995E-7</v>
      </c>
      <c r="AA52" s="56">
        <f>AVERAGE(AA20:AA51)</f>
        <v>9.9999999999999995E-7</v>
      </c>
      <c r="AB52" s="56" t="e">
        <f>AVERAGE(AB20:AB51)</f>
        <v>#DIV/0!</v>
      </c>
      <c r="AC52" s="56">
        <f>(SUM(B20:B51)+SUM(Z20:Z51)+SUM(Y20:Y51)*0.35)/SUM(Y20:AA51)</f>
        <v>0.45</v>
      </c>
      <c r="AD52" s="76" t="e">
        <f>AVERAGE(AD20:AD51)</f>
        <v>#DIV/0!</v>
      </c>
      <c r="AE52" s="79">
        <f>AVERAGE(AE20:AE51)</f>
        <v>0.66666666666666663</v>
      </c>
      <c r="AF52" s="56">
        <f>AVERAGE(AF20:AF51)</f>
        <v>1.9166666666666667</v>
      </c>
      <c r="AG52" s="56">
        <f>AVERAGE(AG20:AG51)</f>
        <v>1.5416666666666667</v>
      </c>
      <c r="AH52" s="56" t="e">
        <f>AVERAGE(AH20:AH51)</f>
        <v>#DIV/0!</v>
      </c>
      <c r="AI52" s="56">
        <f>(SUM(C20:C51)+SUM(AF20:AF51)+SUM(AE20:AE51)*0.35)/SUM(AE20:AG51)</f>
        <v>1.5787878787878786</v>
      </c>
      <c r="AJ52" s="57">
        <f>AVERAGE(AJ20:AJ51)</f>
        <v>8.6666666666666661</v>
      </c>
      <c r="AK52" s="58">
        <f>AVERAGE(AK20:AK51)</f>
        <v>9.3333333333333339</v>
      </c>
      <c r="AL52" s="56" t="e">
        <f>AVERAGE(AL20:AL51)</f>
        <v>#DIV/0!</v>
      </c>
      <c r="AM52" s="56">
        <f>SUM(E20:E51)/SUM(AK20:AK51)</f>
        <v>2.4107142857142856</v>
      </c>
      <c r="AN52" s="57">
        <f>AVERAGE(AN20:AN51)</f>
        <v>7.4</v>
      </c>
      <c r="AO52" s="58">
        <f>AVERAGE(AO20:AO51)</f>
        <v>3.1666666666666665</v>
      </c>
      <c r="AP52" s="56" t="e">
        <f>AVERAGE(AP20:AP51)</f>
        <v>#DIV/0!</v>
      </c>
      <c r="AQ52" s="56">
        <f>SUM(F20:F51)/SUM(AO20:AO51)</f>
        <v>2.6947368421052631</v>
      </c>
      <c r="AR52" s="57">
        <f>AVERAGE(AR20:AR51)</f>
        <v>7.7142857142857144</v>
      </c>
      <c r="AS52" s="58">
        <f>AVERAGE(AS20:AS51)</f>
        <v>9.9999999999999995E-7</v>
      </c>
      <c r="AT52" s="56" t="e">
        <f>AVERAGE(AT20:AT51)</f>
        <v>#DIV/0!</v>
      </c>
      <c r="AU52" s="56">
        <f>SUM(G20:G51)/SUM(AS20:AS51)</f>
        <v>0</v>
      </c>
      <c r="AV52" s="57" t="e">
        <f>AVERAGE(AV20:AV51)</f>
        <v>#DIV/0!</v>
      </c>
      <c r="AW52" s="58">
        <f>AVERAGE(AW20:AW51)</f>
        <v>5.0000000833333331</v>
      </c>
      <c r="AX52" s="56" t="e">
        <f>AVERAGE(AX20:AX51)</f>
        <v>#DIV/0!</v>
      </c>
      <c r="AY52" s="56">
        <f>SUM(H20:H51)/SUM(AW20:AW51)</f>
        <v>1.2149999797500004</v>
      </c>
      <c r="AZ52" s="57">
        <f>AVERAGE(AZ20:AZ51)</f>
        <v>7.4444444444444446</v>
      </c>
      <c r="BA52" s="58">
        <f>AVERAGE(BA20:BA51)</f>
        <v>9.9999999999999995E-7</v>
      </c>
      <c r="BB52" s="56" t="e">
        <f>AVERAGE(BB20:BB51)</f>
        <v>#DIV/0!</v>
      </c>
      <c r="BC52" s="56">
        <f>SUM(I20:I51)/SUM(BA20:BA51)</f>
        <v>0</v>
      </c>
      <c r="BD52" s="57" t="e">
        <f>AVERAGE(BD20:BD51)</f>
        <v>#DIV/0!</v>
      </c>
      <c r="BE52" s="58">
        <f>AVERAGE(BE20:BE51)</f>
        <v>9.9999999999999995E-7</v>
      </c>
      <c r="BF52" s="56" t="e">
        <f>AVERAGE(BF20:BF51)</f>
        <v>#DIV/0!</v>
      </c>
      <c r="BG52" s="56">
        <f>SUM(J20:J51)/SUM(BE20:BE51)</f>
        <v>0</v>
      </c>
      <c r="BH52" s="57" t="e">
        <f>AVERAGE(BH20:BH51)</f>
        <v>#DIV/0!</v>
      </c>
      <c r="BI52" s="58">
        <f>AVERAGE(BI20:BI51)</f>
        <v>5.9166667500000001</v>
      </c>
      <c r="BJ52" s="56">
        <f>AVERAGE(BJ20:BJ51)</f>
        <v>1.5111111111111113</v>
      </c>
      <c r="BK52" s="56">
        <f>SUM(K20:K51)/SUM(BI20:BI51)</f>
        <v>0</v>
      </c>
      <c r="BL52" s="57">
        <f>AVERAGE(BL20:BL51)</f>
        <v>7.4444444444444446</v>
      </c>
    </row>
    <row r="53" spans="2:64" x14ac:dyDescent="0.3">
      <c r="N53" s="34" t="s">
        <v>30</v>
      </c>
      <c r="O53" s="29"/>
      <c r="P53" s="89"/>
      <c r="Q53" s="89"/>
      <c r="R53" s="38"/>
      <c r="S53" s="18"/>
      <c r="T53" s="4"/>
      <c r="U53" s="4"/>
      <c r="V53" s="4"/>
      <c r="W53" s="5">
        <f>SUM(D20:D51)/SUM(U20:U51)</f>
        <v>0</v>
      </c>
      <c r="X53" s="38"/>
      <c r="Y53" s="58"/>
      <c r="Z53" s="56"/>
      <c r="AA53" s="56"/>
      <c r="AB53" s="56"/>
      <c r="AC53" s="77">
        <f>SUM(B20:B51)/SUM(AA20:AA51)</f>
        <v>0</v>
      </c>
      <c r="AD53" s="78"/>
      <c r="AE53" s="79"/>
      <c r="AF53" s="56"/>
      <c r="AG53" s="56"/>
      <c r="AH53" s="56"/>
      <c r="AI53" s="77">
        <f>SUM(C20:C51)/SUM(AG20:AG51)</f>
        <v>2.8297297297297295</v>
      </c>
      <c r="AJ53" s="80"/>
      <c r="AK53" s="29"/>
      <c r="AL53" s="5"/>
      <c r="AM53" s="5"/>
      <c r="AN53" s="12"/>
      <c r="AO53" s="29"/>
      <c r="AP53" s="29"/>
      <c r="AQ53" s="5"/>
      <c r="AR53" s="12"/>
      <c r="AS53" s="21"/>
      <c r="AT53" s="29"/>
      <c r="AU53" s="5"/>
      <c r="AV53" s="12"/>
      <c r="AW53" s="21"/>
      <c r="AX53" s="29"/>
      <c r="AY53" s="5"/>
      <c r="AZ53" s="12"/>
      <c r="BA53" s="21"/>
      <c r="BB53" s="29"/>
      <c r="BC53" s="5"/>
      <c r="BD53" s="12"/>
      <c r="BE53" s="21"/>
      <c r="BF53" s="29"/>
      <c r="BG53" s="5"/>
      <c r="BH53" s="12"/>
      <c r="BI53" s="21"/>
      <c r="BJ53" s="29"/>
      <c r="BK53" s="5"/>
      <c r="BL53" s="12"/>
    </row>
    <row r="54" spans="2:64" x14ac:dyDescent="0.3">
      <c r="N54" s="34" t="s">
        <v>11</v>
      </c>
      <c r="O54" s="29"/>
      <c r="P54" s="89"/>
      <c r="Q54" s="89"/>
      <c r="R54" s="38"/>
      <c r="S54" s="21"/>
      <c r="T54" s="5"/>
      <c r="U54" s="5"/>
      <c r="V54" s="5"/>
      <c r="W54" s="5"/>
      <c r="X54" s="12"/>
      <c r="Y54" s="18"/>
      <c r="Z54" s="4"/>
      <c r="AA54" s="4"/>
      <c r="AB54" s="4"/>
      <c r="AC54" s="5"/>
      <c r="AD54" s="38"/>
      <c r="AE54" s="11"/>
      <c r="AF54" s="4"/>
      <c r="AG54" s="4"/>
      <c r="AH54" s="4"/>
      <c r="AI54" s="5"/>
      <c r="AJ54" s="12"/>
      <c r="AK54" s="29"/>
      <c r="AL54" s="5"/>
      <c r="AM54" s="5"/>
      <c r="AN54" s="12"/>
      <c r="AO54" s="29"/>
      <c r="AP54" s="29"/>
      <c r="AQ54" s="5"/>
      <c r="AR54" s="12"/>
      <c r="AS54" s="21"/>
      <c r="AT54" s="29"/>
      <c r="AU54" s="5"/>
      <c r="AV54" s="12"/>
      <c r="AW54" s="21"/>
      <c r="AX54" s="29"/>
      <c r="AY54" s="5"/>
      <c r="AZ54" s="12"/>
      <c r="BA54" s="21"/>
      <c r="BB54" s="29"/>
      <c r="BC54" s="5"/>
      <c r="BD54" s="12"/>
      <c r="BE54" s="21"/>
      <c r="BF54" s="29"/>
      <c r="BG54" s="5"/>
      <c r="BH54" s="12"/>
      <c r="BI54" s="21"/>
      <c r="BJ54" s="29"/>
      <c r="BK54" s="5"/>
      <c r="BL54" s="12"/>
    </row>
    <row r="55" spans="2:64" ht="15" thickBot="1" x14ac:dyDescent="0.35">
      <c r="N55" s="35" t="s">
        <v>12</v>
      </c>
      <c r="O55" s="30"/>
      <c r="P55" s="90"/>
      <c r="Q55" s="90"/>
      <c r="R55" s="39"/>
      <c r="S55" s="22"/>
      <c r="T55" s="15"/>
      <c r="U55" s="15"/>
      <c r="V55" s="15"/>
      <c r="W55" s="15"/>
      <c r="X55" s="16"/>
      <c r="Y55" s="19"/>
      <c r="Z55" s="14"/>
      <c r="AA55" s="14"/>
      <c r="AB55" s="14"/>
      <c r="AC55" s="15"/>
      <c r="AD55" s="39"/>
      <c r="AE55" s="13"/>
      <c r="AF55" s="14"/>
      <c r="AG55" s="14"/>
      <c r="AH55" s="14"/>
      <c r="AI55" s="15"/>
      <c r="AJ55" s="16"/>
      <c r="AK55" s="30"/>
      <c r="AL55" s="15"/>
      <c r="AM55" s="15"/>
      <c r="AN55" s="16"/>
      <c r="AO55" s="30"/>
      <c r="AP55" s="30"/>
      <c r="AQ55" s="15"/>
      <c r="AR55" s="16"/>
      <c r="AS55" s="22"/>
      <c r="AT55" s="30"/>
      <c r="AU55" s="15"/>
      <c r="AV55" s="16"/>
      <c r="AW55" s="22"/>
      <c r="AX55" s="30"/>
      <c r="AY55" s="15"/>
      <c r="AZ55" s="16"/>
      <c r="BA55" s="22"/>
      <c r="BB55" s="30"/>
      <c r="BC55" s="15"/>
      <c r="BD55" s="16"/>
      <c r="BE55" s="22"/>
      <c r="BF55" s="30"/>
      <c r="BG55" s="15"/>
      <c r="BH55" s="16"/>
      <c r="BI55" s="22"/>
      <c r="BJ55" s="30"/>
      <c r="BK55" s="15"/>
      <c r="BL55" s="16"/>
    </row>
    <row r="60" spans="2:64" ht="15" thickBot="1" x14ac:dyDescent="0.35">
      <c r="U60">
        <f>T13</f>
        <v>0</v>
      </c>
      <c r="V60" t="s">
        <v>33</v>
      </c>
    </row>
    <row r="61" spans="2:64" ht="15" thickBot="1" x14ac:dyDescent="0.35">
      <c r="B61" s="59" t="s">
        <v>44</v>
      </c>
      <c r="C61" s="60"/>
      <c r="D61" s="61"/>
      <c r="E61" s="47"/>
      <c r="F61" s="47"/>
      <c r="I61" s="47"/>
      <c r="J61" s="47"/>
      <c r="K61" s="47"/>
      <c r="O61" t="s">
        <v>161</v>
      </c>
    </row>
    <row r="62" spans="2:64" ht="15" thickBot="1" x14ac:dyDescent="0.35">
      <c r="B62" s="73" t="str">
        <f>V62</f>
        <v>D, см</v>
      </c>
      <c r="C62" s="74" t="str">
        <f>W62</f>
        <v>h, м</v>
      </c>
      <c r="D62" s="75" t="str">
        <f>X62</f>
        <v>A, лет</v>
      </c>
      <c r="E62" s="47"/>
      <c r="F62" s="47"/>
      <c r="I62" s="47"/>
      <c r="J62" s="47"/>
      <c r="K62" s="47"/>
      <c r="O62" s="115"/>
      <c r="P62" s="116"/>
      <c r="Q62" s="116"/>
      <c r="R62" s="116"/>
      <c r="S62" s="116"/>
      <c r="T62" s="116"/>
      <c r="U62" s="116" t="s">
        <v>24</v>
      </c>
      <c r="V62" s="116" t="str">
        <f>AB19</f>
        <v>D, см</v>
      </c>
      <c r="W62" s="116" t="str">
        <f>AC19</f>
        <v>h, м</v>
      </c>
      <c r="X62" s="117" t="str">
        <f>AD19</f>
        <v>A, лет</v>
      </c>
    </row>
    <row r="63" spans="2:64" x14ac:dyDescent="0.3">
      <c r="B63" s="81" t="e">
        <f>V63*U63</f>
        <v>#DIV/0!</v>
      </c>
      <c r="C63" s="82">
        <f>W63*U63</f>
        <v>1.1272025537901056E-7</v>
      </c>
      <c r="D63" s="83" t="e">
        <f>X63*U63</f>
        <v>#DIV/0!</v>
      </c>
      <c r="E63" s="47"/>
      <c r="F63" s="85"/>
      <c r="H63" s="47"/>
      <c r="I63" s="47"/>
      <c r="J63" s="47"/>
      <c r="K63" s="47"/>
      <c r="O63" s="138">
        <f t="shared" ref="O63:O72" si="11">U63/$U$75*10</f>
        <v>9.0771537097100259E-8</v>
      </c>
      <c r="P63" s="139"/>
      <c r="Q63" s="139"/>
      <c r="R63" s="47" t="str">
        <f>S18</f>
        <v>Сосна</v>
      </c>
      <c r="S63" s="47"/>
      <c r="T63" s="47"/>
      <c r="U63" s="123">
        <f>SUM(S52:U52)/(AE16*AE16*3.15/10000*1000)</f>
        <v>2.5048945639780124E-7</v>
      </c>
      <c r="V63" s="139" t="e">
        <f>V52</f>
        <v>#DIV/0!</v>
      </c>
      <c r="W63" s="139">
        <f>W52</f>
        <v>0.45</v>
      </c>
      <c r="X63" s="140" t="e">
        <f>X52</f>
        <v>#DIV/0!</v>
      </c>
      <c r="Y63" s="55"/>
    </row>
    <row r="64" spans="2:64" x14ac:dyDescent="0.3">
      <c r="B64" s="81" t="e">
        <f t="shared" ref="B64:B72" si="12">V64*U64</f>
        <v>#DIV/0!</v>
      </c>
      <c r="C64" s="82">
        <f t="shared" ref="C64:C72" si="13">W64*U64</f>
        <v>1.352643064548127E-6</v>
      </c>
      <c r="D64" s="83" t="e">
        <f t="shared" ref="D64:D72" si="14">X64*U64</f>
        <v>#DIV/0!</v>
      </c>
      <c r="E64" s="47"/>
      <c r="F64" s="85"/>
      <c r="H64" s="47"/>
      <c r="I64" s="47"/>
      <c r="J64" s="47"/>
      <c r="K64" s="47"/>
      <c r="O64" s="138">
        <f t="shared" si="11"/>
        <v>1.0892584451652032E-6</v>
      </c>
      <c r="P64" s="139"/>
      <c r="Q64" s="139"/>
      <c r="R64" s="47" t="str">
        <f>Y18</f>
        <v>Ель из подроста</v>
      </c>
      <c r="S64" s="47"/>
      <c r="T64" s="47"/>
      <c r="U64" s="123">
        <f>SUM(Y52:AA52)/(AE16*AE16*3.15/10000*1000)</f>
        <v>3.0058734767736153E-6</v>
      </c>
      <c r="V64" s="139" t="e">
        <f>AB52</f>
        <v>#DIV/0!</v>
      </c>
      <c r="W64" s="139">
        <f>AC52</f>
        <v>0.45</v>
      </c>
      <c r="X64" s="140" t="e">
        <f>AD52</f>
        <v>#DIV/0!</v>
      </c>
      <c r="Y64" s="55"/>
    </row>
    <row r="65" spans="2:25" x14ac:dyDescent="0.3">
      <c r="B65" s="81" t="e">
        <f t="shared" si="12"/>
        <v>#DIV/0!</v>
      </c>
      <c r="C65" s="82">
        <f t="shared" si="13"/>
        <v>6.5252503391627226</v>
      </c>
      <c r="D65" s="83">
        <f t="shared" si="14"/>
        <v>35.819992264885585</v>
      </c>
      <c r="E65" s="47"/>
      <c r="F65" s="47"/>
      <c r="G65" s="47"/>
      <c r="H65" s="47"/>
      <c r="I65" s="47"/>
      <c r="J65" s="47"/>
      <c r="K65" s="47"/>
      <c r="O65" s="138">
        <f t="shared" si="11"/>
        <v>1.4977303621021545</v>
      </c>
      <c r="P65" s="139"/>
      <c r="Q65" s="139"/>
      <c r="R65" s="47" t="str">
        <f>AE18</f>
        <v>ЕЛЬ лесные культуры</v>
      </c>
      <c r="S65" s="47"/>
      <c r="T65" s="47"/>
      <c r="U65" s="123">
        <f>SUM(AE52:AG52)/(AE16*AE16*3.15/10000*1000)</f>
        <v>4.1330760305637213</v>
      </c>
      <c r="V65" s="139" t="e">
        <f>AH52</f>
        <v>#DIV/0!</v>
      </c>
      <c r="W65" s="139">
        <f>AI52</f>
        <v>1.5787878787878786</v>
      </c>
      <c r="X65" s="140">
        <f>AJ52</f>
        <v>8.6666666666666661</v>
      </c>
      <c r="Y65" s="55"/>
    </row>
    <row r="66" spans="2:25" x14ac:dyDescent="0.3">
      <c r="B66" s="81" t="e">
        <f t="shared" si="12"/>
        <v>#DIV/0!</v>
      </c>
      <c r="C66" s="82">
        <f t="shared" si="13"/>
        <v>22.544051075802116</v>
      </c>
      <c r="D66" s="83">
        <f t="shared" si="14"/>
        <v>69.201887154165917</v>
      </c>
      <c r="E66" s="47"/>
      <c r="F66" s="47"/>
      <c r="G66" s="47"/>
      <c r="H66" s="47"/>
      <c r="I66" s="47"/>
      <c r="J66" s="47"/>
      <c r="K66" s="47"/>
      <c r="O66" s="138">
        <f t="shared" si="11"/>
        <v>3.3888040516250766</v>
      </c>
      <c r="P66" s="139"/>
      <c r="Q66" s="139"/>
      <c r="R66" s="47" t="str">
        <f>AK18</f>
        <v>Берёза</v>
      </c>
      <c r="S66" s="47"/>
      <c r="T66" s="47"/>
      <c r="U66" s="123">
        <f>AK52/(AE16*AE16*3.15/10000*1000)</f>
        <v>9.3516063721845821</v>
      </c>
      <c r="V66" s="139" t="e">
        <f>AL52</f>
        <v>#DIV/0!</v>
      </c>
      <c r="W66" s="139">
        <f>AM52</f>
        <v>2.4107142857142856</v>
      </c>
      <c r="X66" s="140">
        <f>AN52</f>
        <v>7.4</v>
      </c>
      <c r="Y66" s="55"/>
    </row>
    <row r="67" spans="2:25" x14ac:dyDescent="0.3">
      <c r="B67" s="81" t="e">
        <f t="shared" si="12"/>
        <v>#DIV/0!</v>
      </c>
      <c r="C67" s="82">
        <f t="shared" si="13"/>
        <v>8.5500401117116169</v>
      </c>
      <c r="D67" s="83">
        <f t="shared" si="14"/>
        <v>24.47639831087087</v>
      </c>
      <c r="E67" s="47"/>
      <c r="F67" s="47"/>
      <c r="G67" s="47"/>
      <c r="H67" s="47"/>
      <c r="I67" s="47"/>
      <c r="J67" s="47"/>
      <c r="K67" s="47"/>
      <c r="O67" s="138">
        <f t="shared" si="11"/>
        <v>1.1497728032299368</v>
      </c>
      <c r="P67" s="139"/>
      <c r="Q67" s="139"/>
      <c r="R67" s="47" t="str">
        <f>AO18</f>
        <v>Осина</v>
      </c>
      <c r="S67" s="47"/>
      <c r="T67" s="47"/>
      <c r="U67" s="123">
        <f>AO52/(AE16*AE16*3.15/10000*1000)</f>
        <v>3.1728664477054829</v>
      </c>
      <c r="V67" s="139" t="e">
        <f>AP52</f>
        <v>#DIV/0!</v>
      </c>
      <c r="W67" s="139">
        <f>AQ52</f>
        <v>2.6947368421052631</v>
      </c>
      <c r="X67" s="140">
        <f>AR52</f>
        <v>7.7142857142857144</v>
      </c>
      <c r="Y67" s="55"/>
    </row>
    <row r="68" spans="2:25" x14ac:dyDescent="0.3">
      <c r="B68" s="81" t="e">
        <f t="shared" si="12"/>
        <v>#DIV/0!</v>
      </c>
      <c r="C68" s="82">
        <f t="shared" si="13"/>
        <v>0</v>
      </c>
      <c r="D68" s="83" t="e">
        <f t="shared" si="14"/>
        <v>#DIV/0!</v>
      </c>
      <c r="E68" s="47"/>
      <c r="F68" s="47"/>
      <c r="G68" s="47"/>
      <c r="H68" s="47"/>
      <c r="I68" s="47"/>
      <c r="J68" s="47"/>
      <c r="K68" s="47"/>
      <c r="O68" s="138">
        <f t="shared" si="11"/>
        <v>3.6308614838840104E-7</v>
      </c>
      <c r="P68" s="139"/>
      <c r="Q68" s="139"/>
      <c r="R68" s="47" t="str">
        <f>AS18</f>
        <v>Ольха серая</v>
      </c>
      <c r="S68" s="47"/>
      <c r="T68" s="47"/>
      <c r="U68" s="123">
        <f>AS52/(AE16*AE16*3.15/10000*1000)</f>
        <v>1.001957825591205E-6</v>
      </c>
      <c r="V68" s="139" t="e">
        <f>AT52</f>
        <v>#DIV/0!</v>
      </c>
      <c r="W68" s="139">
        <f>AU52</f>
        <v>0</v>
      </c>
      <c r="X68" s="140" t="e">
        <f>AV52</f>
        <v>#DIV/0!</v>
      </c>
      <c r="Y68" s="55"/>
    </row>
    <row r="69" spans="2:25" x14ac:dyDescent="0.3">
      <c r="B69" s="81" t="e">
        <f t="shared" si="12"/>
        <v>#DIV/0!</v>
      </c>
      <c r="C69" s="82">
        <f t="shared" si="13"/>
        <v>6.0868937904665712</v>
      </c>
      <c r="D69" s="83">
        <f t="shared" si="14"/>
        <v>37.295097463035361</v>
      </c>
      <c r="E69" s="47"/>
      <c r="F69" s="47"/>
      <c r="G69" s="47"/>
      <c r="H69" s="47"/>
      <c r="I69" s="47"/>
      <c r="J69" s="47"/>
      <c r="K69" s="47"/>
      <c r="O69" s="138">
        <f t="shared" si="11"/>
        <v>1.8154307721991845</v>
      </c>
      <c r="P69" s="139"/>
      <c r="Q69" s="139"/>
      <c r="R69" s="47" t="str">
        <f>AW18</f>
        <v>Ива</v>
      </c>
      <c r="S69" s="47"/>
      <c r="T69" s="47"/>
      <c r="U69" s="123">
        <f>AW52/(AE16*AE16*3.15/10000*1000)</f>
        <v>5.0097892114525111</v>
      </c>
      <c r="V69" s="139" t="e">
        <f>AX52</f>
        <v>#DIV/0!</v>
      </c>
      <c r="W69" s="139">
        <f>AY52</f>
        <v>1.2149999797500004</v>
      </c>
      <c r="X69" s="140">
        <f>AZ52</f>
        <v>7.4444444444444446</v>
      </c>
      <c r="Y69" s="55"/>
    </row>
    <row r="70" spans="2:25" x14ac:dyDescent="0.3">
      <c r="B70" s="81" t="e">
        <f t="shared" si="12"/>
        <v>#DIV/0!</v>
      </c>
      <c r="C70" s="82">
        <f t="shared" si="13"/>
        <v>0</v>
      </c>
      <c r="D70" s="83" t="e">
        <f t="shared" si="14"/>
        <v>#DIV/0!</v>
      </c>
      <c r="E70" s="47"/>
      <c r="F70" s="47"/>
      <c r="G70" s="47"/>
      <c r="H70" s="47"/>
      <c r="I70" s="47"/>
      <c r="J70" s="47"/>
      <c r="K70" s="47"/>
      <c r="O70" s="138">
        <f t="shared" si="11"/>
        <v>3.6308614838840104E-7</v>
      </c>
      <c r="P70" s="139"/>
      <c r="Q70" s="139"/>
      <c r="R70" s="47" t="str">
        <f>BA18</f>
        <v>Чёрёмуха</v>
      </c>
      <c r="S70" s="47"/>
      <c r="T70" s="47"/>
      <c r="U70" s="123">
        <f>BA52/(AE16*AE16*3.15/10000*1000)</f>
        <v>1.001957825591205E-6</v>
      </c>
      <c r="V70" s="139" t="e">
        <f>BB52</f>
        <v>#DIV/0!</v>
      </c>
      <c r="W70" s="139">
        <f>BC52</f>
        <v>0</v>
      </c>
      <c r="X70" s="140" t="e">
        <f>BD52</f>
        <v>#DIV/0!</v>
      </c>
      <c r="Y70" s="55"/>
    </row>
    <row r="71" spans="2:25" x14ac:dyDescent="0.3">
      <c r="B71" s="81" t="e">
        <f t="shared" si="12"/>
        <v>#DIV/0!</v>
      </c>
      <c r="C71" s="82">
        <f t="shared" si="13"/>
        <v>0</v>
      </c>
      <c r="D71" s="83" t="e">
        <f t="shared" si="14"/>
        <v>#DIV/0!</v>
      </c>
      <c r="E71" s="47"/>
      <c r="F71" s="47"/>
      <c r="G71" s="47"/>
      <c r="H71" s="47"/>
      <c r="I71" s="47"/>
      <c r="J71" s="47"/>
      <c r="K71" s="47"/>
      <c r="O71" s="138">
        <f t="shared" si="11"/>
        <v>3.6308614838840104E-7</v>
      </c>
      <c r="P71" s="139"/>
      <c r="Q71" s="139"/>
      <c r="R71" s="47" t="str">
        <f>BE18</f>
        <v>Дуб</v>
      </c>
      <c r="S71" s="47"/>
      <c r="T71" s="47"/>
      <c r="U71" s="123">
        <f>BE52/(AE16*AE16*3.15/10000*1000)</f>
        <v>1.001957825591205E-6</v>
      </c>
      <c r="V71" s="139" t="e">
        <f>BF52</f>
        <v>#DIV/0!</v>
      </c>
      <c r="W71" s="139">
        <f>BG52</f>
        <v>0</v>
      </c>
      <c r="X71" s="140" t="e">
        <f>BH52</f>
        <v>#DIV/0!</v>
      </c>
      <c r="Y71" s="55"/>
    </row>
    <row r="72" spans="2:25" x14ac:dyDescent="0.3">
      <c r="B72" s="81">
        <f t="shared" si="12"/>
        <v>8.9582452779397617</v>
      </c>
      <c r="C72" s="82">
        <f t="shared" si="13"/>
        <v>0</v>
      </c>
      <c r="D72" s="83">
        <f t="shared" si="14"/>
        <v>44.132531883967943</v>
      </c>
      <c r="E72" s="47"/>
      <c r="F72" s="47"/>
      <c r="G72" s="47"/>
      <c r="H72" s="47"/>
      <c r="I72" s="47"/>
      <c r="J72" s="47"/>
      <c r="K72" s="47"/>
      <c r="O72" s="138">
        <f t="shared" si="11"/>
        <v>2.1482597415552189</v>
      </c>
      <c r="P72" s="139"/>
      <c r="Q72" s="139"/>
      <c r="R72" s="47" t="str">
        <f>BI18</f>
        <v>Рябина</v>
      </c>
      <c r="S72" s="47"/>
      <c r="T72" s="47"/>
      <c r="U72" s="123">
        <f>BI52/(AE16*AE16*3.15/10000*1000)</f>
        <v>5.9282505515777828</v>
      </c>
      <c r="V72" s="139">
        <f>BJ52</f>
        <v>1.5111111111111113</v>
      </c>
      <c r="W72" s="139">
        <f>BK52</f>
        <v>0</v>
      </c>
      <c r="X72" s="140">
        <f>BL52</f>
        <v>7.4444444444444446</v>
      </c>
      <c r="Y72" s="55"/>
    </row>
    <row r="73" spans="2:25" x14ac:dyDescent="0.3">
      <c r="B73" s="62">
        <f>AC72*AA72</f>
        <v>0</v>
      </c>
      <c r="C73" s="71">
        <f>AI72*AG72</f>
        <v>0</v>
      </c>
      <c r="D73" s="63"/>
      <c r="E73" s="47"/>
      <c r="F73" s="47"/>
      <c r="G73" s="47"/>
      <c r="H73" s="47"/>
      <c r="I73" s="47"/>
      <c r="J73" s="47"/>
      <c r="K73" s="47"/>
      <c r="O73" s="118"/>
      <c r="P73" s="47"/>
      <c r="Q73" s="47"/>
      <c r="R73" s="47"/>
      <c r="S73" s="47"/>
      <c r="T73" s="47"/>
      <c r="U73" s="141"/>
      <c r="V73" s="141"/>
      <c r="W73" s="141"/>
      <c r="X73" s="140"/>
      <c r="Y73" s="55"/>
    </row>
    <row r="74" spans="2:25" x14ac:dyDescent="0.3">
      <c r="B74" s="62">
        <f>AC73*AA73</f>
        <v>0</v>
      </c>
      <c r="C74" s="71">
        <f>AI73*AG73</f>
        <v>0</v>
      </c>
      <c r="D74" s="63">
        <f>W73*U73</f>
        <v>0</v>
      </c>
      <c r="E74" s="47"/>
      <c r="F74" s="47"/>
      <c r="G74" s="47"/>
      <c r="H74" s="47"/>
      <c r="I74" s="47"/>
      <c r="J74" s="47"/>
      <c r="K74" s="47"/>
      <c r="O74" s="118"/>
      <c r="P74" s="47"/>
      <c r="Q74" s="47"/>
      <c r="R74" s="47"/>
      <c r="S74" s="47"/>
      <c r="T74" s="47"/>
      <c r="U74" s="141"/>
      <c r="V74" s="141"/>
      <c r="W74" s="141"/>
      <c r="X74" s="140"/>
      <c r="Y74" s="55"/>
    </row>
    <row r="75" spans="2:25" x14ac:dyDescent="0.3">
      <c r="B75" s="62">
        <f>AC74*AA74</f>
        <v>0</v>
      </c>
      <c r="C75" s="71">
        <f>AI74*AG74</f>
        <v>0</v>
      </c>
      <c r="D75" s="63">
        <f>W74*U74</f>
        <v>0</v>
      </c>
      <c r="E75" s="47"/>
      <c r="F75" s="47"/>
      <c r="G75" s="47"/>
      <c r="H75" s="47"/>
      <c r="I75" s="47"/>
      <c r="J75" s="47"/>
      <c r="K75" s="47"/>
      <c r="O75" s="142">
        <f>SUM(O63:O72)</f>
        <v>10</v>
      </c>
      <c r="P75" s="143"/>
      <c r="Q75" s="143"/>
      <c r="R75" s="45" t="s">
        <v>27</v>
      </c>
      <c r="S75" s="45"/>
      <c r="T75" s="45"/>
      <c r="U75" s="144">
        <f>SUM(U63:U72)</f>
        <v>27.595594875720494</v>
      </c>
      <c r="V75" s="144" t="e">
        <f>SUM(B63:B72)/$U$75</f>
        <v>#DIV/0!</v>
      </c>
      <c r="W75" s="144">
        <f>SUM(C63:C72)/$U$75</f>
        <v>1.5838120895505869</v>
      </c>
      <c r="X75" s="145" t="e">
        <f>SUM(D63:D72)/$U$75</f>
        <v>#DIV/0!</v>
      </c>
      <c r="Y75" s="55"/>
    </row>
    <row r="76" spans="2:25" x14ac:dyDescent="0.3">
      <c r="B76" s="62">
        <f>AC75*AA75</f>
        <v>0</v>
      </c>
      <c r="C76" s="71">
        <f>AI75*AG75</f>
        <v>0</v>
      </c>
      <c r="D76" s="63"/>
      <c r="E76" s="47"/>
      <c r="F76" s="47"/>
      <c r="G76" s="47"/>
      <c r="H76" s="47"/>
      <c r="I76" s="47"/>
      <c r="J76" s="47"/>
      <c r="K76" s="47"/>
    </row>
    <row r="77" spans="2:25" ht="15" thickBot="1" x14ac:dyDescent="0.35">
      <c r="B77" s="64">
        <f>AC93*AA93</f>
        <v>0</v>
      </c>
      <c r="C77" s="72">
        <f>AI93*AG93</f>
        <v>0</v>
      </c>
      <c r="D77" s="66">
        <f>W93*U93</f>
        <v>0</v>
      </c>
      <c r="E77" s="47"/>
      <c r="F77" s="47"/>
      <c r="G77" s="47"/>
      <c r="H77" s="47"/>
      <c r="I77" s="47"/>
      <c r="J77" s="47"/>
      <c r="K77" s="47"/>
    </row>
  </sheetData>
  <mergeCells count="11">
    <mergeCell ref="AS18:AV18"/>
    <mergeCell ref="AW18:AZ18"/>
    <mergeCell ref="BA18:BD18"/>
    <mergeCell ref="BE18:BH18"/>
    <mergeCell ref="BI18:BL18"/>
    <mergeCell ref="O18:R18"/>
    <mergeCell ref="S18:X18"/>
    <mergeCell ref="Y18:AD18"/>
    <mergeCell ref="AE18:AJ18"/>
    <mergeCell ref="AK18:AN18"/>
    <mergeCell ref="AO18:AR18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BL77"/>
  <sheetViews>
    <sheetView zoomScale="80" zoomScaleNormal="80" workbookViewId="0">
      <pane xSplit="18" ySplit="19" topLeftCell="S20" activePane="bottomRight" state="frozen"/>
      <selection pane="topRight" activeCell="Q1" sqref="Q1"/>
      <selection pane="bottomLeft" activeCell="A11" sqref="A11"/>
      <selection pane="bottomRight" activeCell="X36" sqref="X36"/>
    </sheetView>
  </sheetViews>
  <sheetFormatPr defaultRowHeight="14.4" x14ac:dyDescent="0.3"/>
  <cols>
    <col min="2" max="2" width="16.109375" hidden="1" customWidth="1"/>
    <col min="3" max="3" width="17.5546875" hidden="1" customWidth="1"/>
    <col min="4" max="11" width="12.88671875" hidden="1" customWidth="1"/>
    <col min="18" max="18" width="11" customWidth="1"/>
    <col min="21" max="21" width="9" customWidth="1"/>
    <col min="34" max="56" width="9.88671875" bestFit="1" customWidth="1"/>
  </cols>
  <sheetData>
    <row r="1" spans="14:39" ht="15.75" thickBot="1" x14ac:dyDescent="0.3"/>
    <row r="2" spans="14:39" x14ac:dyDescent="0.3">
      <c r="V2" s="59"/>
      <c r="W2" s="67" t="s">
        <v>38</v>
      </c>
      <c r="X2" s="67"/>
      <c r="Y2" s="60"/>
      <c r="Z2" s="60"/>
      <c r="AA2" s="60"/>
      <c r="AB2" s="60"/>
      <c r="AC2" s="60"/>
      <c r="AD2" s="60"/>
      <c r="AE2" s="60">
        <v>8</v>
      </c>
      <c r="AF2" s="60" t="s">
        <v>142</v>
      </c>
      <c r="AG2" s="60"/>
      <c r="AH2" s="60"/>
      <c r="AI2" s="60"/>
      <c r="AJ2" s="60"/>
      <c r="AK2" s="60"/>
      <c r="AL2" s="60"/>
      <c r="AM2" s="61"/>
    </row>
    <row r="3" spans="14:39" x14ac:dyDescent="0.3">
      <c r="V3" s="62">
        <v>1</v>
      </c>
      <c r="W3" s="47" t="s">
        <v>158</v>
      </c>
      <c r="X3" s="47"/>
      <c r="Y3" s="47"/>
      <c r="Z3" s="47"/>
      <c r="AA3" s="47"/>
      <c r="AB3" s="47"/>
      <c r="AC3" s="47"/>
      <c r="AD3" s="47"/>
      <c r="AE3" s="47">
        <v>9</v>
      </c>
      <c r="AF3" s="47" t="s">
        <v>156</v>
      </c>
      <c r="AG3" s="47"/>
      <c r="AH3" s="47"/>
      <c r="AI3" s="47"/>
      <c r="AJ3" s="47"/>
      <c r="AK3" s="47"/>
      <c r="AL3" s="47"/>
      <c r="AM3" s="63"/>
    </row>
    <row r="4" spans="14:39" x14ac:dyDescent="0.3">
      <c r="V4" s="62">
        <v>2</v>
      </c>
      <c r="W4" s="47" t="s">
        <v>159</v>
      </c>
      <c r="X4" s="47"/>
      <c r="Y4" s="47"/>
      <c r="Z4" s="47"/>
      <c r="AA4" s="47"/>
      <c r="AB4" s="47"/>
      <c r="AC4" s="47"/>
      <c r="AD4" s="47"/>
      <c r="AE4" s="47">
        <v>10</v>
      </c>
      <c r="AF4" s="47" t="s">
        <v>157</v>
      </c>
      <c r="AG4" s="47"/>
      <c r="AH4" s="47"/>
      <c r="AI4" s="47"/>
      <c r="AJ4" s="47"/>
      <c r="AK4" s="47"/>
      <c r="AL4" s="47"/>
      <c r="AM4" s="63"/>
    </row>
    <row r="5" spans="14:39" x14ac:dyDescent="0.3">
      <c r="V5" s="62">
        <v>3</v>
      </c>
      <c r="W5" s="47" t="s">
        <v>34</v>
      </c>
      <c r="X5" s="47"/>
      <c r="Y5" s="47"/>
      <c r="Z5" s="47"/>
      <c r="AA5" s="47"/>
      <c r="AB5" s="47"/>
      <c r="AC5" s="47"/>
      <c r="AD5" s="47"/>
      <c r="AE5" s="47">
        <v>11</v>
      </c>
      <c r="AF5" s="47" t="s">
        <v>39</v>
      </c>
      <c r="AG5" s="47"/>
      <c r="AH5" s="47"/>
      <c r="AI5" s="47"/>
      <c r="AJ5" s="47"/>
      <c r="AK5" s="47"/>
      <c r="AL5" s="47"/>
      <c r="AM5" s="63"/>
    </row>
    <row r="6" spans="14:39" x14ac:dyDescent="0.3">
      <c r="V6" s="62">
        <v>4</v>
      </c>
      <c r="W6" s="47" t="s">
        <v>35</v>
      </c>
      <c r="X6" s="47"/>
      <c r="Y6" s="47"/>
      <c r="Z6" s="47"/>
      <c r="AA6" s="47"/>
      <c r="AB6" s="47"/>
      <c r="AC6" s="47"/>
      <c r="AD6" s="47"/>
      <c r="AE6" s="47">
        <v>12</v>
      </c>
      <c r="AF6" s="47" t="s">
        <v>40</v>
      </c>
      <c r="AG6" s="47"/>
      <c r="AH6" s="47"/>
      <c r="AI6" s="47"/>
      <c r="AJ6" s="47"/>
      <c r="AK6" s="47"/>
      <c r="AL6" s="47"/>
      <c r="AM6" s="63"/>
    </row>
    <row r="7" spans="14:39" x14ac:dyDescent="0.3">
      <c r="V7" s="62">
        <v>5</v>
      </c>
      <c r="W7" s="47" t="s">
        <v>36</v>
      </c>
      <c r="X7" s="47"/>
      <c r="Y7" s="47"/>
      <c r="Z7" s="47"/>
      <c r="AA7" s="47"/>
      <c r="AB7" s="47"/>
      <c r="AC7" s="47"/>
      <c r="AD7" s="47"/>
      <c r="AE7" s="47">
        <v>13</v>
      </c>
      <c r="AF7" s="47" t="s">
        <v>41</v>
      </c>
      <c r="AG7" s="47"/>
      <c r="AH7" s="47"/>
      <c r="AI7" s="47"/>
      <c r="AJ7" s="47"/>
      <c r="AK7" s="47"/>
      <c r="AL7" s="47"/>
      <c r="AM7" s="63"/>
    </row>
    <row r="8" spans="14:39" x14ac:dyDescent="0.3">
      <c r="V8" s="62">
        <v>6</v>
      </c>
      <c r="W8" s="47" t="s">
        <v>141</v>
      </c>
      <c r="X8" s="47"/>
      <c r="Y8" s="47"/>
      <c r="Z8" s="47"/>
      <c r="AA8" s="47"/>
      <c r="AB8" s="47"/>
      <c r="AC8" s="47"/>
      <c r="AD8" s="47"/>
      <c r="AE8" s="47">
        <v>14</v>
      </c>
      <c r="AF8" s="47"/>
      <c r="AG8" s="47"/>
      <c r="AH8" s="47"/>
      <c r="AI8" s="47"/>
      <c r="AJ8" s="47"/>
      <c r="AK8" s="47"/>
      <c r="AL8" s="47"/>
      <c r="AM8" s="63"/>
    </row>
    <row r="9" spans="14:39" ht="15" thickBot="1" x14ac:dyDescent="0.35">
      <c r="V9" s="64">
        <v>7</v>
      </c>
      <c r="W9" s="65" t="s">
        <v>37</v>
      </c>
      <c r="X9" s="65"/>
      <c r="Y9" s="65"/>
      <c r="Z9" s="65"/>
      <c r="AA9" s="65"/>
      <c r="AB9" s="65"/>
      <c r="AC9" s="65"/>
      <c r="AD9" s="65"/>
      <c r="AE9" s="65">
        <v>15</v>
      </c>
      <c r="AF9" s="65"/>
      <c r="AG9" s="65"/>
      <c r="AH9" s="65"/>
      <c r="AI9" s="65"/>
      <c r="AJ9" s="65"/>
      <c r="AK9" s="65"/>
      <c r="AL9" s="65"/>
      <c r="AM9" s="66"/>
    </row>
    <row r="13" spans="14:39" x14ac:dyDescent="0.3">
      <c r="N13" t="s">
        <v>32</v>
      </c>
      <c r="T13" s="45"/>
    </row>
    <row r="16" spans="14:39" x14ac:dyDescent="0.3">
      <c r="N16" s="46" t="s">
        <v>13</v>
      </c>
      <c r="S16">
        <v>1</v>
      </c>
      <c r="U16" s="45" t="s">
        <v>14</v>
      </c>
      <c r="V16" s="45"/>
      <c r="W16" s="45"/>
      <c r="X16" s="45" t="s">
        <v>15</v>
      </c>
      <c r="Y16" s="45"/>
      <c r="Z16" s="45" t="s">
        <v>16</v>
      </c>
      <c r="AA16" s="45"/>
      <c r="AB16" s="47"/>
      <c r="AC16" s="85" t="s">
        <v>45</v>
      </c>
      <c r="AE16" s="45">
        <v>1.78</v>
      </c>
      <c r="AG16" s="44" t="s">
        <v>28</v>
      </c>
      <c r="AI16" s="44"/>
    </row>
    <row r="17" spans="2:64" ht="15.75" thickBot="1" x14ac:dyDescent="0.3"/>
    <row r="18" spans="2:64" ht="15.6" thickTop="1" thickBot="1" x14ac:dyDescent="0.35">
      <c r="B18" s="59" t="s">
        <v>31</v>
      </c>
      <c r="C18" s="60"/>
      <c r="D18" s="60"/>
      <c r="E18" s="60"/>
      <c r="F18" s="60"/>
      <c r="G18" s="60"/>
      <c r="H18" s="60"/>
      <c r="I18" s="60"/>
      <c r="J18" s="60"/>
      <c r="K18" s="61"/>
      <c r="N18" s="1" t="s">
        <v>0</v>
      </c>
      <c r="O18" s="202" t="s">
        <v>1</v>
      </c>
      <c r="P18" s="194"/>
      <c r="Q18" s="194"/>
      <c r="R18" s="195"/>
      <c r="S18" s="193" t="s">
        <v>43</v>
      </c>
      <c r="T18" s="194"/>
      <c r="U18" s="194"/>
      <c r="V18" s="194"/>
      <c r="W18" s="194"/>
      <c r="X18" s="195"/>
      <c r="Y18" s="203" t="s">
        <v>17</v>
      </c>
      <c r="Z18" s="204"/>
      <c r="AA18" s="204"/>
      <c r="AB18" s="204"/>
      <c r="AC18" s="204"/>
      <c r="AD18" s="205"/>
      <c r="AE18" s="206" t="s">
        <v>18</v>
      </c>
      <c r="AF18" s="207"/>
      <c r="AG18" s="207"/>
      <c r="AH18" s="207"/>
      <c r="AI18" s="207"/>
      <c r="AJ18" s="208"/>
      <c r="AK18" s="193" t="s">
        <v>19</v>
      </c>
      <c r="AL18" s="194"/>
      <c r="AM18" s="194"/>
      <c r="AN18" s="195"/>
      <c r="AO18" s="193" t="s">
        <v>20</v>
      </c>
      <c r="AP18" s="194"/>
      <c r="AQ18" s="194"/>
      <c r="AR18" s="195"/>
      <c r="AS18" s="193" t="s">
        <v>21</v>
      </c>
      <c r="AT18" s="194"/>
      <c r="AU18" s="194"/>
      <c r="AV18" s="195"/>
      <c r="AW18" s="193" t="s">
        <v>26</v>
      </c>
      <c r="AX18" s="194"/>
      <c r="AY18" s="194"/>
      <c r="AZ18" s="195"/>
      <c r="BA18" s="193" t="s">
        <v>22</v>
      </c>
      <c r="BB18" s="194"/>
      <c r="BC18" s="194"/>
      <c r="BD18" s="195"/>
      <c r="BE18" s="193" t="s">
        <v>29</v>
      </c>
      <c r="BF18" s="194"/>
      <c r="BG18" s="194"/>
      <c r="BH18" s="195"/>
      <c r="BI18" s="193" t="s">
        <v>42</v>
      </c>
      <c r="BJ18" s="194"/>
      <c r="BK18" s="194"/>
      <c r="BL18" s="195"/>
    </row>
    <row r="19" spans="2:64" ht="21" thickBot="1" x14ac:dyDescent="0.35">
      <c r="B19" s="64" t="str">
        <f>Y18</f>
        <v>Ель из подроста</v>
      </c>
      <c r="C19" s="65" t="str">
        <f>AE18</f>
        <v>ЕЛЬ лесные культуры</v>
      </c>
      <c r="D19" s="65" t="str">
        <f>S18</f>
        <v>Сосна</v>
      </c>
      <c r="E19" s="65" t="str">
        <f>AK18</f>
        <v>Берёза</v>
      </c>
      <c r="F19" s="65" t="str">
        <f>AO18</f>
        <v>Осина</v>
      </c>
      <c r="G19" s="65" t="str">
        <f>AS18</f>
        <v>Ольха серая</v>
      </c>
      <c r="H19" s="65" t="str">
        <f>AW18</f>
        <v>Ива</v>
      </c>
      <c r="I19" s="65" t="str">
        <f>BA18</f>
        <v>Чёрёмуха</v>
      </c>
      <c r="J19" s="65" t="str">
        <f>BE18</f>
        <v>Дуб</v>
      </c>
      <c r="K19" s="66" t="str">
        <f>BI18</f>
        <v>Рябина</v>
      </c>
      <c r="L19" t="s">
        <v>46</v>
      </c>
      <c r="N19" s="31" t="s">
        <v>2</v>
      </c>
      <c r="O19" s="25" t="s">
        <v>3</v>
      </c>
      <c r="P19" s="86" t="s">
        <v>48</v>
      </c>
      <c r="Q19" s="86" t="s">
        <v>47</v>
      </c>
      <c r="R19" s="68" t="s">
        <v>4</v>
      </c>
      <c r="S19" s="41" t="s">
        <v>5</v>
      </c>
      <c r="T19" s="42" t="s">
        <v>6</v>
      </c>
      <c r="U19" s="42" t="s">
        <v>7</v>
      </c>
      <c r="V19" s="42" t="s">
        <v>23</v>
      </c>
      <c r="W19" s="43" t="s">
        <v>8</v>
      </c>
      <c r="X19" s="26" t="s">
        <v>9</v>
      </c>
      <c r="Y19" s="70" t="s">
        <v>5</v>
      </c>
      <c r="Z19" s="42" t="s">
        <v>6</v>
      </c>
      <c r="AA19" s="42" t="s">
        <v>7</v>
      </c>
      <c r="AB19" s="42" t="s">
        <v>23</v>
      </c>
      <c r="AC19" s="43" t="s">
        <v>8</v>
      </c>
      <c r="AD19" s="26" t="s">
        <v>9</v>
      </c>
      <c r="AE19" s="53" t="s">
        <v>5</v>
      </c>
      <c r="AF19" s="50" t="s">
        <v>6</v>
      </c>
      <c r="AG19" s="50" t="s">
        <v>7</v>
      </c>
      <c r="AH19" s="50" t="s">
        <v>23</v>
      </c>
      <c r="AI19" s="51" t="s">
        <v>8</v>
      </c>
      <c r="AJ19" s="54" t="s">
        <v>9</v>
      </c>
      <c r="AK19" s="49" t="s">
        <v>10</v>
      </c>
      <c r="AL19" s="50" t="s">
        <v>23</v>
      </c>
      <c r="AM19" s="51" t="s">
        <v>8</v>
      </c>
      <c r="AN19" s="52" t="s">
        <v>9</v>
      </c>
      <c r="AO19" s="25" t="s">
        <v>10</v>
      </c>
      <c r="AP19" s="42" t="s">
        <v>23</v>
      </c>
      <c r="AQ19" s="43" t="s">
        <v>8</v>
      </c>
      <c r="AR19" s="26" t="s">
        <v>9</v>
      </c>
      <c r="AS19" s="25" t="s">
        <v>10</v>
      </c>
      <c r="AT19" s="42" t="s">
        <v>23</v>
      </c>
      <c r="AU19" s="43" t="s">
        <v>8</v>
      </c>
      <c r="AV19" s="26" t="s">
        <v>9</v>
      </c>
      <c r="AW19" s="25" t="s">
        <v>10</v>
      </c>
      <c r="AX19" s="42" t="s">
        <v>23</v>
      </c>
      <c r="AY19" s="43" t="s">
        <v>8</v>
      </c>
      <c r="AZ19" s="26" t="s">
        <v>9</v>
      </c>
      <c r="BA19" s="25" t="s">
        <v>10</v>
      </c>
      <c r="BB19" s="42" t="s">
        <v>23</v>
      </c>
      <c r="BC19" s="43" t="s">
        <v>8</v>
      </c>
      <c r="BD19" s="26" t="s">
        <v>9</v>
      </c>
      <c r="BE19" s="25" t="s">
        <v>10</v>
      </c>
      <c r="BF19" s="42" t="s">
        <v>23</v>
      </c>
      <c r="BG19" s="43" t="s">
        <v>8</v>
      </c>
      <c r="BH19" s="26" t="s">
        <v>9</v>
      </c>
      <c r="BI19" s="25" t="s">
        <v>10</v>
      </c>
      <c r="BJ19" s="42" t="s">
        <v>23</v>
      </c>
      <c r="BK19" s="43" t="s">
        <v>8</v>
      </c>
      <c r="BL19" s="26" t="s">
        <v>9</v>
      </c>
    </row>
    <row r="20" spans="2:64" ht="15" x14ac:dyDescent="0.25">
      <c r="B20" s="62">
        <f>AC20*AA20</f>
        <v>0</v>
      </c>
      <c r="C20" s="47">
        <f>AI20*AG20</f>
        <v>0</v>
      </c>
      <c r="D20" s="47">
        <f>W20*U20</f>
        <v>0</v>
      </c>
      <c r="E20" s="47">
        <f>AK20*AM20</f>
        <v>0</v>
      </c>
      <c r="F20" s="47">
        <f>AO20*AQ20</f>
        <v>0</v>
      </c>
      <c r="G20" s="47">
        <f>AS20*AU20</f>
        <v>0</v>
      </c>
      <c r="H20" s="47">
        <f>AW20*AY20</f>
        <v>0</v>
      </c>
      <c r="I20" s="47">
        <f>BA20*BC20</f>
        <v>0</v>
      </c>
      <c r="J20" s="47">
        <f>BE20*BG20</f>
        <v>0</v>
      </c>
      <c r="K20" s="63">
        <f>BI20*BK20</f>
        <v>0</v>
      </c>
      <c r="L20" s="55">
        <f>SUM(S20:U20,Y20:AA20,AE20:AG20,AK20,AO20,AS20,AW20,BA20,BE20,BI20)/($AE$16*$AE$16*3.15/10000*1000)</f>
        <v>1.6031325209459283E-5</v>
      </c>
      <c r="N20" s="32">
        <v>1</v>
      </c>
      <c r="O20" s="27"/>
      <c r="P20" s="87"/>
      <c r="Q20" s="87"/>
      <c r="R20" s="69"/>
      <c r="S20" s="40">
        <v>9.9999999999999995E-7</v>
      </c>
      <c r="T20" s="40">
        <v>9.9999999999999995E-7</v>
      </c>
      <c r="U20" s="40">
        <v>9.9999999999999995E-7</v>
      </c>
      <c r="V20" s="40"/>
      <c r="W20" s="40"/>
      <c r="X20" s="24"/>
      <c r="Y20" s="40">
        <v>9.9999999999999995E-7</v>
      </c>
      <c r="Z20" s="40">
        <v>9.9999999999999995E-7</v>
      </c>
      <c r="AA20" s="40">
        <v>9.9999999999999995E-7</v>
      </c>
      <c r="AB20" s="6"/>
      <c r="AC20" s="7"/>
      <c r="AD20" s="36"/>
      <c r="AE20" s="40">
        <v>9.9999999999999995E-7</v>
      </c>
      <c r="AF20" s="40">
        <v>9.9999999999999995E-7</v>
      </c>
      <c r="AG20" s="40">
        <v>9.9999999999999995E-7</v>
      </c>
      <c r="AH20" s="6"/>
      <c r="AI20" s="7"/>
      <c r="AJ20" s="8"/>
      <c r="AK20" s="40">
        <v>9.9999999999999995E-7</v>
      </c>
      <c r="AL20" s="7"/>
      <c r="AM20" s="7"/>
      <c r="AN20" s="8"/>
      <c r="AO20" s="40">
        <v>9.9999999999999995E-7</v>
      </c>
      <c r="AP20" s="27"/>
      <c r="AQ20" s="40"/>
      <c r="AR20" s="24"/>
      <c r="AS20" s="40">
        <v>9.9999999999999995E-7</v>
      </c>
      <c r="AT20" s="27"/>
      <c r="AU20" s="40"/>
      <c r="AV20" s="24"/>
      <c r="AW20" s="40">
        <v>9.9999999999999995E-7</v>
      </c>
      <c r="AX20" s="27"/>
      <c r="AY20" s="40"/>
      <c r="AZ20" s="24"/>
      <c r="BA20" s="40">
        <v>9.9999999999999995E-7</v>
      </c>
      <c r="BB20" s="27"/>
      <c r="BC20" s="40"/>
      <c r="BD20" s="24"/>
      <c r="BE20" s="40">
        <v>9.9999999999999995E-7</v>
      </c>
      <c r="BF20" s="27"/>
      <c r="BG20" s="40"/>
      <c r="BH20" s="24"/>
      <c r="BI20" s="40">
        <v>9.9999999999999995E-7</v>
      </c>
      <c r="BJ20" s="27"/>
      <c r="BK20" s="40"/>
      <c r="BL20" s="24"/>
    </row>
    <row r="21" spans="2:64" ht="15" x14ac:dyDescent="0.25">
      <c r="B21" s="62">
        <f t="shared" ref="B21:B51" si="0">AC21*AA21</f>
        <v>0</v>
      </c>
      <c r="C21" s="47">
        <f t="shared" ref="C21:C51" si="1">AI21*AG21</f>
        <v>0</v>
      </c>
      <c r="D21" s="47">
        <f t="shared" ref="D21:D51" si="2">W21*U21</f>
        <v>0</v>
      </c>
      <c r="E21" s="47">
        <f t="shared" ref="E21:E51" si="3">AK21*AM21</f>
        <v>0</v>
      </c>
      <c r="F21" s="47">
        <f t="shared" ref="F21:F51" si="4">AO21*AQ21</f>
        <v>0</v>
      </c>
      <c r="G21" s="47">
        <f t="shared" ref="G21:G51" si="5">AS21*AU21</f>
        <v>0</v>
      </c>
      <c r="H21" s="47">
        <f t="shared" ref="H21:H51" si="6">AW21*AY21</f>
        <v>0</v>
      </c>
      <c r="I21" s="47">
        <f t="shared" ref="I21:I51" si="7">BA21*BC21</f>
        <v>0</v>
      </c>
      <c r="J21" s="47">
        <f t="shared" ref="J21:J51" si="8">BE21*BG21</f>
        <v>0</v>
      </c>
      <c r="K21" s="63">
        <f t="shared" ref="K21:K51" si="9">BI21*BK21</f>
        <v>0</v>
      </c>
      <c r="L21" s="55">
        <f t="shared" ref="L21:L51" si="10">SUM(S21:U21,Y21:AA21,AE21:AG21,AK21,AO21,AS21,AW21,BA21,BE21,BI21)/($AE$16*$AE$16*3.15/10000*1000)</f>
        <v>0</v>
      </c>
      <c r="N21" s="33">
        <v>2</v>
      </c>
      <c r="O21" s="28"/>
      <c r="P21" s="88"/>
      <c r="Q21" s="88"/>
      <c r="R21" s="37"/>
      <c r="S21" s="20"/>
      <c r="T21" s="3"/>
      <c r="U21" s="3"/>
      <c r="V21" s="3"/>
      <c r="W21" s="3"/>
      <c r="X21" s="10"/>
      <c r="Y21" s="17"/>
      <c r="Z21" s="2"/>
      <c r="AA21" s="2"/>
      <c r="AB21" s="2"/>
      <c r="AC21" s="3"/>
      <c r="AD21" s="37"/>
      <c r="AE21" s="9"/>
      <c r="AF21" s="2"/>
      <c r="AG21" s="2"/>
      <c r="AH21" s="2"/>
      <c r="AI21" s="3"/>
      <c r="AJ21" s="10"/>
      <c r="AK21" s="28"/>
      <c r="AL21" s="3"/>
      <c r="AM21" s="3"/>
      <c r="AN21" s="10"/>
      <c r="AO21" s="28"/>
      <c r="AP21" s="28"/>
      <c r="AQ21" s="3"/>
      <c r="AR21" s="10"/>
      <c r="AS21" s="20"/>
      <c r="AT21" s="28"/>
      <c r="AU21" s="3"/>
      <c r="AV21" s="10"/>
      <c r="AW21" s="20"/>
      <c r="AX21" s="28"/>
      <c r="AY21" s="3"/>
      <c r="AZ21" s="10"/>
      <c r="BA21" s="20"/>
      <c r="BB21" s="28"/>
      <c r="BC21" s="3"/>
      <c r="BD21" s="10"/>
      <c r="BE21" s="23"/>
      <c r="BF21" s="28"/>
      <c r="BG21" s="3"/>
      <c r="BH21" s="10"/>
      <c r="BI21" s="23"/>
      <c r="BJ21" s="28"/>
      <c r="BK21" s="3"/>
      <c r="BL21" s="10"/>
    </row>
    <row r="22" spans="2:64" ht="15" x14ac:dyDescent="0.25">
      <c r="B22" s="62">
        <f t="shared" si="0"/>
        <v>0</v>
      </c>
      <c r="C22" s="47">
        <f t="shared" si="1"/>
        <v>0</v>
      </c>
      <c r="D22" s="47">
        <f t="shared" si="2"/>
        <v>0</v>
      </c>
      <c r="E22" s="47">
        <f t="shared" si="3"/>
        <v>0</v>
      </c>
      <c r="F22" s="47">
        <f t="shared" si="4"/>
        <v>0</v>
      </c>
      <c r="G22" s="47">
        <f t="shared" si="5"/>
        <v>0</v>
      </c>
      <c r="H22" s="47">
        <f t="shared" si="6"/>
        <v>0</v>
      </c>
      <c r="I22" s="47">
        <f t="shared" si="7"/>
        <v>0</v>
      </c>
      <c r="J22" s="47">
        <f t="shared" si="8"/>
        <v>0</v>
      </c>
      <c r="K22" s="63">
        <f t="shared" si="9"/>
        <v>0</v>
      </c>
      <c r="L22" s="55">
        <f t="shared" si="10"/>
        <v>0</v>
      </c>
      <c r="N22" s="33">
        <v>3</v>
      </c>
      <c r="O22" s="28"/>
      <c r="P22" s="88"/>
      <c r="Q22" s="88"/>
      <c r="R22" s="37"/>
      <c r="S22" s="20"/>
      <c r="T22" s="3"/>
      <c r="U22" s="3"/>
      <c r="V22" s="3"/>
      <c r="W22" s="3"/>
      <c r="X22" s="10"/>
      <c r="Y22" s="17"/>
      <c r="Z22" s="2"/>
      <c r="AA22" s="2"/>
      <c r="AB22" s="2"/>
      <c r="AC22" s="3"/>
      <c r="AD22" s="37"/>
      <c r="AE22" s="9"/>
      <c r="AF22" s="2"/>
      <c r="AG22" s="2"/>
      <c r="AH22" s="2"/>
      <c r="AI22" s="3"/>
      <c r="AJ22" s="10"/>
      <c r="AK22" s="28"/>
      <c r="AL22" s="3"/>
      <c r="AM22" s="3"/>
      <c r="AN22" s="10"/>
      <c r="AO22" s="28"/>
      <c r="AP22" s="28"/>
      <c r="AQ22" s="3"/>
      <c r="AR22" s="10"/>
      <c r="AS22" s="20"/>
      <c r="AT22" s="28"/>
      <c r="AU22" s="3"/>
      <c r="AV22" s="10"/>
      <c r="AW22" s="20"/>
      <c r="AX22" s="28"/>
      <c r="AY22" s="3"/>
      <c r="AZ22" s="10"/>
      <c r="BA22" s="20"/>
      <c r="BB22" s="28"/>
      <c r="BC22" s="3"/>
      <c r="BD22" s="10"/>
      <c r="BE22" s="23"/>
      <c r="BF22" s="28"/>
      <c r="BG22" s="3"/>
      <c r="BH22" s="10"/>
      <c r="BI22" s="23"/>
      <c r="BJ22" s="28"/>
      <c r="BK22" s="3"/>
      <c r="BL22" s="10"/>
    </row>
    <row r="23" spans="2:64" ht="15" x14ac:dyDescent="0.25">
      <c r="B23" s="62">
        <f t="shared" si="0"/>
        <v>0</v>
      </c>
      <c r="C23" s="47">
        <f t="shared" si="1"/>
        <v>0</v>
      </c>
      <c r="D23" s="47">
        <f t="shared" si="2"/>
        <v>0</v>
      </c>
      <c r="E23" s="47">
        <f t="shared" si="3"/>
        <v>0</v>
      </c>
      <c r="F23" s="47">
        <f t="shared" si="4"/>
        <v>0</v>
      </c>
      <c r="G23" s="47">
        <f t="shared" si="5"/>
        <v>0</v>
      </c>
      <c r="H23" s="47">
        <f t="shared" si="6"/>
        <v>0</v>
      </c>
      <c r="I23" s="47">
        <f t="shared" si="7"/>
        <v>0</v>
      </c>
      <c r="J23" s="47">
        <f t="shared" si="8"/>
        <v>0</v>
      </c>
      <c r="K23" s="63">
        <f t="shared" si="9"/>
        <v>0</v>
      </c>
      <c r="L23" s="55">
        <f t="shared" si="10"/>
        <v>0</v>
      </c>
      <c r="N23" s="33">
        <v>4</v>
      </c>
      <c r="O23" s="27"/>
      <c r="P23" s="87"/>
      <c r="Q23" s="87"/>
      <c r="R23" s="37"/>
      <c r="S23" s="20"/>
      <c r="T23" s="3"/>
      <c r="U23" s="3"/>
      <c r="V23" s="3"/>
      <c r="W23" s="3"/>
      <c r="X23" s="10"/>
      <c r="Y23" s="17"/>
      <c r="Z23" s="2"/>
      <c r="AA23" s="2"/>
      <c r="AB23" s="2"/>
      <c r="AC23" s="3"/>
      <c r="AD23" s="37"/>
      <c r="AE23" s="9"/>
      <c r="AF23" s="2"/>
      <c r="AG23" s="2"/>
      <c r="AH23" s="2"/>
      <c r="AI23" s="3"/>
      <c r="AJ23" s="10"/>
      <c r="AK23" s="28"/>
      <c r="AL23" s="3"/>
      <c r="AM23" s="3"/>
      <c r="AN23" s="10"/>
      <c r="AO23" s="28"/>
      <c r="AP23" s="28"/>
      <c r="AQ23" s="3"/>
      <c r="AR23" s="10"/>
      <c r="AS23" s="20"/>
      <c r="AT23" s="28"/>
      <c r="AU23" s="3"/>
      <c r="AV23" s="10"/>
      <c r="AW23" s="20"/>
      <c r="AX23" s="28"/>
      <c r="AY23" s="3"/>
      <c r="AZ23" s="10"/>
      <c r="BA23" s="20"/>
      <c r="BB23" s="28"/>
      <c r="BC23" s="3"/>
      <c r="BD23" s="10"/>
      <c r="BE23" s="23"/>
      <c r="BF23" s="28"/>
      <c r="BG23" s="3"/>
      <c r="BH23" s="10"/>
      <c r="BI23" s="23"/>
      <c r="BJ23" s="28"/>
      <c r="BK23" s="3"/>
      <c r="BL23" s="10"/>
    </row>
    <row r="24" spans="2:64" ht="15" x14ac:dyDescent="0.25">
      <c r="B24" s="62">
        <f t="shared" si="0"/>
        <v>0</v>
      </c>
      <c r="C24" s="47">
        <f t="shared" si="1"/>
        <v>0</v>
      </c>
      <c r="D24" s="47">
        <f t="shared" si="2"/>
        <v>0</v>
      </c>
      <c r="E24" s="47">
        <f t="shared" si="3"/>
        <v>0</v>
      </c>
      <c r="F24" s="47">
        <f t="shared" si="4"/>
        <v>0</v>
      </c>
      <c r="G24" s="47">
        <f t="shared" si="5"/>
        <v>0</v>
      </c>
      <c r="H24" s="47">
        <f t="shared" si="6"/>
        <v>0</v>
      </c>
      <c r="I24" s="47">
        <f t="shared" si="7"/>
        <v>0</v>
      </c>
      <c r="J24" s="47">
        <f t="shared" si="8"/>
        <v>0</v>
      </c>
      <c r="K24" s="63">
        <f t="shared" si="9"/>
        <v>0</v>
      </c>
      <c r="L24" s="55">
        <f t="shared" si="10"/>
        <v>0</v>
      </c>
      <c r="N24" s="33">
        <v>5</v>
      </c>
      <c r="O24" s="28"/>
      <c r="P24" s="88"/>
      <c r="Q24" s="88"/>
      <c r="R24" s="37"/>
      <c r="S24" s="20"/>
      <c r="T24" s="3"/>
      <c r="U24" s="3"/>
      <c r="V24" s="3"/>
      <c r="W24" s="3"/>
      <c r="X24" s="10"/>
      <c r="Y24" s="17"/>
      <c r="Z24" s="2"/>
      <c r="AA24" s="2"/>
      <c r="AB24" s="2"/>
      <c r="AC24" s="3"/>
      <c r="AD24" s="37"/>
      <c r="AE24" s="9"/>
      <c r="AF24" s="2"/>
      <c r="AG24" s="2"/>
      <c r="AH24" s="2"/>
      <c r="AI24" s="3"/>
      <c r="AJ24" s="10"/>
      <c r="AK24" s="28"/>
      <c r="AL24" s="3"/>
      <c r="AM24" s="3"/>
      <c r="AN24" s="10"/>
      <c r="AO24" s="28"/>
      <c r="AP24" s="28"/>
      <c r="AQ24" s="3"/>
      <c r="AR24" s="10"/>
      <c r="AS24" s="20"/>
      <c r="AT24" s="28"/>
      <c r="AU24" s="3"/>
      <c r="AV24" s="10"/>
      <c r="AW24" s="20"/>
      <c r="AX24" s="28"/>
      <c r="AY24" s="3"/>
      <c r="AZ24" s="10"/>
      <c r="BA24" s="20"/>
      <c r="BB24" s="28"/>
      <c r="BC24" s="3"/>
      <c r="BD24" s="10"/>
      <c r="BE24" s="23"/>
      <c r="BF24" s="28"/>
      <c r="BG24" s="3"/>
      <c r="BH24" s="10"/>
      <c r="BI24" s="20"/>
      <c r="BJ24" s="28"/>
      <c r="BK24" s="3"/>
      <c r="BL24" s="10"/>
    </row>
    <row r="25" spans="2:64" ht="15" x14ac:dyDescent="0.25">
      <c r="B25" s="62">
        <f t="shared" si="0"/>
        <v>0</v>
      </c>
      <c r="C25" s="47">
        <f t="shared" si="1"/>
        <v>0</v>
      </c>
      <c r="D25" s="47">
        <f t="shared" si="2"/>
        <v>0</v>
      </c>
      <c r="E25" s="47">
        <f t="shared" si="3"/>
        <v>0</v>
      </c>
      <c r="F25" s="47">
        <f t="shared" si="4"/>
        <v>0</v>
      </c>
      <c r="G25" s="47">
        <f t="shared" si="5"/>
        <v>0</v>
      </c>
      <c r="H25" s="47">
        <f t="shared" si="6"/>
        <v>0</v>
      </c>
      <c r="I25" s="47">
        <f t="shared" si="7"/>
        <v>0</v>
      </c>
      <c r="J25" s="47">
        <f t="shared" si="8"/>
        <v>0</v>
      </c>
      <c r="K25" s="63">
        <f t="shared" si="9"/>
        <v>0</v>
      </c>
      <c r="L25" s="55">
        <f t="shared" si="10"/>
        <v>0</v>
      </c>
      <c r="N25" s="33">
        <v>6</v>
      </c>
      <c r="O25" s="28"/>
      <c r="P25" s="88"/>
      <c r="Q25" s="88"/>
      <c r="R25" s="37"/>
      <c r="S25" s="20"/>
      <c r="T25" s="3"/>
      <c r="U25" s="3"/>
      <c r="V25" s="3"/>
      <c r="W25" s="3"/>
      <c r="X25" s="10"/>
      <c r="Y25" s="17"/>
      <c r="Z25" s="2"/>
      <c r="AA25" s="2"/>
      <c r="AB25" s="2"/>
      <c r="AC25" s="3"/>
      <c r="AD25" s="37"/>
      <c r="AE25" s="9"/>
      <c r="AF25" s="2"/>
      <c r="AG25" s="2"/>
      <c r="AH25" s="2"/>
      <c r="AI25" s="3"/>
      <c r="AJ25" s="10"/>
      <c r="AK25" s="28"/>
      <c r="AL25" s="3"/>
      <c r="AM25" s="3"/>
      <c r="AN25" s="10"/>
      <c r="AO25" s="28"/>
      <c r="AP25" s="28"/>
      <c r="AQ25" s="3"/>
      <c r="AR25" s="10"/>
      <c r="AS25" s="20"/>
      <c r="AT25" s="28"/>
      <c r="AU25" s="3"/>
      <c r="AV25" s="10"/>
      <c r="AW25" s="20"/>
      <c r="AX25" s="28"/>
      <c r="AY25" s="3"/>
      <c r="AZ25" s="10"/>
      <c r="BA25" s="20"/>
      <c r="BB25" s="28"/>
      <c r="BC25" s="3"/>
      <c r="BD25" s="10"/>
      <c r="BE25" s="23"/>
      <c r="BF25" s="28"/>
      <c r="BG25" s="3"/>
      <c r="BH25" s="10"/>
      <c r="BI25" s="20"/>
      <c r="BJ25" s="28"/>
      <c r="BK25" s="3"/>
      <c r="BL25" s="10"/>
    </row>
    <row r="26" spans="2:64" ht="15" x14ac:dyDescent="0.25">
      <c r="B26" s="62">
        <f t="shared" si="0"/>
        <v>0</v>
      </c>
      <c r="C26" s="47">
        <f t="shared" si="1"/>
        <v>0</v>
      </c>
      <c r="D26" s="47">
        <f t="shared" si="2"/>
        <v>0</v>
      </c>
      <c r="E26" s="47">
        <f t="shared" si="3"/>
        <v>0</v>
      </c>
      <c r="F26" s="47">
        <f t="shared" si="4"/>
        <v>0</v>
      </c>
      <c r="G26" s="47">
        <f t="shared" si="5"/>
        <v>0</v>
      </c>
      <c r="H26" s="47">
        <f t="shared" si="6"/>
        <v>0</v>
      </c>
      <c r="I26" s="47">
        <f t="shared" si="7"/>
        <v>0</v>
      </c>
      <c r="J26" s="47">
        <f t="shared" si="8"/>
        <v>0</v>
      </c>
      <c r="K26" s="63">
        <f t="shared" si="9"/>
        <v>0</v>
      </c>
      <c r="L26" s="55">
        <f t="shared" si="10"/>
        <v>0</v>
      </c>
      <c r="N26" s="33">
        <v>7</v>
      </c>
      <c r="O26" s="27"/>
      <c r="P26" s="87"/>
      <c r="Q26" s="87"/>
      <c r="R26" s="37"/>
      <c r="S26" s="20"/>
      <c r="T26" s="3"/>
      <c r="U26" s="3"/>
      <c r="V26" s="3"/>
      <c r="W26" s="3"/>
      <c r="X26" s="10"/>
      <c r="Y26" s="17"/>
      <c r="Z26" s="2"/>
      <c r="AA26" s="2"/>
      <c r="AB26" s="2"/>
      <c r="AC26" s="3"/>
      <c r="AD26" s="37"/>
      <c r="AE26" s="9"/>
      <c r="AF26" s="2"/>
      <c r="AG26" s="2"/>
      <c r="AH26" s="2"/>
      <c r="AI26" s="3"/>
      <c r="AJ26" s="10"/>
      <c r="AK26" s="28"/>
      <c r="AL26" s="3"/>
      <c r="AM26" s="3"/>
      <c r="AN26" s="10"/>
      <c r="AO26" s="28"/>
      <c r="AP26" s="28"/>
      <c r="AQ26" s="3"/>
      <c r="AR26" s="10"/>
      <c r="AS26" s="20"/>
      <c r="AT26" s="28"/>
      <c r="AU26" s="3"/>
      <c r="AV26" s="10"/>
      <c r="AW26" s="20"/>
      <c r="AX26" s="28"/>
      <c r="AY26" s="3"/>
      <c r="AZ26" s="10"/>
      <c r="BA26" s="20"/>
      <c r="BB26" s="28"/>
      <c r="BC26" s="3"/>
      <c r="BD26" s="10"/>
      <c r="BE26" s="23"/>
      <c r="BF26" s="28"/>
      <c r="BG26" s="3"/>
      <c r="BH26" s="10"/>
      <c r="BI26" s="20"/>
      <c r="BJ26" s="28"/>
      <c r="BK26" s="3"/>
      <c r="BL26" s="10"/>
    </row>
    <row r="27" spans="2:64" ht="15" x14ac:dyDescent="0.25">
      <c r="B27" s="62">
        <f t="shared" si="0"/>
        <v>0</v>
      </c>
      <c r="C27" s="47">
        <f t="shared" si="1"/>
        <v>0</v>
      </c>
      <c r="D27" s="47">
        <f t="shared" si="2"/>
        <v>0</v>
      </c>
      <c r="E27" s="47">
        <f t="shared" si="3"/>
        <v>0</v>
      </c>
      <c r="F27" s="47">
        <f t="shared" si="4"/>
        <v>0</v>
      </c>
      <c r="G27" s="47">
        <f t="shared" si="5"/>
        <v>0</v>
      </c>
      <c r="H27" s="47">
        <f t="shared" si="6"/>
        <v>0</v>
      </c>
      <c r="I27" s="47">
        <f t="shared" si="7"/>
        <v>0</v>
      </c>
      <c r="J27" s="47">
        <f t="shared" si="8"/>
        <v>0</v>
      </c>
      <c r="K27" s="63">
        <f t="shared" si="9"/>
        <v>0</v>
      </c>
      <c r="L27" s="55">
        <f t="shared" si="10"/>
        <v>0</v>
      </c>
      <c r="N27" s="33">
        <v>8</v>
      </c>
      <c r="O27" s="28"/>
      <c r="P27" s="88"/>
      <c r="Q27" s="88"/>
      <c r="R27" s="37"/>
      <c r="S27" s="20"/>
      <c r="T27" s="3"/>
      <c r="U27" s="3"/>
      <c r="V27" s="3"/>
      <c r="W27" s="3"/>
      <c r="X27" s="10"/>
      <c r="Y27" s="17"/>
      <c r="Z27" s="2"/>
      <c r="AA27" s="2"/>
      <c r="AB27" s="2"/>
      <c r="AC27" s="3"/>
      <c r="AD27" s="37"/>
      <c r="AE27" s="9"/>
      <c r="AF27" s="2"/>
      <c r="AG27" s="2"/>
      <c r="AH27" s="2"/>
      <c r="AI27" s="3"/>
      <c r="AJ27" s="10"/>
      <c r="AK27" s="28"/>
      <c r="AL27" s="3"/>
      <c r="AM27" s="3"/>
      <c r="AN27" s="10"/>
      <c r="AO27" s="28"/>
      <c r="AP27" s="28"/>
      <c r="AQ27" s="3"/>
      <c r="AR27" s="10"/>
      <c r="AS27" s="20"/>
      <c r="AT27" s="28"/>
      <c r="AU27" s="3"/>
      <c r="AV27" s="10"/>
      <c r="AW27" s="20"/>
      <c r="AX27" s="28"/>
      <c r="AY27" s="3"/>
      <c r="AZ27" s="10"/>
      <c r="BA27" s="20"/>
      <c r="BB27" s="28"/>
      <c r="BC27" s="3"/>
      <c r="BD27" s="10"/>
      <c r="BE27" s="23"/>
      <c r="BF27" s="28"/>
      <c r="BG27" s="3"/>
      <c r="BH27" s="10"/>
      <c r="BI27" s="20"/>
      <c r="BJ27" s="28"/>
      <c r="BK27" s="3"/>
      <c r="BL27" s="10"/>
    </row>
    <row r="28" spans="2:64" ht="15" x14ac:dyDescent="0.25">
      <c r="B28" s="62">
        <f t="shared" si="0"/>
        <v>0</v>
      </c>
      <c r="C28" s="47">
        <f t="shared" si="1"/>
        <v>0</v>
      </c>
      <c r="D28" s="47">
        <f t="shared" si="2"/>
        <v>0</v>
      </c>
      <c r="E28" s="47">
        <f t="shared" si="3"/>
        <v>0</v>
      </c>
      <c r="F28" s="47">
        <f t="shared" si="4"/>
        <v>0</v>
      </c>
      <c r="G28" s="47">
        <f t="shared" si="5"/>
        <v>0</v>
      </c>
      <c r="H28" s="47">
        <f t="shared" si="6"/>
        <v>0</v>
      </c>
      <c r="I28" s="47">
        <f t="shared" si="7"/>
        <v>0</v>
      </c>
      <c r="J28" s="47">
        <f t="shared" si="8"/>
        <v>0</v>
      </c>
      <c r="K28" s="63">
        <f t="shared" si="9"/>
        <v>0</v>
      </c>
      <c r="L28" s="55">
        <f t="shared" si="10"/>
        <v>0</v>
      </c>
      <c r="N28" s="33">
        <v>9</v>
      </c>
      <c r="O28" s="28"/>
      <c r="P28" s="88"/>
      <c r="Q28" s="88"/>
      <c r="R28" s="37"/>
      <c r="S28" s="20"/>
      <c r="T28" s="3"/>
      <c r="U28" s="3"/>
      <c r="V28" s="3"/>
      <c r="W28" s="3"/>
      <c r="X28" s="10"/>
      <c r="Y28" s="17"/>
      <c r="Z28" s="2"/>
      <c r="AA28" s="2"/>
      <c r="AB28" s="2"/>
      <c r="AC28" s="3"/>
      <c r="AD28" s="37"/>
      <c r="AE28" s="9"/>
      <c r="AF28" s="2"/>
      <c r="AG28" s="2"/>
      <c r="AH28" s="2"/>
      <c r="AI28" s="3"/>
      <c r="AJ28" s="10"/>
      <c r="AK28" s="28"/>
      <c r="AL28" s="3"/>
      <c r="AM28" s="3"/>
      <c r="AN28" s="10"/>
      <c r="AO28" s="28"/>
      <c r="AP28" s="28"/>
      <c r="AQ28" s="3"/>
      <c r="AR28" s="10"/>
      <c r="AS28" s="20"/>
      <c r="AT28" s="28"/>
      <c r="AU28" s="3"/>
      <c r="AV28" s="10"/>
      <c r="AW28" s="20"/>
      <c r="AX28" s="28"/>
      <c r="AY28" s="3"/>
      <c r="AZ28" s="10"/>
      <c r="BA28" s="20"/>
      <c r="BB28" s="28"/>
      <c r="BC28" s="3"/>
      <c r="BD28" s="10"/>
      <c r="BE28" s="23"/>
      <c r="BF28" s="28"/>
      <c r="BG28" s="3"/>
      <c r="BH28" s="10"/>
      <c r="BI28" s="20"/>
      <c r="BJ28" s="28"/>
      <c r="BK28" s="3"/>
      <c r="BL28" s="10"/>
    </row>
    <row r="29" spans="2:64" ht="15" x14ac:dyDescent="0.25">
      <c r="B29" s="62">
        <f t="shared" si="0"/>
        <v>0</v>
      </c>
      <c r="C29" s="47">
        <f t="shared" si="1"/>
        <v>0</v>
      </c>
      <c r="D29" s="47">
        <f t="shared" si="2"/>
        <v>0</v>
      </c>
      <c r="E29" s="47">
        <f t="shared" si="3"/>
        <v>0</v>
      </c>
      <c r="F29" s="47">
        <f t="shared" si="4"/>
        <v>0</v>
      </c>
      <c r="G29" s="47">
        <f t="shared" si="5"/>
        <v>0</v>
      </c>
      <c r="H29" s="47">
        <f t="shared" si="6"/>
        <v>0</v>
      </c>
      <c r="I29" s="47">
        <f t="shared" si="7"/>
        <v>0</v>
      </c>
      <c r="J29" s="47">
        <f t="shared" si="8"/>
        <v>0</v>
      </c>
      <c r="K29" s="63">
        <f t="shared" si="9"/>
        <v>0</v>
      </c>
      <c r="L29" s="55">
        <f t="shared" si="10"/>
        <v>0</v>
      </c>
      <c r="N29" s="33">
        <v>10</v>
      </c>
      <c r="O29" s="27"/>
      <c r="P29" s="87"/>
      <c r="Q29" s="87"/>
      <c r="R29" s="37"/>
      <c r="S29" s="20"/>
      <c r="T29" s="3"/>
      <c r="U29" s="3"/>
      <c r="V29" s="3"/>
      <c r="W29" s="3"/>
      <c r="X29" s="10"/>
      <c r="Y29" s="17"/>
      <c r="Z29" s="2"/>
      <c r="AA29" s="2"/>
      <c r="AB29" s="2"/>
      <c r="AC29" s="3"/>
      <c r="AD29" s="37"/>
      <c r="AE29" s="9"/>
      <c r="AF29" s="2"/>
      <c r="AG29" s="2"/>
      <c r="AH29" s="2"/>
      <c r="AI29" s="3"/>
      <c r="AJ29" s="10"/>
      <c r="AK29" s="28"/>
      <c r="AL29" s="3"/>
      <c r="AM29" s="3"/>
      <c r="AN29" s="10"/>
      <c r="AO29" s="28"/>
      <c r="AP29" s="28"/>
      <c r="AQ29" s="3"/>
      <c r="AR29" s="10"/>
      <c r="AS29" s="20"/>
      <c r="AT29" s="28"/>
      <c r="AU29" s="3"/>
      <c r="AV29" s="10"/>
      <c r="AW29" s="20"/>
      <c r="AX29" s="28"/>
      <c r="AY29" s="3"/>
      <c r="AZ29" s="10"/>
      <c r="BA29" s="20"/>
      <c r="BB29" s="28"/>
      <c r="BC29" s="3"/>
      <c r="BD29" s="10"/>
      <c r="BE29" s="23"/>
      <c r="BF29" s="28"/>
      <c r="BG29" s="3"/>
      <c r="BH29" s="10"/>
      <c r="BI29" s="20"/>
      <c r="BJ29" s="28"/>
      <c r="BK29" s="3"/>
      <c r="BL29" s="10"/>
    </row>
    <row r="30" spans="2:64" ht="15" x14ac:dyDescent="0.25">
      <c r="B30" s="62">
        <f t="shared" si="0"/>
        <v>0</v>
      </c>
      <c r="C30" s="47">
        <f t="shared" si="1"/>
        <v>0</v>
      </c>
      <c r="D30" s="47">
        <f t="shared" si="2"/>
        <v>0</v>
      </c>
      <c r="E30" s="47">
        <f t="shared" si="3"/>
        <v>0</v>
      </c>
      <c r="F30" s="47">
        <f t="shared" si="4"/>
        <v>0</v>
      </c>
      <c r="G30" s="47">
        <f t="shared" si="5"/>
        <v>0</v>
      </c>
      <c r="H30" s="47">
        <f t="shared" si="6"/>
        <v>0</v>
      </c>
      <c r="I30" s="47">
        <f t="shared" si="7"/>
        <v>0</v>
      </c>
      <c r="J30" s="47">
        <f t="shared" si="8"/>
        <v>0</v>
      </c>
      <c r="K30" s="63">
        <f t="shared" si="9"/>
        <v>0</v>
      </c>
      <c r="L30" s="55">
        <f t="shared" si="10"/>
        <v>0</v>
      </c>
      <c r="N30" s="33">
        <v>11</v>
      </c>
      <c r="O30" s="28"/>
      <c r="P30" s="88"/>
      <c r="Q30" s="88"/>
      <c r="R30" s="37"/>
      <c r="S30" s="20"/>
      <c r="T30" s="3"/>
      <c r="U30" s="3"/>
      <c r="V30" s="3"/>
      <c r="W30" s="3"/>
      <c r="X30" s="10"/>
      <c r="Y30" s="17"/>
      <c r="Z30" s="2"/>
      <c r="AA30" s="2"/>
      <c r="AB30" s="2"/>
      <c r="AC30" s="3"/>
      <c r="AD30" s="37"/>
      <c r="AE30" s="9"/>
      <c r="AF30" s="2"/>
      <c r="AG30" s="2"/>
      <c r="AH30" s="2"/>
      <c r="AI30" s="3"/>
      <c r="AJ30" s="10"/>
      <c r="AK30" s="28"/>
      <c r="AL30" s="3"/>
      <c r="AM30" s="3"/>
      <c r="AN30" s="10"/>
      <c r="AO30" s="28"/>
      <c r="AP30" s="28"/>
      <c r="AQ30" s="3"/>
      <c r="AR30" s="10"/>
      <c r="AS30" s="20"/>
      <c r="AT30" s="28"/>
      <c r="AU30" s="3"/>
      <c r="AV30" s="10"/>
      <c r="AW30" s="20"/>
      <c r="AX30" s="28"/>
      <c r="AY30" s="3"/>
      <c r="AZ30" s="10"/>
      <c r="BA30" s="20"/>
      <c r="BB30" s="28"/>
      <c r="BC30" s="3"/>
      <c r="BD30" s="10"/>
      <c r="BE30" s="23"/>
      <c r="BF30" s="28"/>
      <c r="BG30" s="3"/>
      <c r="BH30" s="10"/>
      <c r="BI30" s="20"/>
      <c r="BJ30" s="28"/>
      <c r="BK30" s="3"/>
      <c r="BL30" s="10"/>
    </row>
    <row r="31" spans="2:64" ht="15" x14ac:dyDescent="0.25">
      <c r="B31" s="62">
        <f t="shared" si="0"/>
        <v>0</v>
      </c>
      <c r="C31" s="47">
        <f t="shared" si="1"/>
        <v>0</v>
      </c>
      <c r="D31" s="47">
        <f t="shared" si="2"/>
        <v>0</v>
      </c>
      <c r="E31" s="47">
        <f t="shared" si="3"/>
        <v>0</v>
      </c>
      <c r="F31" s="47">
        <f t="shared" si="4"/>
        <v>0</v>
      </c>
      <c r="G31" s="47">
        <f t="shared" si="5"/>
        <v>0</v>
      </c>
      <c r="H31" s="47">
        <f t="shared" si="6"/>
        <v>0</v>
      </c>
      <c r="I31" s="47">
        <f t="shared" si="7"/>
        <v>0</v>
      </c>
      <c r="J31" s="47">
        <f t="shared" si="8"/>
        <v>0</v>
      </c>
      <c r="K31" s="63">
        <f t="shared" si="9"/>
        <v>0</v>
      </c>
      <c r="L31" s="55">
        <f t="shared" si="10"/>
        <v>0</v>
      </c>
      <c r="N31" s="33">
        <v>12</v>
      </c>
      <c r="O31" s="28"/>
      <c r="P31" s="88"/>
      <c r="Q31" s="88"/>
      <c r="R31" s="37"/>
      <c r="S31" s="20"/>
      <c r="T31" s="3"/>
      <c r="U31" s="3"/>
      <c r="V31" s="3"/>
      <c r="W31" s="3"/>
      <c r="X31" s="10"/>
      <c r="Y31" s="17"/>
      <c r="Z31" s="2"/>
      <c r="AA31" s="2"/>
      <c r="AB31" s="2"/>
      <c r="AC31" s="3"/>
      <c r="AD31" s="37"/>
      <c r="AE31" s="9"/>
      <c r="AF31" s="2"/>
      <c r="AG31" s="2"/>
      <c r="AH31" s="2"/>
      <c r="AI31" s="3"/>
      <c r="AJ31" s="10"/>
      <c r="AK31" s="28"/>
      <c r="AL31" s="3"/>
      <c r="AM31" s="3"/>
      <c r="AN31" s="10"/>
      <c r="AO31" s="28"/>
      <c r="AP31" s="28"/>
      <c r="AQ31" s="3"/>
      <c r="AR31" s="10"/>
      <c r="AS31" s="20"/>
      <c r="AT31" s="28"/>
      <c r="AU31" s="3"/>
      <c r="AV31" s="10"/>
      <c r="AW31" s="20"/>
      <c r="AX31" s="28"/>
      <c r="AY31" s="3"/>
      <c r="AZ31" s="10"/>
      <c r="BA31" s="20"/>
      <c r="BB31" s="28"/>
      <c r="BC31" s="3"/>
      <c r="BD31" s="10"/>
      <c r="BE31" s="23"/>
      <c r="BF31" s="28"/>
      <c r="BG31" s="3"/>
      <c r="BH31" s="10"/>
      <c r="BI31" s="20"/>
      <c r="BJ31" s="28"/>
      <c r="BK31" s="3"/>
      <c r="BL31" s="10"/>
    </row>
    <row r="32" spans="2:64" ht="15" x14ac:dyDescent="0.25">
      <c r="B32" s="62">
        <f t="shared" si="0"/>
        <v>0</v>
      </c>
      <c r="C32" s="47">
        <f t="shared" si="1"/>
        <v>0</v>
      </c>
      <c r="D32" s="47">
        <f t="shared" si="2"/>
        <v>0</v>
      </c>
      <c r="E32" s="47">
        <f t="shared" si="3"/>
        <v>0</v>
      </c>
      <c r="F32" s="47">
        <f t="shared" si="4"/>
        <v>0</v>
      </c>
      <c r="G32" s="47">
        <f t="shared" si="5"/>
        <v>0</v>
      </c>
      <c r="H32" s="47">
        <f t="shared" si="6"/>
        <v>0</v>
      </c>
      <c r="I32" s="47">
        <f t="shared" si="7"/>
        <v>0</v>
      </c>
      <c r="J32" s="47">
        <f t="shared" si="8"/>
        <v>0</v>
      </c>
      <c r="K32" s="63">
        <f t="shared" si="9"/>
        <v>0</v>
      </c>
      <c r="L32" s="55">
        <f t="shared" si="10"/>
        <v>0</v>
      </c>
      <c r="N32" s="33">
        <v>13</v>
      </c>
      <c r="O32" s="28"/>
      <c r="P32" s="88"/>
      <c r="Q32" s="88"/>
      <c r="R32" s="37"/>
      <c r="S32" s="20"/>
      <c r="T32" s="3"/>
      <c r="U32" s="3"/>
      <c r="V32" s="3"/>
      <c r="W32" s="3"/>
      <c r="X32" s="10"/>
      <c r="Y32" s="17"/>
      <c r="Z32" s="2"/>
      <c r="AA32" s="2"/>
      <c r="AB32" s="2"/>
      <c r="AC32" s="3"/>
      <c r="AD32" s="37"/>
      <c r="AE32" s="9"/>
      <c r="AF32" s="2"/>
      <c r="AG32" s="2"/>
      <c r="AH32" s="2"/>
      <c r="AI32" s="3"/>
      <c r="AJ32" s="10"/>
      <c r="AK32" s="28"/>
      <c r="AL32" s="3"/>
      <c r="AM32" s="3"/>
      <c r="AN32" s="10"/>
      <c r="AO32" s="28"/>
      <c r="AP32" s="28"/>
      <c r="AQ32" s="3"/>
      <c r="AR32" s="10"/>
      <c r="AS32" s="20"/>
      <c r="AT32" s="28"/>
      <c r="AU32" s="3"/>
      <c r="AV32" s="10"/>
      <c r="AW32" s="20"/>
      <c r="AX32" s="28"/>
      <c r="AY32" s="3"/>
      <c r="AZ32" s="10"/>
      <c r="BA32" s="20"/>
      <c r="BB32" s="28"/>
      <c r="BC32" s="3"/>
      <c r="BD32" s="10"/>
      <c r="BE32" s="23"/>
      <c r="BF32" s="28"/>
      <c r="BG32" s="3"/>
      <c r="BH32" s="10"/>
      <c r="BI32" s="20"/>
      <c r="BJ32" s="28"/>
      <c r="BK32" s="3"/>
      <c r="BL32" s="10"/>
    </row>
    <row r="33" spans="2:64" ht="15" x14ac:dyDescent="0.25">
      <c r="B33" s="62">
        <f t="shared" si="0"/>
        <v>0</v>
      </c>
      <c r="C33" s="47">
        <f t="shared" si="1"/>
        <v>0</v>
      </c>
      <c r="D33" s="47">
        <f t="shared" si="2"/>
        <v>0</v>
      </c>
      <c r="E33" s="47">
        <f t="shared" si="3"/>
        <v>0</v>
      </c>
      <c r="F33" s="47">
        <f t="shared" si="4"/>
        <v>0</v>
      </c>
      <c r="G33" s="47">
        <f t="shared" si="5"/>
        <v>0</v>
      </c>
      <c r="H33" s="47">
        <f t="shared" si="6"/>
        <v>0</v>
      </c>
      <c r="I33" s="47">
        <f t="shared" si="7"/>
        <v>0</v>
      </c>
      <c r="J33" s="47">
        <f t="shared" si="8"/>
        <v>0</v>
      </c>
      <c r="K33" s="63">
        <f t="shared" si="9"/>
        <v>0</v>
      </c>
      <c r="L33" s="55">
        <f t="shared" si="10"/>
        <v>0</v>
      </c>
      <c r="N33" s="33">
        <v>14</v>
      </c>
      <c r="O33" s="28"/>
      <c r="P33" s="88"/>
      <c r="Q33" s="88"/>
      <c r="R33" s="37"/>
      <c r="S33" s="20"/>
      <c r="T33" s="3"/>
      <c r="U33" s="3"/>
      <c r="V33" s="3"/>
      <c r="W33" s="3"/>
      <c r="X33" s="10"/>
      <c r="Y33" s="17"/>
      <c r="Z33" s="2"/>
      <c r="AA33" s="2"/>
      <c r="AB33" s="2"/>
      <c r="AC33" s="3"/>
      <c r="AD33" s="37"/>
      <c r="AE33" s="9"/>
      <c r="AF33" s="2"/>
      <c r="AG33" s="2"/>
      <c r="AH33" s="2"/>
      <c r="AI33" s="3"/>
      <c r="AJ33" s="10"/>
      <c r="AK33" s="28"/>
      <c r="AL33" s="3"/>
      <c r="AM33" s="3"/>
      <c r="AN33" s="10"/>
      <c r="AO33" s="28"/>
      <c r="AP33" s="28"/>
      <c r="AQ33" s="3"/>
      <c r="AR33" s="10"/>
      <c r="AS33" s="20"/>
      <c r="AT33" s="28"/>
      <c r="AU33" s="3"/>
      <c r="AV33" s="10"/>
      <c r="AW33" s="20"/>
      <c r="AX33" s="28"/>
      <c r="AY33" s="3"/>
      <c r="AZ33" s="10"/>
      <c r="BA33" s="20"/>
      <c r="BB33" s="28"/>
      <c r="BC33" s="3"/>
      <c r="BD33" s="10"/>
      <c r="BE33" s="23"/>
      <c r="BF33" s="28"/>
      <c r="BG33" s="3"/>
      <c r="BH33" s="10"/>
      <c r="BI33" s="20"/>
      <c r="BJ33" s="28"/>
      <c r="BK33" s="3"/>
      <c r="BL33" s="10"/>
    </row>
    <row r="34" spans="2:64" ht="15" x14ac:dyDescent="0.25">
      <c r="B34" s="62">
        <f t="shared" si="0"/>
        <v>0</v>
      </c>
      <c r="C34" s="47">
        <f t="shared" si="1"/>
        <v>0</v>
      </c>
      <c r="D34" s="47">
        <f t="shared" si="2"/>
        <v>0</v>
      </c>
      <c r="E34" s="47">
        <f t="shared" si="3"/>
        <v>0</v>
      </c>
      <c r="F34" s="47">
        <f t="shared" si="4"/>
        <v>0</v>
      </c>
      <c r="G34" s="47">
        <f t="shared" si="5"/>
        <v>0</v>
      </c>
      <c r="H34" s="47">
        <f t="shared" si="6"/>
        <v>0</v>
      </c>
      <c r="I34" s="47">
        <f t="shared" si="7"/>
        <v>0</v>
      </c>
      <c r="J34" s="47">
        <f t="shared" si="8"/>
        <v>0</v>
      </c>
      <c r="K34" s="63">
        <f t="shared" si="9"/>
        <v>0</v>
      </c>
      <c r="L34" s="55">
        <f t="shared" si="10"/>
        <v>0</v>
      </c>
      <c r="N34" s="33">
        <v>15</v>
      </c>
      <c r="O34" s="28"/>
      <c r="P34" s="88"/>
      <c r="Q34" s="88"/>
      <c r="R34" s="37"/>
      <c r="S34" s="20"/>
      <c r="T34" s="3"/>
      <c r="U34" s="3"/>
      <c r="V34" s="3"/>
      <c r="W34" s="3"/>
      <c r="X34" s="10"/>
      <c r="Y34" s="17"/>
      <c r="Z34" s="2"/>
      <c r="AA34" s="2"/>
      <c r="AB34" s="2"/>
      <c r="AC34" s="3"/>
      <c r="AD34" s="37"/>
      <c r="AE34" s="9"/>
      <c r="AF34" s="2"/>
      <c r="AG34" s="2"/>
      <c r="AH34" s="2"/>
      <c r="AI34" s="3"/>
      <c r="AJ34" s="10"/>
      <c r="AK34" s="28"/>
      <c r="AL34" s="3"/>
      <c r="AM34" s="3"/>
      <c r="AN34" s="10"/>
      <c r="AO34" s="28"/>
      <c r="AP34" s="28"/>
      <c r="AQ34" s="3"/>
      <c r="AR34" s="10"/>
      <c r="AS34" s="20"/>
      <c r="AT34" s="28"/>
      <c r="AU34" s="3"/>
      <c r="AV34" s="10"/>
      <c r="AW34" s="20"/>
      <c r="AX34" s="28"/>
      <c r="AY34" s="3"/>
      <c r="AZ34" s="10"/>
      <c r="BA34" s="20"/>
      <c r="BB34" s="28"/>
      <c r="BC34" s="3"/>
      <c r="BD34" s="10"/>
      <c r="BE34" s="23"/>
      <c r="BF34" s="28"/>
      <c r="BG34" s="3"/>
      <c r="BH34" s="10"/>
      <c r="BI34" s="20"/>
      <c r="BJ34" s="28"/>
      <c r="BK34" s="3"/>
      <c r="BL34" s="10"/>
    </row>
    <row r="35" spans="2:64" ht="15" x14ac:dyDescent="0.25">
      <c r="B35" s="62">
        <f t="shared" si="0"/>
        <v>0</v>
      </c>
      <c r="C35" s="47">
        <f t="shared" si="1"/>
        <v>0</v>
      </c>
      <c r="D35" s="47">
        <f t="shared" si="2"/>
        <v>0</v>
      </c>
      <c r="E35" s="47">
        <f t="shared" si="3"/>
        <v>0</v>
      </c>
      <c r="F35" s="47">
        <f t="shared" si="4"/>
        <v>0</v>
      </c>
      <c r="G35" s="47">
        <f t="shared" si="5"/>
        <v>0</v>
      </c>
      <c r="H35" s="47">
        <f t="shared" si="6"/>
        <v>0</v>
      </c>
      <c r="I35" s="47">
        <f t="shared" si="7"/>
        <v>0</v>
      </c>
      <c r="J35" s="47">
        <f t="shared" si="8"/>
        <v>0</v>
      </c>
      <c r="K35" s="63">
        <f t="shared" si="9"/>
        <v>0</v>
      </c>
      <c r="L35" s="55">
        <f t="shared" si="10"/>
        <v>0</v>
      </c>
      <c r="N35" s="33">
        <v>16</v>
      </c>
      <c r="O35" s="28"/>
      <c r="P35" s="88"/>
      <c r="Q35" s="88"/>
      <c r="R35" s="37"/>
      <c r="S35" s="20"/>
      <c r="T35" s="3"/>
      <c r="U35" s="3"/>
      <c r="V35" s="3"/>
      <c r="W35" s="3"/>
      <c r="X35" s="10"/>
      <c r="Y35" s="17"/>
      <c r="Z35" s="2"/>
      <c r="AA35" s="2"/>
      <c r="AB35" s="2"/>
      <c r="AC35" s="3"/>
      <c r="AD35" s="37"/>
      <c r="AE35" s="9"/>
      <c r="AF35" s="2"/>
      <c r="AG35" s="2"/>
      <c r="AH35" s="2"/>
      <c r="AI35" s="3"/>
      <c r="AJ35" s="10"/>
      <c r="AK35" s="28"/>
      <c r="AL35" s="3"/>
      <c r="AM35" s="3"/>
      <c r="AN35" s="10"/>
      <c r="AO35" s="28"/>
      <c r="AP35" s="28"/>
      <c r="AQ35" s="3"/>
      <c r="AR35" s="10"/>
      <c r="AS35" s="20"/>
      <c r="AT35" s="28"/>
      <c r="AU35" s="3"/>
      <c r="AV35" s="10"/>
      <c r="AW35" s="20"/>
      <c r="AX35" s="28"/>
      <c r="AY35" s="3"/>
      <c r="AZ35" s="10"/>
      <c r="BA35" s="20"/>
      <c r="BB35" s="28"/>
      <c r="BC35" s="3"/>
      <c r="BD35" s="10"/>
      <c r="BE35" s="23"/>
      <c r="BF35" s="28"/>
      <c r="BG35" s="3"/>
      <c r="BH35" s="10"/>
      <c r="BI35" s="20"/>
      <c r="BJ35" s="28"/>
      <c r="BK35" s="3"/>
      <c r="BL35" s="10"/>
    </row>
    <row r="36" spans="2:64" ht="15" x14ac:dyDescent="0.25">
      <c r="B36" s="62">
        <f t="shared" si="0"/>
        <v>0</v>
      </c>
      <c r="C36" s="47">
        <f t="shared" si="1"/>
        <v>0</v>
      </c>
      <c r="D36" s="47">
        <f t="shared" si="2"/>
        <v>0</v>
      </c>
      <c r="E36" s="47">
        <f t="shared" si="3"/>
        <v>0</v>
      </c>
      <c r="F36" s="47">
        <f t="shared" si="4"/>
        <v>0</v>
      </c>
      <c r="G36" s="47">
        <f t="shared" si="5"/>
        <v>0</v>
      </c>
      <c r="H36" s="47">
        <f t="shared" si="6"/>
        <v>0</v>
      </c>
      <c r="I36" s="47">
        <f t="shared" si="7"/>
        <v>0</v>
      </c>
      <c r="J36" s="47">
        <f t="shared" si="8"/>
        <v>0</v>
      </c>
      <c r="K36" s="63">
        <f t="shared" si="9"/>
        <v>0</v>
      </c>
      <c r="L36" s="55">
        <f t="shared" si="10"/>
        <v>0</v>
      </c>
      <c r="N36" s="33">
        <v>17</v>
      </c>
      <c r="O36" s="28"/>
      <c r="P36" s="88"/>
      <c r="Q36" s="88"/>
      <c r="R36" s="37"/>
      <c r="S36" s="20"/>
      <c r="T36" s="3"/>
      <c r="U36" s="3"/>
      <c r="V36" s="3"/>
      <c r="W36" s="3"/>
      <c r="X36" s="10"/>
      <c r="Y36" s="17"/>
      <c r="Z36" s="2"/>
      <c r="AA36" s="2"/>
      <c r="AB36" s="2"/>
      <c r="AC36" s="3"/>
      <c r="AD36" s="37"/>
      <c r="AE36" s="9"/>
      <c r="AF36" s="2"/>
      <c r="AG36" s="2"/>
      <c r="AH36" s="2"/>
      <c r="AI36" s="3"/>
      <c r="AJ36" s="10"/>
      <c r="AK36" s="28"/>
      <c r="AL36" s="3"/>
      <c r="AM36" s="3"/>
      <c r="AN36" s="10"/>
      <c r="AO36" s="28"/>
      <c r="AP36" s="28"/>
      <c r="AQ36" s="3"/>
      <c r="AR36" s="10"/>
      <c r="AS36" s="20"/>
      <c r="AT36" s="28"/>
      <c r="AU36" s="3"/>
      <c r="AV36" s="10"/>
      <c r="AW36" s="20"/>
      <c r="AX36" s="28"/>
      <c r="AY36" s="3"/>
      <c r="AZ36" s="10"/>
      <c r="BA36" s="20"/>
      <c r="BB36" s="28"/>
      <c r="BC36" s="3"/>
      <c r="BD36" s="10"/>
      <c r="BE36" s="23"/>
      <c r="BF36" s="28"/>
      <c r="BG36" s="3"/>
      <c r="BH36" s="10"/>
      <c r="BI36" s="20"/>
      <c r="BJ36" s="28"/>
      <c r="BK36" s="3"/>
      <c r="BL36" s="10"/>
    </row>
    <row r="37" spans="2:64" ht="15" x14ac:dyDescent="0.25">
      <c r="B37" s="62">
        <f t="shared" si="0"/>
        <v>0</v>
      </c>
      <c r="C37" s="47">
        <f t="shared" si="1"/>
        <v>0</v>
      </c>
      <c r="D37" s="47">
        <f t="shared" si="2"/>
        <v>0</v>
      </c>
      <c r="E37" s="47">
        <f t="shared" si="3"/>
        <v>0</v>
      </c>
      <c r="F37" s="47">
        <f t="shared" si="4"/>
        <v>0</v>
      </c>
      <c r="G37" s="47">
        <f t="shared" si="5"/>
        <v>0</v>
      </c>
      <c r="H37" s="47">
        <f t="shared" si="6"/>
        <v>0</v>
      </c>
      <c r="I37" s="47">
        <f t="shared" si="7"/>
        <v>0</v>
      </c>
      <c r="J37" s="47">
        <f t="shared" si="8"/>
        <v>0</v>
      </c>
      <c r="K37" s="63">
        <f t="shared" si="9"/>
        <v>0</v>
      </c>
      <c r="L37" s="55">
        <f t="shared" si="10"/>
        <v>0</v>
      </c>
      <c r="N37" s="33">
        <v>18</v>
      </c>
      <c r="O37" s="28"/>
      <c r="P37" s="88"/>
      <c r="Q37" s="88"/>
      <c r="R37" s="37"/>
      <c r="S37" s="20"/>
      <c r="T37" s="3"/>
      <c r="U37" s="3"/>
      <c r="V37" s="3"/>
      <c r="W37" s="3"/>
      <c r="X37" s="10"/>
      <c r="Y37" s="17"/>
      <c r="Z37" s="2"/>
      <c r="AA37" s="2"/>
      <c r="AB37" s="2"/>
      <c r="AC37" s="3"/>
      <c r="AD37" s="37"/>
      <c r="AE37" s="9"/>
      <c r="AF37" s="2"/>
      <c r="AG37" s="2"/>
      <c r="AH37" s="2"/>
      <c r="AI37" s="3"/>
      <c r="AJ37" s="10"/>
      <c r="AK37" s="28"/>
      <c r="AL37" s="3"/>
      <c r="AM37" s="3"/>
      <c r="AN37" s="10"/>
      <c r="AO37" s="28"/>
      <c r="AP37" s="28"/>
      <c r="AQ37" s="3"/>
      <c r="AR37" s="10"/>
      <c r="AS37" s="20"/>
      <c r="AT37" s="28"/>
      <c r="AU37" s="3"/>
      <c r="AV37" s="10"/>
      <c r="AW37" s="20"/>
      <c r="AX37" s="28"/>
      <c r="AY37" s="3"/>
      <c r="AZ37" s="10"/>
      <c r="BA37" s="20"/>
      <c r="BB37" s="28"/>
      <c r="BC37" s="3"/>
      <c r="BD37" s="10"/>
      <c r="BE37" s="23"/>
      <c r="BF37" s="28"/>
      <c r="BG37" s="3"/>
      <c r="BH37" s="10"/>
      <c r="BI37" s="20"/>
      <c r="BJ37" s="28"/>
      <c r="BK37" s="3"/>
      <c r="BL37" s="10"/>
    </row>
    <row r="38" spans="2:64" ht="15" x14ac:dyDescent="0.25">
      <c r="B38" s="62">
        <f t="shared" si="0"/>
        <v>0</v>
      </c>
      <c r="C38" s="47">
        <f t="shared" si="1"/>
        <v>0</v>
      </c>
      <c r="D38" s="47">
        <f t="shared" si="2"/>
        <v>0</v>
      </c>
      <c r="E38" s="47">
        <f t="shared" si="3"/>
        <v>0</v>
      </c>
      <c r="F38" s="47">
        <f t="shared" si="4"/>
        <v>0</v>
      </c>
      <c r="G38" s="47">
        <f t="shared" si="5"/>
        <v>0</v>
      </c>
      <c r="H38" s="47">
        <f t="shared" si="6"/>
        <v>0</v>
      </c>
      <c r="I38" s="47">
        <f t="shared" si="7"/>
        <v>0</v>
      </c>
      <c r="J38" s="47">
        <f t="shared" si="8"/>
        <v>0</v>
      </c>
      <c r="K38" s="63">
        <f t="shared" si="9"/>
        <v>0</v>
      </c>
      <c r="L38" s="55">
        <f t="shared" si="10"/>
        <v>0</v>
      </c>
      <c r="N38" s="33">
        <v>19</v>
      </c>
      <c r="O38" s="28"/>
      <c r="P38" s="88"/>
      <c r="Q38" s="88"/>
      <c r="R38" s="37"/>
      <c r="S38" s="20"/>
      <c r="T38" s="3"/>
      <c r="U38" s="3"/>
      <c r="V38" s="3"/>
      <c r="W38" s="3"/>
      <c r="X38" s="10"/>
      <c r="Y38" s="17"/>
      <c r="Z38" s="2"/>
      <c r="AA38" s="2"/>
      <c r="AB38" s="2"/>
      <c r="AC38" s="3"/>
      <c r="AD38" s="37"/>
      <c r="AE38" s="9"/>
      <c r="AF38" s="2"/>
      <c r="AG38" s="2"/>
      <c r="AH38" s="2"/>
      <c r="AI38" s="3"/>
      <c r="AJ38" s="10"/>
      <c r="AK38" s="28"/>
      <c r="AL38" s="3"/>
      <c r="AM38" s="3"/>
      <c r="AN38" s="10"/>
      <c r="AO38" s="28"/>
      <c r="AP38" s="28"/>
      <c r="AQ38" s="3"/>
      <c r="AR38" s="10"/>
      <c r="AS38" s="20"/>
      <c r="AT38" s="28"/>
      <c r="AU38" s="3"/>
      <c r="AV38" s="10"/>
      <c r="AW38" s="20"/>
      <c r="AX38" s="28"/>
      <c r="AY38" s="3"/>
      <c r="AZ38" s="10"/>
      <c r="BA38" s="20"/>
      <c r="BB38" s="28"/>
      <c r="BC38" s="3"/>
      <c r="BD38" s="10"/>
      <c r="BE38" s="23"/>
      <c r="BF38" s="28"/>
      <c r="BG38" s="3"/>
      <c r="BH38" s="10"/>
      <c r="BI38" s="20"/>
      <c r="BJ38" s="28"/>
      <c r="BK38" s="3"/>
      <c r="BL38" s="10"/>
    </row>
    <row r="39" spans="2:64" ht="15" x14ac:dyDescent="0.25">
      <c r="B39" s="62">
        <f t="shared" si="0"/>
        <v>0</v>
      </c>
      <c r="C39" s="47">
        <f t="shared" si="1"/>
        <v>0</v>
      </c>
      <c r="D39" s="47">
        <f t="shared" si="2"/>
        <v>0</v>
      </c>
      <c r="E39" s="47">
        <f t="shared" si="3"/>
        <v>0</v>
      </c>
      <c r="F39" s="47">
        <f t="shared" si="4"/>
        <v>0</v>
      </c>
      <c r="G39" s="47">
        <f t="shared" si="5"/>
        <v>0</v>
      </c>
      <c r="H39" s="47">
        <f t="shared" si="6"/>
        <v>0</v>
      </c>
      <c r="I39" s="47">
        <f t="shared" si="7"/>
        <v>0</v>
      </c>
      <c r="J39" s="47">
        <f t="shared" si="8"/>
        <v>0</v>
      </c>
      <c r="K39" s="63">
        <f t="shared" si="9"/>
        <v>0</v>
      </c>
      <c r="L39" s="55">
        <f t="shared" si="10"/>
        <v>0</v>
      </c>
      <c r="N39" s="33">
        <v>20</v>
      </c>
      <c r="O39" s="28"/>
      <c r="P39" s="88"/>
      <c r="Q39" s="88"/>
      <c r="R39" s="37"/>
      <c r="S39" s="20"/>
      <c r="T39" s="3"/>
      <c r="U39" s="3"/>
      <c r="V39" s="3"/>
      <c r="W39" s="3"/>
      <c r="X39" s="10"/>
      <c r="Y39" s="17"/>
      <c r="Z39" s="2"/>
      <c r="AA39" s="2"/>
      <c r="AB39" s="2"/>
      <c r="AC39" s="3"/>
      <c r="AD39" s="37"/>
      <c r="AE39" s="9"/>
      <c r="AF39" s="2"/>
      <c r="AG39" s="2"/>
      <c r="AH39" s="2"/>
      <c r="AI39" s="3"/>
      <c r="AJ39" s="10"/>
      <c r="AK39" s="28"/>
      <c r="AL39" s="3"/>
      <c r="AM39" s="3"/>
      <c r="AN39" s="10"/>
      <c r="AO39" s="28"/>
      <c r="AP39" s="28"/>
      <c r="AQ39" s="3"/>
      <c r="AR39" s="10"/>
      <c r="AS39" s="20"/>
      <c r="AT39" s="28"/>
      <c r="AU39" s="3"/>
      <c r="AV39" s="10"/>
      <c r="AW39" s="20"/>
      <c r="AX39" s="28"/>
      <c r="AY39" s="3"/>
      <c r="AZ39" s="10"/>
      <c r="BA39" s="20"/>
      <c r="BB39" s="28"/>
      <c r="BC39" s="3"/>
      <c r="BD39" s="10"/>
      <c r="BE39" s="23"/>
      <c r="BF39" s="28"/>
      <c r="BG39" s="3"/>
      <c r="BH39" s="10"/>
      <c r="BI39" s="20"/>
      <c r="BJ39" s="28"/>
      <c r="BK39" s="3"/>
      <c r="BL39" s="10"/>
    </row>
    <row r="40" spans="2:64" ht="15" x14ac:dyDescent="0.25">
      <c r="B40" s="62">
        <f t="shared" si="0"/>
        <v>0</v>
      </c>
      <c r="C40" s="47">
        <f t="shared" si="1"/>
        <v>0</v>
      </c>
      <c r="D40" s="47">
        <f t="shared" si="2"/>
        <v>0</v>
      </c>
      <c r="E40" s="47">
        <f t="shared" si="3"/>
        <v>0</v>
      </c>
      <c r="F40" s="47">
        <f t="shared" si="4"/>
        <v>0</v>
      </c>
      <c r="G40" s="47">
        <f t="shared" si="5"/>
        <v>0</v>
      </c>
      <c r="H40" s="47">
        <f t="shared" si="6"/>
        <v>0</v>
      </c>
      <c r="I40" s="47">
        <f t="shared" si="7"/>
        <v>0</v>
      </c>
      <c r="J40" s="47">
        <f t="shared" si="8"/>
        <v>0</v>
      </c>
      <c r="K40" s="63">
        <f t="shared" si="9"/>
        <v>0</v>
      </c>
      <c r="L40" s="55">
        <f t="shared" si="10"/>
        <v>0</v>
      </c>
      <c r="N40" s="33">
        <v>21</v>
      </c>
      <c r="O40" s="28"/>
      <c r="P40" s="88"/>
      <c r="Q40" s="88"/>
      <c r="R40" s="37"/>
      <c r="S40" s="20"/>
      <c r="T40" s="3"/>
      <c r="U40" s="3"/>
      <c r="V40" s="3"/>
      <c r="W40" s="3"/>
      <c r="X40" s="10"/>
      <c r="Y40" s="17"/>
      <c r="Z40" s="2"/>
      <c r="AA40" s="2"/>
      <c r="AB40" s="2"/>
      <c r="AC40" s="3"/>
      <c r="AD40" s="37"/>
      <c r="AE40" s="9"/>
      <c r="AF40" s="2"/>
      <c r="AG40" s="2"/>
      <c r="AH40" s="2"/>
      <c r="AI40" s="3"/>
      <c r="AJ40" s="10"/>
      <c r="AK40" s="28"/>
      <c r="AL40" s="3"/>
      <c r="AM40" s="3"/>
      <c r="AN40" s="10"/>
      <c r="AO40" s="28"/>
      <c r="AP40" s="28"/>
      <c r="AQ40" s="3"/>
      <c r="AR40" s="10"/>
      <c r="AS40" s="20"/>
      <c r="AT40" s="28"/>
      <c r="AU40" s="3"/>
      <c r="AV40" s="10"/>
      <c r="AW40" s="20"/>
      <c r="AX40" s="28"/>
      <c r="AY40" s="3"/>
      <c r="AZ40" s="10"/>
      <c r="BA40" s="20"/>
      <c r="BB40" s="28"/>
      <c r="BC40" s="3"/>
      <c r="BD40" s="10"/>
      <c r="BE40" s="23"/>
      <c r="BF40" s="28"/>
      <c r="BG40" s="3"/>
      <c r="BH40" s="10"/>
      <c r="BI40" s="20"/>
      <c r="BJ40" s="28"/>
      <c r="BK40" s="3"/>
      <c r="BL40" s="10"/>
    </row>
    <row r="41" spans="2:64" ht="15" x14ac:dyDescent="0.25">
      <c r="B41" s="62">
        <f t="shared" si="0"/>
        <v>0</v>
      </c>
      <c r="C41" s="47">
        <f t="shared" si="1"/>
        <v>0</v>
      </c>
      <c r="D41" s="47">
        <f t="shared" si="2"/>
        <v>0</v>
      </c>
      <c r="E41" s="47">
        <f t="shared" si="3"/>
        <v>0</v>
      </c>
      <c r="F41" s="47">
        <f t="shared" si="4"/>
        <v>0</v>
      </c>
      <c r="G41" s="47">
        <f t="shared" si="5"/>
        <v>0</v>
      </c>
      <c r="H41" s="47">
        <f t="shared" si="6"/>
        <v>0</v>
      </c>
      <c r="I41" s="47">
        <f t="shared" si="7"/>
        <v>0</v>
      </c>
      <c r="J41" s="47">
        <f t="shared" si="8"/>
        <v>0</v>
      </c>
      <c r="K41" s="63">
        <f t="shared" si="9"/>
        <v>0</v>
      </c>
      <c r="L41" s="55">
        <f t="shared" si="10"/>
        <v>0</v>
      </c>
      <c r="N41" s="33">
        <v>22</v>
      </c>
      <c r="O41" s="28"/>
      <c r="P41" s="88"/>
      <c r="Q41" s="88"/>
      <c r="R41" s="37"/>
      <c r="S41" s="20"/>
      <c r="T41" s="3"/>
      <c r="U41" s="3"/>
      <c r="V41" s="3"/>
      <c r="W41" s="3"/>
      <c r="X41" s="10"/>
      <c r="Y41" s="17"/>
      <c r="Z41" s="2"/>
      <c r="AA41" s="2"/>
      <c r="AB41" s="2"/>
      <c r="AC41" s="3"/>
      <c r="AD41" s="37"/>
      <c r="AE41" s="9"/>
      <c r="AF41" s="2"/>
      <c r="AG41" s="2"/>
      <c r="AH41" s="2"/>
      <c r="AI41" s="3"/>
      <c r="AJ41" s="10"/>
      <c r="AK41" s="28"/>
      <c r="AL41" s="3"/>
      <c r="AM41" s="3"/>
      <c r="AN41" s="10"/>
      <c r="AO41" s="28"/>
      <c r="AP41" s="28"/>
      <c r="AQ41" s="3"/>
      <c r="AR41" s="10"/>
      <c r="AS41" s="20"/>
      <c r="AT41" s="28"/>
      <c r="AU41" s="3"/>
      <c r="AV41" s="10"/>
      <c r="AW41" s="20"/>
      <c r="AX41" s="28"/>
      <c r="AY41" s="3"/>
      <c r="AZ41" s="10"/>
      <c r="BA41" s="20"/>
      <c r="BB41" s="28"/>
      <c r="BC41" s="3"/>
      <c r="BD41" s="10"/>
      <c r="BE41" s="23"/>
      <c r="BF41" s="28"/>
      <c r="BG41" s="3"/>
      <c r="BH41" s="10"/>
      <c r="BI41" s="20"/>
      <c r="BJ41" s="28"/>
      <c r="BK41" s="3"/>
      <c r="BL41" s="10"/>
    </row>
    <row r="42" spans="2:64" ht="15" x14ac:dyDescent="0.25">
      <c r="B42" s="62">
        <f t="shared" si="0"/>
        <v>0</v>
      </c>
      <c r="C42" s="47">
        <f t="shared" si="1"/>
        <v>0</v>
      </c>
      <c r="D42" s="47">
        <f t="shared" si="2"/>
        <v>0</v>
      </c>
      <c r="E42" s="47">
        <f t="shared" si="3"/>
        <v>0</v>
      </c>
      <c r="F42" s="47">
        <f t="shared" si="4"/>
        <v>0</v>
      </c>
      <c r="G42" s="47">
        <f t="shared" si="5"/>
        <v>0</v>
      </c>
      <c r="H42" s="47">
        <f t="shared" si="6"/>
        <v>0</v>
      </c>
      <c r="I42" s="47">
        <f t="shared" si="7"/>
        <v>0</v>
      </c>
      <c r="J42" s="47">
        <f t="shared" si="8"/>
        <v>0</v>
      </c>
      <c r="K42" s="63">
        <f t="shared" si="9"/>
        <v>0</v>
      </c>
      <c r="L42" s="55">
        <f t="shared" si="10"/>
        <v>0</v>
      </c>
      <c r="N42" s="33">
        <v>23</v>
      </c>
      <c r="O42" s="28"/>
      <c r="P42" s="88"/>
      <c r="Q42" s="88"/>
      <c r="R42" s="37"/>
      <c r="S42" s="20"/>
      <c r="T42" s="3"/>
      <c r="U42" s="3"/>
      <c r="V42" s="3"/>
      <c r="W42" s="3"/>
      <c r="X42" s="10"/>
      <c r="Y42" s="17"/>
      <c r="Z42" s="2"/>
      <c r="AA42" s="2"/>
      <c r="AB42" s="2"/>
      <c r="AC42" s="3"/>
      <c r="AD42" s="37"/>
      <c r="AE42" s="9"/>
      <c r="AF42" s="2"/>
      <c r="AG42" s="2"/>
      <c r="AH42" s="2"/>
      <c r="AI42" s="3"/>
      <c r="AJ42" s="10"/>
      <c r="AK42" s="28"/>
      <c r="AL42" s="3"/>
      <c r="AM42" s="3"/>
      <c r="AN42" s="10"/>
      <c r="AO42" s="28"/>
      <c r="AP42" s="28"/>
      <c r="AQ42" s="3"/>
      <c r="AR42" s="10"/>
      <c r="AS42" s="20"/>
      <c r="AT42" s="28"/>
      <c r="AU42" s="3"/>
      <c r="AV42" s="10"/>
      <c r="AW42" s="20"/>
      <c r="AX42" s="28"/>
      <c r="AY42" s="3"/>
      <c r="AZ42" s="10"/>
      <c r="BA42" s="20"/>
      <c r="BB42" s="28"/>
      <c r="BC42" s="3"/>
      <c r="BD42" s="10"/>
      <c r="BE42" s="23"/>
      <c r="BF42" s="28"/>
      <c r="BG42" s="3"/>
      <c r="BH42" s="10"/>
      <c r="BI42" s="20"/>
      <c r="BJ42" s="28"/>
      <c r="BK42" s="3"/>
      <c r="BL42" s="10"/>
    </row>
    <row r="43" spans="2:64" ht="15" x14ac:dyDescent="0.25">
      <c r="B43" s="62">
        <f t="shared" si="0"/>
        <v>0</v>
      </c>
      <c r="C43" s="47">
        <f t="shared" si="1"/>
        <v>0</v>
      </c>
      <c r="D43" s="47">
        <f t="shared" si="2"/>
        <v>0</v>
      </c>
      <c r="E43" s="47">
        <f t="shared" si="3"/>
        <v>0</v>
      </c>
      <c r="F43" s="47">
        <f t="shared" si="4"/>
        <v>0</v>
      </c>
      <c r="G43" s="47">
        <f t="shared" si="5"/>
        <v>0</v>
      </c>
      <c r="H43" s="47">
        <f t="shared" si="6"/>
        <v>0</v>
      </c>
      <c r="I43" s="47">
        <f t="shared" si="7"/>
        <v>0</v>
      </c>
      <c r="J43" s="47">
        <f t="shared" si="8"/>
        <v>0</v>
      </c>
      <c r="K43" s="63">
        <f t="shared" si="9"/>
        <v>0</v>
      </c>
      <c r="L43" s="55">
        <f t="shared" si="10"/>
        <v>0</v>
      </c>
      <c r="N43" s="33">
        <v>24</v>
      </c>
      <c r="O43" s="28"/>
      <c r="P43" s="88"/>
      <c r="Q43" s="88"/>
      <c r="R43" s="37"/>
      <c r="S43" s="20"/>
      <c r="T43" s="3"/>
      <c r="U43" s="3"/>
      <c r="V43" s="3"/>
      <c r="W43" s="3"/>
      <c r="X43" s="10"/>
      <c r="Y43" s="17"/>
      <c r="Z43" s="2"/>
      <c r="AA43" s="2"/>
      <c r="AB43" s="2"/>
      <c r="AC43" s="3"/>
      <c r="AD43" s="37"/>
      <c r="AE43" s="9"/>
      <c r="AF43" s="2"/>
      <c r="AG43" s="2"/>
      <c r="AH43" s="2"/>
      <c r="AI43" s="3"/>
      <c r="AJ43" s="10"/>
      <c r="AK43" s="28"/>
      <c r="AL43" s="3"/>
      <c r="AM43" s="3"/>
      <c r="AN43" s="10"/>
      <c r="AO43" s="28"/>
      <c r="AP43" s="28"/>
      <c r="AQ43" s="3"/>
      <c r="AR43" s="10"/>
      <c r="AS43" s="20"/>
      <c r="AT43" s="28"/>
      <c r="AU43" s="3"/>
      <c r="AV43" s="10"/>
      <c r="AW43" s="20"/>
      <c r="AX43" s="28"/>
      <c r="AY43" s="3"/>
      <c r="AZ43" s="10"/>
      <c r="BA43" s="20"/>
      <c r="BB43" s="28"/>
      <c r="BC43" s="3"/>
      <c r="BD43" s="10"/>
      <c r="BE43" s="23"/>
      <c r="BF43" s="28"/>
      <c r="BG43" s="3"/>
      <c r="BH43" s="10"/>
      <c r="BI43" s="20"/>
      <c r="BJ43" s="28"/>
      <c r="BK43" s="3"/>
      <c r="BL43" s="10"/>
    </row>
    <row r="44" spans="2:64" ht="15" x14ac:dyDescent="0.25">
      <c r="B44" s="62">
        <f t="shared" si="0"/>
        <v>0</v>
      </c>
      <c r="C44" s="47">
        <f t="shared" si="1"/>
        <v>0</v>
      </c>
      <c r="D44" s="47">
        <f t="shared" si="2"/>
        <v>0</v>
      </c>
      <c r="E44" s="47">
        <f t="shared" si="3"/>
        <v>0</v>
      </c>
      <c r="F44" s="47">
        <f t="shared" si="4"/>
        <v>0</v>
      </c>
      <c r="G44" s="47">
        <f t="shared" si="5"/>
        <v>0</v>
      </c>
      <c r="H44" s="47">
        <f t="shared" si="6"/>
        <v>0</v>
      </c>
      <c r="I44" s="47">
        <f t="shared" si="7"/>
        <v>0</v>
      </c>
      <c r="J44" s="47">
        <f t="shared" si="8"/>
        <v>0</v>
      </c>
      <c r="K44" s="63">
        <f t="shared" si="9"/>
        <v>0</v>
      </c>
      <c r="L44" s="55">
        <f t="shared" si="10"/>
        <v>0</v>
      </c>
      <c r="N44" s="33">
        <v>25</v>
      </c>
      <c r="O44" s="28"/>
      <c r="P44" s="88"/>
      <c r="Q44" s="88"/>
      <c r="R44" s="37"/>
      <c r="S44" s="20"/>
      <c r="T44" s="3"/>
      <c r="U44" s="3"/>
      <c r="V44" s="3"/>
      <c r="W44" s="3"/>
      <c r="X44" s="10"/>
      <c r="Y44" s="17"/>
      <c r="Z44" s="2"/>
      <c r="AA44" s="2"/>
      <c r="AB44" s="2"/>
      <c r="AC44" s="3"/>
      <c r="AD44" s="37"/>
      <c r="AE44" s="9"/>
      <c r="AF44" s="2"/>
      <c r="AG44" s="2"/>
      <c r="AH44" s="2"/>
      <c r="AI44" s="3"/>
      <c r="AJ44" s="10"/>
      <c r="AK44" s="28"/>
      <c r="AL44" s="3"/>
      <c r="AM44" s="3"/>
      <c r="AN44" s="10"/>
      <c r="AO44" s="28"/>
      <c r="AP44" s="28"/>
      <c r="AQ44" s="3"/>
      <c r="AR44" s="10"/>
      <c r="AS44" s="20"/>
      <c r="AT44" s="28"/>
      <c r="AU44" s="3"/>
      <c r="AV44" s="10"/>
      <c r="AW44" s="20"/>
      <c r="AX44" s="28"/>
      <c r="AY44" s="3"/>
      <c r="AZ44" s="10"/>
      <c r="BA44" s="20"/>
      <c r="BB44" s="28"/>
      <c r="BC44" s="3"/>
      <c r="BD44" s="10"/>
      <c r="BE44" s="23"/>
      <c r="BF44" s="28"/>
      <c r="BG44" s="3"/>
      <c r="BH44" s="10"/>
      <c r="BI44" s="20"/>
      <c r="BJ44" s="28"/>
      <c r="BK44" s="3"/>
      <c r="BL44" s="10"/>
    </row>
    <row r="45" spans="2:64" ht="15" x14ac:dyDescent="0.25">
      <c r="B45" s="62">
        <f t="shared" si="0"/>
        <v>0</v>
      </c>
      <c r="C45" s="47">
        <f t="shared" si="1"/>
        <v>0</v>
      </c>
      <c r="D45" s="47">
        <f t="shared" si="2"/>
        <v>0</v>
      </c>
      <c r="E45" s="47">
        <f t="shared" si="3"/>
        <v>0</v>
      </c>
      <c r="F45" s="47">
        <f t="shared" si="4"/>
        <v>0</v>
      </c>
      <c r="G45" s="47">
        <f t="shared" si="5"/>
        <v>0</v>
      </c>
      <c r="H45" s="47">
        <f t="shared" si="6"/>
        <v>0</v>
      </c>
      <c r="I45" s="47">
        <f t="shared" si="7"/>
        <v>0</v>
      </c>
      <c r="J45" s="47">
        <f t="shared" si="8"/>
        <v>0</v>
      </c>
      <c r="K45" s="63">
        <f t="shared" si="9"/>
        <v>0</v>
      </c>
      <c r="L45" s="55">
        <f t="shared" si="10"/>
        <v>0</v>
      </c>
      <c r="N45" s="33">
        <v>26</v>
      </c>
      <c r="O45" s="28"/>
      <c r="P45" s="88"/>
      <c r="Q45" s="88"/>
      <c r="R45" s="37"/>
      <c r="S45" s="20"/>
      <c r="T45" s="3"/>
      <c r="U45" s="3"/>
      <c r="V45" s="3"/>
      <c r="W45" s="3"/>
      <c r="X45" s="10"/>
      <c r="Y45" s="17"/>
      <c r="Z45" s="2"/>
      <c r="AA45" s="2"/>
      <c r="AB45" s="2"/>
      <c r="AC45" s="3"/>
      <c r="AD45" s="37"/>
      <c r="AE45" s="9"/>
      <c r="AF45" s="2"/>
      <c r="AG45" s="2"/>
      <c r="AH45" s="2"/>
      <c r="AI45" s="3"/>
      <c r="AJ45" s="10"/>
      <c r="AK45" s="28"/>
      <c r="AL45" s="3"/>
      <c r="AM45" s="3"/>
      <c r="AN45" s="10"/>
      <c r="AO45" s="28"/>
      <c r="AP45" s="28"/>
      <c r="AQ45" s="3"/>
      <c r="AR45" s="10"/>
      <c r="AS45" s="20"/>
      <c r="AT45" s="28"/>
      <c r="AU45" s="3"/>
      <c r="AV45" s="10"/>
      <c r="AW45" s="20"/>
      <c r="AX45" s="28"/>
      <c r="AY45" s="3"/>
      <c r="AZ45" s="10"/>
      <c r="BA45" s="20"/>
      <c r="BB45" s="28"/>
      <c r="BC45" s="3"/>
      <c r="BD45" s="10"/>
      <c r="BE45" s="23"/>
      <c r="BF45" s="28"/>
      <c r="BG45" s="3"/>
      <c r="BH45" s="10"/>
      <c r="BI45" s="20"/>
      <c r="BJ45" s="28"/>
      <c r="BK45" s="3"/>
      <c r="BL45" s="10"/>
    </row>
    <row r="46" spans="2:64" ht="15" x14ac:dyDescent="0.25">
      <c r="B46" s="62">
        <f t="shared" si="0"/>
        <v>0</v>
      </c>
      <c r="C46" s="47">
        <f t="shared" si="1"/>
        <v>0</v>
      </c>
      <c r="D46" s="47">
        <f t="shared" si="2"/>
        <v>0</v>
      </c>
      <c r="E46" s="47">
        <f t="shared" si="3"/>
        <v>0</v>
      </c>
      <c r="F46" s="47">
        <f t="shared" si="4"/>
        <v>0</v>
      </c>
      <c r="G46" s="47">
        <f t="shared" si="5"/>
        <v>0</v>
      </c>
      <c r="H46" s="47">
        <f t="shared" si="6"/>
        <v>0</v>
      </c>
      <c r="I46" s="47">
        <f t="shared" si="7"/>
        <v>0</v>
      </c>
      <c r="J46" s="47">
        <f t="shared" si="8"/>
        <v>0</v>
      </c>
      <c r="K46" s="63">
        <f t="shared" si="9"/>
        <v>0</v>
      </c>
      <c r="L46" s="55">
        <f t="shared" si="10"/>
        <v>0</v>
      </c>
      <c r="N46" s="33">
        <v>27</v>
      </c>
      <c r="O46" s="28"/>
      <c r="P46" s="88"/>
      <c r="Q46" s="88"/>
      <c r="R46" s="37"/>
      <c r="S46" s="20"/>
      <c r="T46" s="3"/>
      <c r="U46" s="3"/>
      <c r="V46" s="3"/>
      <c r="W46" s="3"/>
      <c r="X46" s="10"/>
      <c r="Y46" s="17"/>
      <c r="Z46" s="2"/>
      <c r="AA46" s="2"/>
      <c r="AB46" s="2"/>
      <c r="AC46" s="3"/>
      <c r="AD46" s="37"/>
      <c r="AE46" s="9"/>
      <c r="AF46" s="2"/>
      <c r="AG46" s="2"/>
      <c r="AH46" s="2"/>
      <c r="AI46" s="3"/>
      <c r="AJ46" s="10"/>
      <c r="AK46" s="28"/>
      <c r="AL46" s="3"/>
      <c r="AM46" s="3"/>
      <c r="AN46" s="10"/>
      <c r="AO46" s="28"/>
      <c r="AP46" s="28"/>
      <c r="AQ46" s="3"/>
      <c r="AR46" s="10"/>
      <c r="AS46" s="20"/>
      <c r="AT46" s="28"/>
      <c r="AU46" s="3"/>
      <c r="AV46" s="10"/>
      <c r="AW46" s="20"/>
      <c r="AX46" s="28"/>
      <c r="AY46" s="3"/>
      <c r="AZ46" s="10"/>
      <c r="BA46" s="20"/>
      <c r="BB46" s="28"/>
      <c r="BC46" s="3"/>
      <c r="BD46" s="10"/>
      <c r="BE46" s="23"/>
      <c r="BF46" s="28"/>
      <c r="BG46" s="3"/>
      <c r="BH46" s="10"/>
      <c r="BI46" s="20"/>
      <c r="BJ46" s="28"/>
      <c r="BK46" s="3"/>
      <c r="BL46" s="10"/>
    </row>
    <row r="47" spans="2:64" ht="15" x14ac:dyDescent="0.25">
      <c r="B47" s="62">
        <f t="shared" si="0"/>
        <v>0</v>
      </c>
      <c r="C47" s="47">
        <f t="shared" si="1"/>
        <v>0</v>
      </c>
      <c r="D47" s="47">
        <f t="shared" si="2"/>
        <v>0</v>
      </c>
      <c r="E47" s="47">
        <f t="shared" si="3"/>
        <v>0</v>
      </c>
      <c r="F47" s="47">
        <f t="shared" si="4"/>
        <v>0</v>
      </c>
      <c r="G47" s="47">
        <f t="shared" si="5"/>
        <v>0</v>
      </c>
      <c r="H47" s="47">
        <f t="shared" si="6"/>
        <v>0</v>
      </c>
      <c r="I47" s="47">
        <f t="shared" si="7"/>
        <v>0</v>
      </c>
      <c r="J47" s="47">
        <f t="shared" si="8"/>
        <v>0</v>
      </c>
      <c r="K47" s="63">
        <f t="shared" si="9"/>
        <v>0</v>
      </c>
      <c r="L47" s="55">
        <f t="shared" si="10"/>
        <v>0</v>
      </c>
      <c r="N47" s="33">
        <v>28</v>
      </c>
      <c r="O47" s="28"/>
      <c r="P47" s="88"/>
      <c r="Q47" s="88"/>
      <c r="R47" s="37"/>
      <c r="S47" s="20"/>
      <c r="T47" s="3"/>
      <c r="U47" s="3"/>
      <c r="V47" s="3"/>
      <c r="W47" s="3"/>
      <c r="X47" s="10"/>
      <c r="Y47" s="17"/>
      <c r="Z47" s="2"/>
      <c r="AA47" s="2"/>
      <c r="AB47" s="2"/>
      <c r="AC47" s="3"/>
      <c r="AD47" s="37"/>
      <c r="AE47" s="9"/>
      <c r="AF47" s="2"/>
      <c r="AG47" s="2"/>
      <c r="AH47" s="2"/>
      <c r="AI47" s="3"/>
      <c r="AJ47" s="10"/>
      <c r="AK47" s="28"/>
      <c r="AL47" s="3"/>
      <c r="AM47" s="3"/>
      <c r="AN47" s="10"/>
      <c r="AO47" s="28"/>
      <c r="AP47" s="28"/>
      <c r="AQ47" s="3"/>
      <c r="AR47" s="10"/>
      <c r="AS47" s="20"/>
      <c r="AT47" s="28"/>
      <c r="AU47" s="3"/>
      <c r="AV47" s="10"/>
      <c r="AW47" s="20"/>
      <c r="AX47" s="28"/>
      <c r="AY47" s="3"/>
      <c r="AZ47" s="10"/>
      <c r="BA47" s="20"/>
      <c r="BB47" s="28"/>
      <c r="BC47" s="3"/>
      <c r="BD47" s="10"/>
      <c r="BE47" s="23"/>
      <c r="BF47" s="28"/>
      <c r="BG47" s="3"/>
      <c r="BH47" s="10"/>
      <c r="BI47" s="20"/>
      <c r="BJ47" s="28"/>
      <c r="BK47" s="3"/>
      <c r="BL47" s="10"/>
    </row>
    <row r="48" spans="2:64" ht="15" x14ac:dyDescent="0.25">
      <c r="B48" s="62">
        <f t="shared" si="0"/>
        <v>0</v>
      </c>
      <c r="C48" s="47">
        <f t="shared" si="1"/>
        <v>0</v>
      </c>
      <c r="D48" s="47">
        <f t="shared" si="2"/>
        <v>0</v>
      </c>
      <c r="E48" s="47">
        <f t="shared" si="3"/>
        <v>0</v>
      </c>
      <c r="F48" s="47">
        <f t="shared" si="4"/>
        <v>0</v>
      </c>
      <c r="G48" s="47">
        <f t="shared" si="5"/>
        <v>0</v>
      </c>
      <c r="H48" s="47">
        <f t="shared" si="6"/>
        <v>0</v>
      </c>
      <c r="I48" s="47">
        <f t="shared" si="7"/>
        <v>0</v>
      </c>
      <c r="J48" s="47">
        <f t="shared" si="8"/>
        <v>0</v>
      </c>
      <c r="K48" s="63">
        <f t="shared" si="9"/>
        <v>0</v>
      </c>
      <c r="L48" s="55">
        <f t="shared" si="10"/>
        <v>0</v>
      </c>
      <c r="N48" s="33">
        <v>29</v>
      </c>
      <c r="O48" s="28"/>
      <c r="P48" s="88"/>
      <c r="Q48" s="88"/>
      <c r="R48" s="37"/>
      <c r="S48" s="20"/>
      <c r="T48" s="3"/>
      <c r="U48" s="3"/>
      <c r="V48" s="3"/>
      <c r="W48" s="3"/>
      <c r="X48" s="10"/>
      <c r="Y48" s="17"/>
      <c r="Z48" s="2"/>
      <c r="AA48" s="2"/>
      <c r="AB48" s="2"/>
      <c r="AC48" s="3"/>
      <c r="AD48" s="37"/>
      <c r="AE48" s="9"/>
      <c r="AF48" s="2"/>
      <c r="AG48" s="2"/>
      <c r="AH48" s="2"/>
      <c r="AI48" s="3"/>
      <c r="AJ48" s="10"/>
      <c r="AK48" s="28"/>
      <c r="AL48" s="3"/>
      <c r="AM48" s="3"/>
      <c r="AN48" s="10"/>
      <c r="AO48" s="28"/>
      <c r="AP48" s="28"/>
      <c r="AQ48" s="3"/>
      <c r="AR48" s="10"/>
      <c r="AS48" s="20"/>
      <c r="AT48" s="28"/>
      <c r="AU48" s="3"/>
      <c r="AV48" s="10"/>
      <c r="AW48" s="20"/>
      <c r="AX48" s="28"/>
      <c r="AY48" s="3"/>
      <c r="AZ48" s="10"/>
      <c r="BA48" s="20"/>
      <c r="BB48" s="28"/>
      <c r="BC48" s="3"/>
      <c r="BD48" s="10"/>
      <c r="BE48" s="23"/>
      <c r="BF48" s="28"/>
      <c r="BG48" s="3"/>
      <c r="BH48" s="10"/>
      <c r="BI48" s="20"/>
      <c r="BJ48" s="28"/>
      <c r="BK48" s="3"/>
      <c r="BL48" s="10"/>
    </row>
    <row r="49" spans="2:64" x14ac:dyDescent="0.3">
      <c r="B49" s="62">
        <f t="shared" si="0"/>
        <v>0</v>
      </c>
      <c r="C49" s="47">
        <f t="shared" si="1"/>
        <v>0</v>
      </c>
      <c r="D49" s="47">
        <f t="shared" si="2"/>
        <v>0</v>
      </c>
      <c r="E49" s="47">
        <f t="shared" si="3"/>
        <v>0</v>
      </c>
      <c r="F49" s="47">
        <f t="shared" si="4"/>
        <v>0</v>
      </c>
      <c r="G49" s="47">
        <f t="shared" si="5"/>
        <v>0</v>
      </c>
      <c r="H49" s="47">
        <f t="shared" si="6"/>
        <v>0</v>
      </c>
      <c r="I49" s="47">
        <f t="shared" si="7"/>
        <v>0</v>
      </c>
      <c r="J49" s="47">
        <f t="shared" si="8"/>
        <v>0</v>
      </c>
      <c r="K49" s="63">
        <f t="shared" si="9"/>
        <v>0</v>
      </c>
      <c r="L49" s="55">
        <f t="shared" si="10"/>
        <v>0</v>
      </c>
      <c r="N49" s="33">
        <v>30</v>
      </c>
      <c r="O49" s="28"/>
      <c r="P49" s="88"/>
      <c r="Q49" s="88"/>
      <c r="R49" s="37"/>
      <c r="S49" s="20"/>
      <c r="T49" s="3"/>
      <c r="U49" s="3"/>
      <c r="V49" s="3"/>
      <c r="W49" s="3"/>
      <c r="X49" s="10"/>
      <c r="Y49" s="17"/>
      <c r="Z49" s="2"/>
      <c r="AA49" s="2"/>
      <c r="AB49" s="2"/>
      <c r="AC49" s="3"/>
      <c r="AD49" s="37"/>
      <c r="AE49" s="9"/>
      <c r="AF49" s="2"/>
      <c r="AG49" s="2"/>
      <c r="AH49" s="2"/>
      <c r="AI49" s="3"/>
      <c r="AJ49" s="10"/>
      <c r="AK49" s="28"/>
      <c r="AL49" s="3"/>
      <c r="AM49" s="3"/>
      <c r="AN49" s="10"/>
      <c r="AO49" s="28"/>
      <c r="AP49" s="28"/>
      <c r="AQ49" s="3"/>
      <c r="AR49" s="10"/>
      <c r="AS49" s="20"/>
      <c r="AT49" s="28"/>
      <c r="AU49" s="3"/>
      <c r="AV49" s="10"/>
      <c r="AW49" s="20"/>
      <c r="AX49" s="28"/>
      <c r="AY49" s="3"/>
      <c r="AZ49" s="10"/>
      <c r="BA49" s="20"/>
      <c r="BB49" s="28"/>
      <c r="BC49" s="3"/>
      <c r="BD49" s="10"/>
      <c r="BE49" s="23"/>
      <c r="BF49" s="28"/>
      <c r="BG49" s="3"/>
      <c r="BH49" s="10"/>
      <c r="BI49" s="20"/>
      <c r="BJ49" s="28"/>
      <c r="BK49" s="3"/>
      <c r="BL49" s="10"/>
    </row>
    <row r="50" spans="2:64" x14ac:dyDescent="0.3">
      <c r="B50" s="62">
        <f t="shared" si="0"/>
        <v>0</v>
      </c>
      <c r="C50" s="47">
        <f t="shared" si="1"/>
        <v>0</v>
      </c>
      <c r="D50" s="47">
        <f t="shared" si="2"/>
        <v>0</v>
      </c>
      <c r="E50" s="47">
        <f t="shared" si="3"/>
        <v>0</v>
      </c>
      <c r="F50" s="47">
        <f t="shared" si="4"/>
        <v>0</v>
      </c>
      <c r="G50" s="47">
        <f t="shared" si="5"/>
        <v>0</v>
      </c>
      <c r="H50" s="47">
        <f t="shared" si="6"/>
        <v>0</v>
      </c>
      <c r="I50" s="47">
        <f t="shared" si="7"/>
        <v>0</v>
      </c>
      <c r="J50" s="47">
        <f t="shared" si="8"/>
        <v>0</v>
      </c>
      <c r="K50" s="63">
        <f t="shared" si="9"/>
        <v>0</v>
      </c>
      <c r="L50" s="55">
        <f t="shared" si="10"/>
        <v>0</v>
      </c>
      <c r="N50" s="33">
        <v>31</v>
      </c>
      <c r="O50" s="28"/>
      <c r="P50" s="88"/>
      <c r="Q50" s="88"/>
      <c r="R50" s="37"/>
      <c r="S50" s="20"/>
      <c r="T50" s="3"/>
      <c r="U50" s="3"/>
      <c r="V50" s="3"/>
      <c r="W50" s="3"/>
      <c r="X50" s="10"/>
      <c r="Y50" s="17"/>
      <c r="Z50" s="2"/>
      <c r="AA50" s="2"/>
      <c r="AB50" s="2"/>
      <c r="AC50" s="3"/>
      <c r="AD50" s="37"/>
      <c r="AE50" s="9"/>
      <c r="AF50" s="2"/>
      <c r="AG50" s="2"/>
      <c r="AH50" s="2"/>
      <c r="AI50" s="3"/>
      <c r="AJ50" s="10"/>
      <c r="AK50" s="28"/>
      <c r="AL50" s="3"/>
      <c r="AM50" s="3"/>
      <c r="AN50" s="10"/>
      <c r="AO50" s="28"/>
      <c r="AP50" s="28"/>
      <c r="AQ50" s="3"/>
      <c r="AR50" s="10"/>
      <c r="AS50" s="20"/>
      <c r="AT50" s="28"/>
      <c r="AU50" s="3"/>
      <c r="AV50" s="10"/>
      <c r="AW50" s="20"/>
      <c r="AX50" s="28"/>
      <c r="AY50" s="3"/>
      <c r="AZ50" s="10"/>
      <c r="BA50" s="20"/>
      <c r="BB50" s="28"/>
      <c r="BC50" s="3"/>
      <c r="BD50" s="10"/>
      <c r="BE50" s="23"/>
      <c r="BF50" s="28"/>
      <c r="BG50" s="3"/>
      <c r="BH50" s="10"/>
      <c r="BI50" s="20"/>
      <c r="BJ50" s="28"/>
      <c r="BK50" s="3"/>
      <c r="BL50" s="10"/>
    </row>
    <row r="51" spans="2:64" ht="15" thickBot="1" x14ac:dyDescent="0.35">
      <c r="B51" s="64">
        <f t="shared" si="0"/>
        <v>0</v>
      </c>
      <c r="C51" s="65">
        <f t="shared" si="1"/>
        <v>0</v>
      </c>
      <c r="D51" s="65">
        <f t="shared" si="2"/>
        <v>0</v>
      </c>
      <c r="E51" s="65">
        <f t="shared" si="3"/>
        <v>0</v>
      </c>
      <c r="F51" s="65">
        <f t="shared" si="4"/>
        <v>0</v>
      </c>
      <c r="G51" s="65">
        <f t="shared" si="5"/>
        <v>0</v>
      </c>
      <c r="H51" s="65">
        <f t="shared" si="6"/>
        <v>0</v>
      </c>
      <c r="I51" s="65">
        <f t="shared" si="7"/>
        <v>0</v>
      </c>
      <c r="J51" s="65">
        <f t="shared" si="8"/>
        <v>0</v>
      </c>
      <c r="K51" s="66">
        <f t="shared" si="9"/>
        <v>0</v>
      </c>
      <c r="L51" s="55">
        <f t="shared" si="10"/>
        <v>0</v>
      </c>
      <c r="N51" s="33">
        <v>32</v>
      </c>
      <c r="O51" s="28"/>
      <c r="P51" s="88"/>
      <c r="Q51" s="88"/>
      <c r="R51" s="37"/>
      <c r="S51" s="20"/>
      <c r="T51" s="3"/>
      <c r="U51" s="3"/>
      <c r="V51" s="3"/>
      <c r="W51" s="3"/>
      <c r="X51" s="10"/>
      <c r="Y51" s="17"/>
      <c r="Z51" s="2"/>
      <c r="AA51" s="2"/>
      <c r="AB51" s="2"/>
      <c r="AC51" s="3"/>
      <c r="AD51" s="37"/>
      <c r="AE51" s="9"/>
      <c r="AF51" s="2"/>
      <c r="AG51" s="2"/>
      <c r="AH51" s="2"/>
      <c r="AI51" s="3"/>
      <c r="AJ51" s="10"/>
      <c r="AK51" s="28"/>
      <c r="AL51" s="3"/>
      <c r="AM51" s="3"/>
      <c r="AN51" s="10"/>
      <c r="AO51" s="28"/>
      <c r="AP51" s="28"/>
      <c r="AQ51" s="3"/>
      <c r="AR51" s="10"/>
      <c r="AS51" s="20"/>
      <c r="AT51" s="28"/>
      <c r="AU51" s="3"/>
      <c r="AV51" s="10"/>
      <c r="AW51" s="20"/>
      <c r="AX51" s="28"/>
      <c r="AY51" s="3"/>
      <c r="AZ51" s="10"/>
      <c r="BA51" s="20"/>
      <c r="BB51" s="28"/>
      <c r="BC51" s="3"/>
      <c r="BD51" s="10"/>
      <c r="BE51" s="23"/>
      <c r="BF51" s="28"/>
      <c r="BG51" s="3"/>
      <c r="BH51" s="10"/>
      <c r="BI51" s="20"/>
      <c r="BJ51" s="28"/>
      <c r="BK51" s="3"/>
      <c r="BL51" s="10"/>
    </row>
    <row r="52" spans="2:64" x14ac:dyDescent="0.3">
      <c r="N52" s="34" t="s">
        <v>25</v>
      </c>
      <c r="O52" s="29"/>
      <c r="P52" s="89"/>
      <c r="Q52" s="89"/>
      <c r="R52" s="38"/>
      <c r="S52" s="18">
        <f>AVERAGE(S20:S51)</f>
        <v>9.9999999999999995E-7</v>
      </c>
      <c r="T52" s="4">
        <f>AVERAGE(T20:T51)</f>
        <v>9.9999999999999995E-7</v>
      </c>
      <c r="U52" s="4">
        <f>AVERAGE(U20:U51)</f>
        <v>9.9999999999999995E-7</v>
      </c>
      <c r="V52" s="4" t="e">
        <f>AVERAGE(V20:V51)</f>
        <v>#DIV/0!</v>
      </c>
      <c r="W52" s="4">
        <f>(SUM(D20:D51)+SUM(T20:T51)+SUM(S20:S51)*0.35)/SUM(S20:U51)</f>
        <v>0.45</v>
      </c>
      <c r="X52" s="48" t="e">
        <f>AVERAGE(X20:X51)</f>
        <v>#DIV/0!</v>
      </c>
      <c r="Y52" s="58">
        <f>AVERAGE(Y20:Y51)</f>
        <v>9.9999999999999995E-7</v>
      </c>
      <c r="Z52" s="56">
        <f>AVERAGE(Z20:Z51)</f>
        <v>9.9999999999999995E-7</v>
      </c>
      <c r="AA52" s="56">
        <f>AVERAGE(AA20:AA51)</f>
        <v>9.9999999999999995E-7</v>
      </c>
      <c r="AB52" s="56" t="e">
        <f>AVERAGE(AB20:AB51)</f>
        <v>#DIV/0!</v>
      </c>
      <c r="AC52" s="56">
        <f>(SUM(B20:B51)+SUM(Z20:Z51)+SUM(Y20:Y51)*0.35)/SUM(Y20:AA51)</f>
        <v>0.45</v>
      </c>
      <c r="AD52" s="76" t="e">
        <f>AVERAGE(AD20:AD51)</f>
        <v>#DIV/0!</v>
      </c>
      <c r="AE52" s="79">
        <f>AVERAGE(AE20:AE51)</f>
        <v>9.9999999999999995E-7</v>
      </c>
      <c r="AF52" s="56">
        <f>AVERAGE(AF20:AF51)</f>
        <v>9.9999999999999995E-7</v>
      </c>
      <c r="AG52" s="56">
        <f>AVERAGE(AG20:AG51)</f>
        <v>9.9999999999999995E-7</v>
      </c>
      <c r="AH52" s="56" t="e">
        <f>AVERAGE(AH20:AH51)</f>
        <v>#DIV/0!</v>
      </c>
      <c r="AI52" s="56">
        <f>(SUM(C20:C51)+SUM(AF20:AF51)+SUM(AE20:AE51)*0.35)/SUM(AE20:AG51)</f>
        <v>0.45</v>
      </c>
      <c r="AJ52" s="57" t="e">
        <f>AVERAGE(AJ20:AJ51)</f>
        <v>#DIV/0!</v>
      </c>
      <c r="AK52" s="58">
        <f>AVERAGE(AK20:AK51)</f>
        <v>9.9999999999999995E-7</v>
      </c>
      <c r="AL52" s="56" t="e">
        <f>AVERAGE(AL20:AL51)</f>
        <v>#DIV/0!</v>
      </c>
      <c r="AM52" s="56">
        <f>SUM(E20:E51)/SUM(AK20:AK51)</f>
        <v>0</v>
      </c>
      <c r="AN52" s="57" t="e">
        <f>AVERAGE(AN20:AN51)</f>
        <v>#DIV/0!</v>
      </c>
      <c r="AO52" s="58">
        <f>AVERAGE(AO20:AO51)</f>
        <v>9.9999999999999995E-7</v>
      </c>
      <c r="AP52" s="56" t="e">
        <f>AVERAGE(AP20:AP51)</f>
        <v>#DIV/0!</v>
      </c>
      <c r="AQ52" s="56">
        <f>SUM(F20:F51)/SUM(AO20:AO51)</f>
        <v>0</v>
      </c>
      <c r="AR52" s="57" t="e">
        <f>AVERAGE(AR20:AR51)</f>
        <v>#DIV/0!</v>
      </c>
      <c r="AS52" s="58">
        <f>AVERAGE(AS20:AS51)</f>
        <v>9.9999999999999995E-7</v>
      </c>
      <c r="AT52" s="56" t="e">
        <f>AVERAGE(AT20:AT51)</f>
        <v>#DIV/0!</v>
      </c>
      <c r="AU52" s="56">
        <f>SUM(G20:G51)/SUM(AS20:AS51)</f>
        <v>0</v>
      </c>
      <c r="AV52" s="57" t="e">
        <f>AVERAGE(AV20:AV51)</f>
        <v>#DIV/0!</v>
      </c>
      <c r="AW52" s="58">
        <f>AVERAGE(AW20:AW51)</f>
        <v>9.9999999999999995E-7</v>
      </c>
      <c r="AX52" s="56" t="e">
        <f>AVERAGE(AX20:AX51)</f>
        <v>#DIV/0!</v>
      </c>
      <c r="AY52" s="56">
        <f>SUM(H20:H51)/SUM(AW20:AW51)</f>
        <v>0</v>
      </c>
      <c r="AZ52" s="57" t="e">
        <f>AVERAGE(AZ20:AZ51)</f>
        <v>#DIV/0!</v>
      </c>
      <c r="BA52" s="58">
        <f>AVERAGE(BA20:BA51)</f>
        <v>9.9999999999999995E-7</v>
      </c>
      <c r="BB52" s="56" t="e">
        <f>AVERAGE(BB20:BB51)</f>
        <v>#DIV/0!</v>
      </c>
      <c r="BC52" s="56">
        <f>SUM(I20:I51)/SUM(BA20:BA51)</f>
        <v>0</v>
      </c>
      <c r="BD52" s="57" t="e">
        <f>AVERAGE(BD20:BD51)</f>
        <v>#DIV/0!</v>
      </c>
      <c r="BE52" s="58">
        <f>AVERAGE(BE20:BE51)</f>
        <v>9.9999999999999995E-7</v>
      </c>
      <c r="BF52" s="56" t="e">
        <f>AVERAGE(BF20:BF51)</f>
        <v>#DIV/0!</v>
      </c>
      <c r="BG52" s="56">
        <f>SUM(J20:J51)/SUM(BE20:BE51)</f>
        <v>0</v>
      </c>
      <c r="BH52" s="57" t="e">
        <f>AVERAGE(BH20:BH51)</f>
        <v>#DIV/0!</v>
      </c>
      <c r="BI52" s="58">
        <f>AVERAGE(BI20:BI51)</f>
        <v>9.9999999999999995E-7</v>
      </c>
      <c r="BJ52" s="56" t="e">
        <f>AVERAGE(BJ20:BJ51)</f>
        <v>#DIV/0!</v>
      </c>
      <c r="BK52" s="56">
        <f>SUM(K20:K51)/SUM(BI20:BI51)</f>
        <v>0</v>
      </c>
      <c r="BL52" s="57" t="e">
        <f>AVERAGE(BL20:BL51)</f>
        <v>#DIV/0!</v>
      </c>
    </row>
    <row r="53" spans="2:64" x14ac:dyDescent="0.3">
      <c r="N53" s="34" t="s">
        <v>30</v>
      </c>
      <c r="O53" s="29"/>
      <c r="P53" s="89"/>
      <c r="Q53" s="89"/>
      <c r="R53" s="38"/>
      <c r="S53" s="18"/>
      <c r="T53" s="4"/>
      <c r="U53" s="4"/>
      <c r="V53" s="4"/>
      <c r="W53" s="5">
        <f>SUM(D20:D51)/SUM(U20:U51)</f>
        <v>0</v>
      </c>
      <c r="X53" s="38"/>
      <c r="Y53" s="58"/>
      <c r="Z53" s="56"/>
      <c r="AA53" s="56"/>
      <c r="AB53" s="56"/>
      <c r="AC53" s="77">
        <f>SUM(B20:B51)/SUM(AA20:AA51)</f>
        <v>0</v>
      </c>
      <c r="AD53" s="78"/>
      <c r="AE53" s="79"/>
      <c r="AF53" s="56"/>
      <c r="AG53" s="56"/>
      <c r="AH53" s="56"/>
      <c r="AI53" s="77">
        <f>SUM(C20:C51)/SUM(AG20:AG51)</f>
        <v>0</v>
      </c>
      <c r="AJ53" s="80"/>
      <c r="AK53" s="29"/>
      <c r="AL53" s="5"/>
      <c r="AM53" s="5"/>
      <c r="AN53" s="12"/>
      <c r="AO53" s="29"/>
      <c r="AP53" s="29"/>
      <c r="AQ53" s="5"/>
      <c r="AR53" s="12"/>
      <c r="AS53" s="21"/>
      <c r="AT53" s="29"/>
      <c r="AU53" s="5"/>
      <c r="AV53" s="12"/>
      <c r="AW53" s="21"/>
      <c r="AX53" s="29"/>
      <c r="AY53" s="5"/>
      <c r="AZ53" s="12"/>
      <c r="BA53" s="21"/>
      <c r="BB53" s="29"/>
      <c r="BC53" s="5"/>
      <c r="BD53" s="12"/>
      <c r="BE53" s="21"/>
      <c r="BF53" s="29"/>
      <c r="BG53" s="5"/>
      <c r="BH53" s="12"/>
      <c r="BI53" s="21"/>
      <c r="BJ53" s="29"/>
      <c r="BK53" s="5"/>
      <c r="BL53" s="12"/>
    </row>
    <row r="54" spans="2:64" x14ac:dyDescent="0.3">
      <c r="N54" s="34" t="s">
        <v>11</v>
      </c>
      <c r="O54" s="29"/>
      <c r="P54" s="89"/>
      <c r="Q54" s="89"/>
      <c r="R54" s="38"/>
      <c r="S54" s="21"/>
      <c r="T54" s="5"/>
      <c r="U54" s="5"/>
      <c r="V54" s="5"/>
      <c r="W54" s="5"/>
      <c r="X54" s="12"/>
      <c r="Y54" s="18"/>
      <c r="Z54" s="4"/>
      <c r="AA54" s="4"/>
      <c r="AB54" s="4"/>
      <c r="AC54" s="5"/>
      <c r="AD54" s="38"/>
      <c r="AE54" s="11"/>
      <c r="AF54" s="4"/>
      <c r="AG54" s="4"/>
      <c r="AH54" s="4"/>
      <c r="AI54" s="5"/>
      <c r="AJ54" s="12"/>
      <c r="AK54" s="29"/>
      <c r="AL54" s="5"/>
      <c r="AM54" s="5"/>
      <c r="AN54" s="12"/>
      <c r="AO54" s="29"/>
      <c r="AP54" s="29"/>
      <c r="AQ54" s="5"/>
      <c r="AR54" s="12"/>
      <c r="AS54" s="21"/>
      <c r="AT54" s="29"/>
      <c r="AU54" s="5"/>
      <c r="AV54" s="12"/>
      <c r="AW54" s="21"/>
      <c r="AX54" s="29"/>
      <c r="AY54" s="5"/>
      <c r="AZ54" s="12"/>
      <c r="BA54" s="21"/>
      <c r="BB54" s="29"/>
      <c r="BC54" s="5"/>
      <c r="BD54" s="12"/>
      <c r="BE54" s="21"/>
      <c r="BF54" s="29"/>
      <c r="BG54" s="5"/>
      <c r="BH54" s="12"/>
      <c r="BI54" s="21"/>
      <c r="BJ54" s="29"/>
      <c r="BK54" s="5"/>
      <c r="BL54" s="12"/>
    </row>
    <row r="55" spans="2:64" ht="15" thickBot="1" x14ac:dyDescent="0.35">
      <c r="N55" s="35" t="s">
        <v>12</v>
      </c>
      <c r="O55" s="30"/>
      <c r="P55" s="90"/>
      <c r="Q55" s="90"/>
      <c r="R55" s="39"/>
      <c r="S55" s="22"/>
      <c r="T55" s="15"/>
      <c r="U55" s="15"/>
      <c r="V55" s="15"/>
      <c r="W55" s="15"/>
      <c r="X55" s="16"/>
      <c r="Y55" s="19"/>
      <c r="Z55" s="14"/>
      <c r="AA55" s="14"/>
      <c r="AB55" s="14"/>
      <c r="AC55" s="15"/>
      <c r="AD55" s="39"/>
      <c r="AE55" s="13"/>
      <c r="AF55" s="14"/>
      <c r="AG55" s="14"/>
      <c r="AH55" s="14"/>
      <c r="AI55" s="15"/>
      <c r="AJ55" s="16"/>
      <c r="AK55" s="30"/>
      <c r="AL55" s="15"/>
      <c r="AM55" s="15"/>
      <c r="AN55" s="16"/>
      <c r="AO55" s="30"/>
      <c r="AP55" s="30"/>
      <c r="AQ55" s="15"/>
      <c r="AR55" s="16"/>
      <c r="AS55" s="22"/>
      <c r="AT55" s="30"/>
      <c r="AU55" s="15"/>
      <c r="AV55" s="16"/>
      <c r="AW55" s="22"/>
      <c r="AX55" s="30"/>
      <c r="AY55" s="15"/>
      <c r="AZ55" s="16"/>
      <c r="BA55" s="22"/>
      <c r="BB55" s="30"/>
      <c r="BC55" s="15"/>
      <c r="BD55" s="16"/>
      <c r="BE55" s="22"/>
      <c r="BF55" s="30"/>
      <c r="BG55" s="15"/>
      <c r="BH55" s="16"/>
      <c r="BI55" s="22"/>
      <c r="BJ55" s="30"/>
      <c r="BK55" s="15"/>
      <c r="BL55" s="16"/>
    </row>
    <row r="60" spans="2:64" ht="15" thickBot="1" x14ac:dyDescent="0.35">
      <c r="U60">
        <f>T13</f>
        <v>0</v>
      </c>
      <c r="V60" t="s">
        <v>33</v>
      </c>
    </row>
    <row r="61" spans="2:64" ht="15" thickBot="1" x14ac:dyDescent="0.35">
      <c r="B61" s="59" t="s">
        <v>44</v>
      </c>
      <c r="C61" s="60"/>
      <c r="D61" s="61"/>
      <c r="E61" s="47"/>
      <c r="F61" s="47"/>
      <c r="I61" s="47"/>
      <c r="J61" s="47"/>
      <c r="K61" s="47"/>
      <c r="O61" t="s">
        <v>161</v>
      </c>
    </row>
    <row r="62" spans="2:64" ht="15" thickBot="1" x14ac:dyDescent="0.35">
      <c r="B62" s="73" t="str">
        <f>V62</f>
        <v>D, см</v>
      </c>
      <c r="C62" s="74" t="str">
        <f>W62</f>
        <v>h, м</v>
      </c>
      <c r="D62" s="75" t="str">
        <f>X62</f>
        <v>A, лет</v>
      </c>
      <c r="E62" s="47"/>
      <c r="F62" s="47"/>
      <c r="I62" s="47"/>
      <c r="J62" s="47"/>
      <c r="K62" s="47"/>
      <c r="O62" s="115"/>
      <c r="P62" s="116"/>
      <c r="Q62" s="116"/>
      <c r="R62" s="116"/>
      <c r="S62" s="116"/>
      <c r="T62" s="116"/>
      <c r="U62" s="116" t="s">
        <v>24</v>
      </c>
      <c r="V62" s="116" t="str">
        <f>AB19</f>
        <v>D, см</v>
      </c>
      <c r="W62" s="116" t="str">
        <f>AC19</f>
        <v>h, м</v>
      </c>
      <c r="X62" s="117" t="str">
        <f>AD19</f>
        <v>A, лет</v>
      </c>
    </row>
    <row r="63" spans="2:64" x14ac:dyDescent="0.3">
      <c r="B63" s="81" t="e">
        <f>V63*U63</f>
        <v>#DIV/0!</v>
      </c>
      <c r="C63" s="82">
        <f>W63*U63</f>
        <v>1.352643064548127E-6</v>
      </c>
      <c r="D63" s="83" t="e">
        <f>X63*U63</f>
        <v>#DIV/0!</v>
      </c>
      <c r="E63" s="47"/>
      <c r="F63" s="85"/>
      <c r="H63" s="47"/>
      <c r="I63" s="47"/>
      <c r="J63" s="47"/>
      <c r="K63" s="47"/>
      <c r="O63" s="138">
        <f t="shared" ref="O63:O72" si="11">U63/$U$75*10</f>
        <v>1.8750000000000002</v>
      </c>
      <c r="P63" s="139"/>
      <c r="Q63" s="139"/>
      <c r="R63" s="47" t="str">
        <f>S18</f>
        <v>Сосна</v>
      </c>
      <c r="S63" s="47"/>
      <c r="T63" s="47"/>
      <c r="U63" s="123">
        <f>SUM(S52:U52)/(AE16*AE16*3.15/10000*1000)</f>
        <v>3.0058734767736153E-6</v>
      </c>
      <c r="V63" s="139" t="e">
        <f>V52</f>
        <v>#DIV/0!</v>
      </c>
      <c r="W63" s="139">
        <f>W52</f>
        <v>0.45</v>
      </c>
      <c r="X63" s="140" t="e">
        <f>X52</f>
        <v>#DIV/0!</v>
      </c>
      <c r="Y63" s="55"/>
    </row>
    <row r="64" spans="2:64" x14ac:dyDescent="0.3">
      <c r="B64" s="81" t="e">
        <f t="shared" ref="B64:B72" si="12">V64*U64</f>
        <v>#DIV/0!</v>
      </c>
      <c r="C64" s="82">
        <f t="shared" ref="C64:C72" si="13">W64*U64</f>
        <v>1.352643064548127E-6</v>
      </c>
      <c r="D64" s="83" t="e">
        <f t="shared" ref="D64:D72" si="14">X64*U64</f>
        <v>#DIV/0!</v>
      </c>
      <c r="E64" s="47"/>
      <c r="F64" s="85"/>
      <c r="H64" s="47"/>
      <c r="I64" s="47"/>
      <c r="J64" s="47"/>
      <c r="K64" s="47"/>
      <c r="O64" s="138">
        <f t="shared" si="11"/>
        <v>1.8750000000000002</v>
      </c>
      <c r="P64" s="139"/>
      <c r="Q64" s="139"/>
      <c r="R64" s="47" t="str">
        <f>Y18</f>
        <v>Ель из подроста</v>
      </c>
      <c r="S64" s="47"/>
      <c r="T64" s="47"/>
      <c r="U64" s="123">
        <f>SUM(Y52:AA52)/(AE16*AE16*3.15/10000*1000)</f>
        <v>3.0058734767736153E-6</v>
      </c>
      <c r="V64" s="139" t="e">
        <f>AB52</f>
        <v>#DIV/0!</v>
      </c>
      <c r="W64" s="139">
        <f>AC52</f>
        <v>0.45</v>
      </c>
      <c r="X64" s="140" t="e">
        <f>AD52</f>
        <v>#DIV/0!</v>
      </c>
      <c r="Y64" s="55"/>
    </row>
    <row r="65" spans="2:25" x14ac:dyDescent="0.3">
      <c r="B65" s="81" t="e">
        <f t="shared" si="12"/>
        <v>#DIV/0!</v>
      </c>
      <c r="C65" s="82">
        <f t="shared" si="13"/>
        <v>1.352643064548127E-6</v>
      </c>
      <c r="D65" s="83" t="e">
        <f t="shared" si="14"/>
        <v>#DIV/0!</v>
      </c>
      <c r="E65" s="47"/>
      <c r="F65" s="47"/>
      <c r="G65" s="47"/>
      <c r="H65" s="47"/>
      <c r="I65" s="47"/>
      <c r="J65" s="47"/>
      <c r="K65" s="47"/>
      <c r="O65" s="138">
        <f t="shared" si="11"/>
        <v>1.8750000000000002</v>
      </c>
      <c r="P65" s="139"/>
      <c r="Q65" s="139"/>
      <c r="R65" s="47" t="str">
        <f>AE18</f>
        <v>ЕЛЬ лесные культуры</v>
      </c>
      <c r="S65" s="47"/>
      <c r="T65" s="47"/>
      <c r="U65" s="123">
        <f>SUM(AE52:AG52)/(AE16*AE16*3.15/10000*1000)</f>
        <v>3.0058734767736153E-6</v>
      </c>
      <c r="V65" s="139" t="e">
        <f>AH52</f>
        <v>#DIV/0!</v>
      </c>
      <c r="W65" s="139">
        <f>AI52</f>
        <v>0.45</v>
      </c>
      <c r="X65" s="140" t="e">
        <f>AJ52</f>
        <v>#DIV/0!</v>
      </c>
      <c r="Y65" s="55"/>
    </row>
    <row r="66" spans="2:25" x14ac:dyDescent="0.3">
      <c r="B66" s="81" t="e">
        <f t="shared" si="12"/>
        <v>#DIV/0!</v>
      </c>
      <c r="C66" s="82">
        <f t="shared" si="13"/>
        <v>0</v>
      </c>
      <c r="D66" s="83" t="e">
        <f t="shared" si="14"/>
        <v>#DIV/0!</v>
      </c>
      <c r="E66" s="47"/>
      <c r="F66" s="47"/>
      <c r="G66" s="47"/>
      <c r="H66" s="47"/>
      <c r="I66" s="47"/>
      <c r="J66" s="47"/>
      <c r="K66" s="47"/>
      <c r="O66" s="138">
        <f t="shared" si="11"/>
        <v>0.625</v>
      </c>
      <c r="P66" s="139"/>
      <c r="Q66" s="139"/>
      <c r="R66" s="47" t="str">
        <f>AK18</f>
        <v>Берёза</v>
      </c>
      <c r="S66" s="47"/>
      <c r="T66" s="47"/>
      <c r="U66" s="123">
        <f>AK52/(AE16*AE16*3.15/10000*1000)</f>
        <v>1.001957825591205E-6</v>
      </c>
      <c r="V66" s="139" t="e">
        <f>AL52</f>
        <v>#DIV/0!</v>
      </c>
      <c r="W66" s="139">
        <f>AM52</f>
        <v>0</v>
      </c>
      <c r="X66" s="140" t="e">
        <f>AN52</f>
        <v>#DIV/0!</v>
      </c>
      <c r="Y66" s="55"/>
    </row>
    <row r="67" spans="2:25" x14ac:dyDescent="0.3">
      <c r="B67" s="81" t="e">
        <f t="shared" si="12"/>
        <v>#DIV/0!</v>
      </c>
      <c r="C67" s="82">
        <f t="shared" si="13"/>
        <v>0</v>
      </c>
      <c r="D67" s="83" t="e">
        <f t="shared" si="14"/>
        <v>#DIV/0!</v>
      </c>
      <c r="E67" s="47"/>
      <c r="F67" s="47"/>
      <c r="G67" s="47"/>
      <c r="H67" s="47"/>
      <c r="I67" s="47"/>
      <c r="J67" s="47"/>
      <c r="K67" s="47"/>
      <c r="O67" s="138">
        <f t="shared" si="11"/>
        <v>0.625</v>
      </c>
      <c r="P67" s="139"/>
      <c r="Q67" s="139"/>
      <c r="R67" s="47" t="str">
        <f>AO18</f>
        <v>Осина</v>
      </c>
      <c r="S67" s="47"/>
      <c r="T67" s="47"/>
      <c r="U67" s="123">
        <f>AO52/(AE16*AE16*3.15/10000*1000)</f>
        <v>1.001957825591205E-6</v>
      </c>
      <c r="V67" s="139" t="e">
        <f>AP52</f>
        <v>#DIV/0!</v>
      </c>
      <c r="W67" s="139">
        <f>AQ52</f>
        <v>0</v>
      </c>
      <c r="X67" s="140" t="e">
        <f>AR52</f>
        <v>#DIV/0!</v>
      </c>
      <c r="Y67" s="55"/>
    </row>
    <row r="68" spans="2:25" x14ac:dyDescent="0.3">
      <c r="B68" s="81" t="e">
        <f t="shared" si="12"/>
        <v>#DIV/0!</v>
      </c>
      <c r="C68" s="82">
        <f t="shared" si="13"/>
        <v>0</v>
      </c>
      <c r="D68" s="83" t="e">
        <f t="shared" si="14"/>
        <v>#DIV/0!</v>
      </c>
      <c r="E68" s="47"/>
      <c r="F68" s="47"/>
      <c r="G68" s="47"/>
      <c r="H68" s="47"/>
      <c r="I68" s="47"/>
      <c r="J68" s="47"/>
      <c r="K68" s="47"/>
      <c r="O68" s="138">
        <f t="shared" si="11"/>
        <v>0.625</v>
      </c>
      <c r="P68" s="139"/>
      <c r="Q68" s="139"/>
      <c r="R68" s="47" t="str">
        <f>AS18</f>
        <v>Ольха серая</v>
      </c>
      <c r="S68" s="47"/>
      <c r="T68" s="47"/>
      <c r="U68" s="123">
        <f>AS52/(AE16*AE16*3.15/10000*1000)</f>
        <v>1.001957825591205E-6</v>
      </c>
      <c r="V68" s="139" t="e">
        <f>AT52</f>
        <v>#DIV/0!</v>
      </c>
      <c r="W68" s="139">
        <f>AU52</f>
        <v>0</v>
      </c>
      <c r="X68" s="140" t="e">
        <f>AV52</f>
        <v>#DIV/0!</v>
      </c>
      <c r="Y68" s="55"/>
    </row>
    <row r="69" spans="2:25" x14ac:dyDescent="0.3">
      <c r="B69" s="81" t="e">
        <f t="shared" si="12"/>
        <v>#DIV/0!</v>
      </c>
      <c r="C69" s="82">
        <f t="shared" si="13"/>
        <v>0</v>
      </c>
      <c r="D69" s="83" t="e">
        <f t="shared" si="14"/>
        <v>#DIV/0!</v>
      </c>
      <c r="E69" s="47"/>
      <c r="F69" s="47"/>
      <c r="G69" s="47"/>
      <c r="H69" s="47"/>
      <c r="I69" s="47"/>
      <c r="J69" s="47"/>
      <c r="K69" s="47"/>
      <c r="O69" s="138">
        <f t="shared" si="11"/>
        <v>0.625</v>
      </c>
      <c r="P69" s="139"/>
      <c r="Q69" s="139"/>
      <c r="R69" s="47" t="str">
        <f>AW18</f>
        <v>Ива</v>
      </c>
      <c r="S69" s="47"/>
      <c r="T69" s="47"/>
      <c r="U69" s="123">
        <f>AW52/(AE16*AE16*3.15/10000*1000)</f>
        <v>1.001957825591205E-6</v>
      </c>
      <c r="V69" s="139" t="e">
        <f>AX52</f>
        <v>#DIV/0!</v>
      </c>
      <c r="W69" s="139">
        <f>AY52</f>
        <v>0</v>
      </c>
      <c r="X69" s="140" t="e">
        <f>AZ52</f>
        <v>#DIV/0!</v>
      </c>
      <c r="Y69" s="55"/>
    </row>
    <row r="70" spans="2:25" x14ac:dyDescent="0.3">
      <c r="B70" s="81" t="e">
        <f t="shared" si="12"/>
        <v>#DIV/0!</v>
      </c>
      <c r="C70" s="82">
        <f t="shared" si="13"/>
        <v>0</v>
      </c>
      <c r="D70" s="83" t="e">
        <f t="shared" si="14"/>
        <v>#DIV/0!</v>
      </c>
      <c r="E70" s="47"/>
      <c r="F70" s="47"/>
      <c r="G70" s="47"/>
      <c r="H70" s="47"/>
      <c r="I70" s="47"/>
      <c r="J70" s="47"/>
      <c r="K70" s="47"/>
      <c r="O70" s="138">
        <f t="shared" si="11"/>
        <v>0.625</v>
      </c>
      <c r="P70" s="139"/>
      <c r="Q70" s="139"/>
      <c r="R70" s="47" t="str">
        <f>BA18</f>
        <v>Чёрёмуха</v>
      </c>
      <c r="S70" s="47"/>
      <c r="T70" s="47"/>
      <c r="U70" s="123">
        <f>BA52/(AE16*AE16*3.15/10000*1000)</f>
        <v>1.001957825591205E-6</v>
      </c>
      <c r="V70" s="139" t="e">
        <f>BB52</f>
        <v>#DIV/0!</v>
      </c>
      <c r="W70" s="139">
        <f>BC52</f>
        <v>0</v>
      </c>
      <c r="X70" s="140" t="e">
        <f>BD52</f>
        <v>#DIV/0!</v>
      </c>
      <c r="Y70" s="55"/>
    </row>
    <row r="71" spans="2:25" x14ac:dyDescent="0.3">
      <c r="B71" s="81" t="e">
        <f t="shared" si="12"/>
        <v>#DIV/0!</v>
      </c>
      <c r="C71" s="82">
        <f t="shared" si="13"/>
        <v>0</v>
      </c>
      <c r="D71" s="83" t="e">
        <f t="shared" si="14"/>
        <v>#DIV/0!</v>
      </c>
      <c r="E71" s="47"/>
      <c r="F71" s="47"/>
      <c r="G71" s="47"/>
      <c r="H71" s="47"/>
      <c r="I71" s="47"/>
      <c r="J71" s="47"/>
      <c r="K71" s="47"/>
      <c r="O71" s="138">
        <f t="shared" si="11"/>
        <v>0.625</v>
      </c>
      <c r="P71" s="139"/>
      <c r="Q71" s="139"/>
      <c r="R71" s="47" t="str">
        <f>BE18</f>
        <v>Дуб</v>
      </c>
      <c r="S71" s="47"/>
      <c r="T71" s="47"/>
      <c r="U71" s="123">
        <f>BE52/(AE16*AE16*3.15/10000*1000)</f>
        <v>1.001957825591205E-6</v>
      </c>
      <c r="V71" s="139" t="e">
        <f>BF52</f>
        <v>#DIV/0!</v>
      </c>
      <c r="W71" s="139">
        <f>BG52</f>
        <v>0</v>
      </c>
      <c r="X71" s="140" t="e">
        <f>BH52</f>
        <v>#DIV/0!</v>
      </c>
      <c r="Y71" s="55"/>
    </row>
    <row r="72" spans="2:25" x14ac:dyDescent="0.3">
      <c r="B72" s="81" t="e">
        <f t="shared" si="12"/>
        <v>#DIV/0!</v>
      </c>
      <c r="C72" s="82">
        <f t="shared" si="13"/>
        <v>0</v>
      </c>
      <c r="D72" s="83" t="e">
        <f t="shared" si="14"/>
        <v>#DIV/0!</v>
      </c>
      <c r="E72" s="47"/>
      <c r="F72" s="47"/>
      <c r="G72" s="47"/>
      <c r="H72" s="47"/>
      <c r="I72" s="47"/>
      <c r="J72" s="47"/>
      <c r="K72" s="47"/>
      <c r="O72" s="138">
        <f t="shared" si="11"/>
        <v>0.625</v>
      </c>
      <c r="P72" s="139"/>
      <c r="Q72" s="139"/>
      <c r="R72" s="47" t="str">
        <f>BI18</f>
        <v>Рябина</v>
      </c>
      <c r="S72" s="47"/>
      <c r="T72" s="47"/>
      <c r="U72" s="123">
        <f>BI52/(AE16*AE16*3.15/10000*1000)</f>
        <v>1.001957825591205E-6</v>
      </c>
      <c r="V72" s="139" t="e">
        <f>BJ52</f>
        <v>#DIV/0!</v>
      </c>
      <c r="W72" s="139">
        <f>BK52</f>
        <v>0</v>
      </c>
      <c r="X72" s="140" t="e">
        <f>BL52</f>
        <v>#DIV/0!</v>
      </c>
      <c r="Y72" s="55"/>
    </row>
    <row r="73" spans="2:25" x14ac:dyDescent="0.3">
      <c r="B73" s="62">
        <f>AC72*AA72</f>
        <v>0</v>
      </c>
      <c r="C73" s="71">
        <f>AI72*AG72</f>
        <v>0</v>
      </c>
      <c r="D73" s="63"/>
      <c r="E73" s="47"/>
      <c r="F73" s="47"/>
      <c r="G73" s="47"/>
      <c r="H73" s="47"/>
      <c r="I73" s="47"/>
      <c r="J73" s="47"/>
      <c r="K73" s="47"/>
      <c r="O73" s="118"/>
      <c r="P73" s="47"/>
      <c r="Q73" s="47"/>
      <c r="R73" s="47"/>
      <c r="S73" s="47"/>
      <c r="T73" s="47"/>
      <c r="U73" s="141"/>
      <c r="V73" s="141"/>
      <c r="W73" s="141"/>
      <c r="X73" s="140"/>
      <c r="Y73" s="55"/>
    </row>
    <row r="74" spans="2:25" x14ac:dyDescent="0.3">
      <c r="B74" s="62">
        <f>AC73*AA73</f>
        <v>0</v>
      </c>
      <c r="C74" s="71">
        <f>AI73*AG73</f>
        <v>0</v>
      </c>
      <c r="D74" s="63">
        <f>W73*U73</f>
        <v>0</v>
      </c>
      <c r="E74" s="47"/>
      <c r="F74" s="47"/>
      <c r="G74" s="47"/>
      <c r="H74" s="47"/>
      <c r="I74" s="47"/>
      <c r="J74" s="47"/>
      <c r="K74" s="47"/>
      <c r="O74" s="118"/>
      <c r="P74" s="47"/>
      <c r="Q74" s="47"/>
      <c r="R74" s="47"/>
      <c r="S74" s="47"/>
      <c r="T74" s="47"/>
      <c r="U74" s="141"/>
      <c r="V74" s="141"/>
      <c r="W74" s="141"/>
      <c r="X74" s="140"/>
      <c r="Y74" s="55"/>
    </row>
    <row r="75" spans="2:25" x14ac:dyDescent="0.3">
      <c r="B75" s="62">
        <f>AC74*AA74</f>
        <v>0</v>
      </c>
      <c r="C75" s="71">
        <f>AI74*AG74</f>
        <v>0</v>
      </c>
      <c r="D75" s="63">
        <f>W74*U74</f>
        <v>0</v>
      </c>
      <c r="E75" s="47"/>
      <c r="F75" s="47"/>
      <c r="G75" s="47"/>
      <c r="H75" s="47"/>
      <c r="I75" s="47"/>
      <c r="J75" s="47"/>
      <c r="K75" s="47"/>
      <c r="O75" s="142">
        <f>SUM(O63:O72)</f>
        <v>10</v>
      </c>
      <c r="P75" s="143"/>
      <c r="Q75" s="143"/>
      <c r="R75" s="45" t="s">
        <v>27</v>
      </c>
      <c r="S75" s="45"/>
      <c r="T75" s="45"/>
      <c r="U75" s="144">
        <f>SUM(U63:U72)</f>
        <v>1.6031325209459279E-5</v>
      </c>
      <c r="V75" s="144" t="e">
        <f>SUM(B63:B72)/$U$75</f>
        <v>#DIV/0!</v>
      </c>
      <c r="W75" s="144">
        <f>SUM(C63:C72)/$U$75</f>
        <v>0.25312500000000004</v>
      </c>
      <c r="X75" s="145" t="e">
        <f>SUM(D63:D72)/$U$75</f>
        <v>#DIV/0!</v>
      </c>
      <c r="Y75" s="55"/>
    </row>
    <row r="76" spans="2:25" x14ac:dyDescent="0.3">
      <c r="B76" s="62">
        <f>AC75*AA75</f>
        <v>0</v>
      </c>
      <c r="C76" s="71">
        <f>AI75*AG75</f>
        <v>0</v>
      </c>
      <c r="D76" s="63"/>
      <c r="E76" s="47"/>
      <c r="F76" s="47"/>
      <c r="G76" s="47"/>
      <c r="H76" s="47"/>
      <c r="I76" s="47"/>
      <c r="J76" s="47"/>
      <c r="K76" s="47"/>
    </row>
    <row r="77" spans="2:25" ht="15" thickBot="1" x14ac:dyDescent="0.35">
      <c r="B77" s="64">
        <f>AC93*AA93</f>
        <v>0</v>
      </c>
      <c r="C77" s="72">
        <f>AI93*AG93</f>
        <v>0</v>
      </c>
      <c r="D77" s="66">
        <f>W93*U93</f>
        <v>0</v>
      </c>
      <c r="E77" s="47"/>
      <c r="F77" s="47"/>
      <c r="G77" s="47"/>
      <c r="H77" s="47"/>
      <c r="I77" s="47"/>
      <c r="J77" s="47"/>
      <c r="K77" s="47"/>
    </row>
  </sheetData>
  <mergeCells count="11">
    <mergeCell ref="AO18:AR18"/>
    <mergeCell ref="O18:R18"/>
    <mergeCell ref="S18:X18"/>
    <mergeCell ref="Y18:AD18"/>
    <mergeCell ref="AE18:AJ18"/>
    <mergeCell ref="AK18:AN18"/>
    <mergeCell ref="AS18:AV18"/>
    <mergeCell ref="AW18:AZ18"/>
    <mergeCell ref="BA18:BD18"/>
    <mergeCell ref="BE18:BH18"/>
    <mergeCell ref="BI18:BL18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BL77"/>
  <sheetViews>
    <sheetView zoomScale="81" zoomScaleNormal="81" workbookViewId="0">
      <pane xSplit="18" ySplit="19" topLeftCell="S23" activePane="bottomRight" state="frozen"/>
      <selection pane="topRight" activeCell="Q1" sqref="Q1"/>
      <selection pane="bottomLeft" activeCell="A11" sqref="A11"/>
      <selection pane="bottomRight" activeCell="AD27" sqref="AB27:AD27"/>
    </sheetView>
  </sheetViews>
  <sheetFormatPr defaultRowHeight="14.4" x14ac:dyDescent="0.3"/>
  <cols>
    <col min="2" max="2" width="16.109375" hidden="1" customWidth="1"/>
    <col min="3" max="3" width="17.5546875" hidden="1" customWidth="1"/>
    <col min="4" max="11" width="12.88671875" hidden="1" customWidth="1"/>
    <col min="18" max="18" width="11" customWidth="1"/>
    <col min="21" max="21" width="9" customWidth="1"/>
    <col min="34" max="56" width="9.88671875" bestFit="1" customWidth="1"/>
  </cols>
  <sheetData>
    <row r="1" spans="14:39" ht="15" thickBot="1" x14ac:dyDescent="0.35"/>
    <row r="2" spans="14:39" x14ac:dyDescent="0.3">
      <c r="V2" s="59"/>
      <c r="W2" s="67" t="s">
        <v>38</v>
      </c>
      <c r="X2" s="67"/>
      <c r="Y2" s="60"/>
      <c r="Z2" s="60"/>
      <c r="AA2" s="60"/>
      <c r="AB2" s="60"/>
      <c r="AC2" s="60"/>
      <c r="AD2" s="60"/>
      <c r="AE2" s="60">
        <v>8</v>
      </c>
      <c r="AF2" s="60" t="s">
        <v>142</v>
      </c>
      <c r="AG2" s="60"/>
      <c r="AH2" s="60"/>
      <c r="AI2" s="60"/>
      <c r="AJ2" s="60"/>
      <c r="AK2" s="60"/>
      <c r="AL2" s="60"/>
      <c r="AM2" s="61"/>
    </row>
    <row r="3" spans="14:39" x14ac:dyDescent="0.3">
      <c r="V3" s="62">
        <v>1</v>
      </c>
      <c r="W3" s="47" t="s">
        <v>158</v>
      </c>
      <c r="X3" s="47"/>
      <c r="Y3" s="47"/>
      <c r="Z3" s="47"/>
      <c r="AA3" s="47"/>
      <c r="AB3" s="47"/>
      <c r="AC3" s="47"/>
      <c r="AD3" s="47"/>
      <c r="AE3" s="47">
        <v>9</v>
      </c>
      <c r="AF3" s="47" t="s">
        <v>156</v>
      </c>
      <c r="AG3" s="47"/>
      <c r="AH3" s="47"/>
      <c r="AI3" s="47"/>
      <c r="AJ3" s="47"/>
      <c r="AK3" s="47"/>
      <c r="AL3" s="47"/>
      <c r="AM3" s="63"/>
    </row>
    <row r="4" spans="14:39" x14ac:dyDescent="0.3">
      <c r="V4" s="62">
        <v>2</v>
      </c>
      <c r="W4" s="47" t="s">
        <v>159</v>
      </c>
      <c r="X4" s="47"/>
      <c r="Y4" s="47"/>
      <c r="Z4" s="47"/>
      <c r="AA4" s="47"/>
      <c r="AB4" s="47"/>
      <c r="AC4" s="47"/>
      <c r="AD4" s="47"/>
      <c r="AE4" s="47">
        <v>10</v>
      </c>
      <c r="AF4" s="47" t="s">
        <v>157</v>
      </c>
      <c r="AG4" s="47"/>
      <c r="AH4" s="47"/>
      <c r="AI4" s="47"/>
      <c r="AJ4" s="47"/>
      <c r="AK4" s="47"/>
      <c r="AL4" s="47"/>
      <c r="AM4" s="63"/>
    </row>
    <row r="5" spans="14:39" x14ac:dyDescent="0.3">
      <c r="V5" s="62">
        <v>3</v>
      </c>
      <c r="W5" s="47" t="s">
        <v>34</v>
      </c>
      <c r="X5" s="47"/>
      <c r="Y5" s="47"/>
      <c r="Z5" s="47"/>
      <c r="AA5" s="47"/>
      <c r="AB5" s="47"/>
      <c r="AC5" s="47"/>
      <c r="AD5" s="47"/>
      <c r="AE5" s="47">
        <v>11</v>
      </c>
      <c r="AF5" s="47" t="s">
        <v>39</v>
      </c>
      <c r="AG5" s="47"/>
      <c r="AH5" s="47"/>
      <c r="AI5" s="47"/>
      <c r="AJ5" s="47"/>
      <c r="AK5" s="47"/>
      <c r="AL5" s="47"/>
      <c r="AM5" s="63"/>
    </row>
    <row r="6" spans="14:39" x14ac:dyDescent="0.3">
      <c r="V6" s="62">
        <v>4</v>
      </c>
      <c r="W6" s="47" t="s">
        <v>35</v>
      </c>
      <c r="X6" s="47"/>
      <c r="Y6" s="47"/>
      <c r="Z6" s="47"/>
      <c r="AA6" s="47"/>
      <c r="AB6" s="47"/>
      <c r="AC6" s="47"/>
      <c r="AD6" s="47"/>
      <c r="AE6" s="47">
        <v>12</v>
      </c>
      <c r="AF6" s="47" t="s">
        <v>40</v>
      </c>
      <c r="AG6" s="47"/>
      <c r="AH6" s="47"/>
      <c r="AI6" s="47"/>
      <c r="AJ6" s="47"/>
      <c r="AK6" s="47"/>
      <c r="AL6" s="47"/>
      <c r="AM6" s="63"/>
    </row>
    <row r="7" spans="14:39" x14ac:dyDescent="0.3">
      <c r="V7" s="62">
        <v>5</v>
      </c>
      <c r="W7" s="47" t="s">
        <v>36</v>
      </c>
      <c r="X7" s="47"/>
      <c r="Y7" s="47"/>
      <c r="Z7" s="47"/>
      <c r="AA7" s="47"/>
      <c r="AB7" s="47"/>
      <c r="AC7" s="47"/>
      <c r="AD7" s="47"/>
      <c r="AE7" s="47">
        <v>13</v>
      </c>
      <c r="AF7" s="47" t="s">
        <v>41</v>
      </c>
      <c r="AG7" s="47"/>
      <c r="AH7" s="47"/>
      <c r="AI7" s="47"/>
      <c r="AJ7" s="47"/>
      <c r="AK7" s="47"/>
      <c r="AL7" s="47"/>
      <c r="AM7" s="63"/>
    </row>
    <row r="8" spans="14:39" x14ac:dyDescent="0.3">
      <c r="V8" s="62">
        <v>6</v>
      </c>
      <c r="W8" s="47" t="s">
        <v>141</v>
      </c>
      <c r="X8" s="47"/>
      <c r="Y8" s="47"/>
      <c r="Z8" s="47"/>
      <c r="AA8" s="47"/>
      <c r="AB8" s="47"/>
      <c r="AC8" s="47"/>
      <c r="AD8" s="47"/>
      <c r="AE8" s="47">
        <v>14</v>
      </c>
      <c r="AF8" s="47"/>
      <c r="AG8" s="47"/>
      <c r="AH8" s="47"/>
      <c r="AI8" s="47"/>
      <c r="AJ8" s="47"/>
      <c r="AK8" s="47"/>
      <c r="AL8" s="47"/>
      <c r="AM8" s="63"/>
    </row>
    <row r="9" spans="14:39" ht="15" thickBot="1" x14ac:dyDescent="0.35">
      <c r="V9" s="64">
        <v>7</v>
      </c>
      <c r="W9" s="65" t="s">
        <v>37</v>
      </c>
      <c r="X9" s="65"/>
      <c r="Y9" s="65"/>
      <c r="Z9" s="65"/>
      <c r="AA9" s="65"/>
      <c r="AB9" s="65"/>
      <c r="AC9" s="65"/>
      <c r="AD9" s="65"/>
      <c r="AE9" s="65">
        <v>15</v>
      </c>
      <c r="AF9" s="65"/>
      <c r="AG9" s="65"/>
      <c r="AH9" s="65"/>
      <c r="AI9" s="65"/>
      <c r="AJ9" s="65"/>
      <c r="AK9" s="65"/>
      <c r="AL9" s="65"/>
      <c r="AM9" s="66"/>
    </row>
    <row r="13" spans="14:39" x14ac:dyDescent="0.3">
      <c r="N13" t="s">
        <v>32</v>
      </c>
      <c r="T13" s="45"/>
    </row>
    <row r="16" spans="14:39" x14ac:dyDescent="0.3">
      <c r="N16" s="46" t="s">
        <v>13</v>
      </c>
      <c r="S16">
        <v>1</v>
      </c>
      <c r="U16" s="45" t="s">
        <v>14</v>
      </c>
      <c r="V16" s="45">
        <v>205</v>
      </c>
      <c r="W16" s="45"/>
      <c r="X16" s="45" t="s">
        <v>15</v>
      </c>
      <c r="Y16" s="45">
        <v>15</v>
      </c>
      <c r="Z16" s="45" t="s">
        <v>16</v>
      </c>
      <c r="AA16" s="45">
        <v>1</v>
      </c>
      <c r="AB16" s="47"/>
      <c r="AC16" s="85" t="s">
        <v>45</v>
      </c>
      <c r="AE16" s="45">
        <v>1.78</v>
      </c>
      <c r="AG16" s="44" t="s">
        <v>28</v>
      </c>
      <c r="AI16" s="44"/>
    </row>
    <row r="17" spans="2:64" ht="15" thickBot="1" x14ac:dyDescent="0.35"/>
    <row r="18" spans="2:64" ht="15.6" thickTop="1" thickBot="1" x14ac:dyDescent="0.35">
      <c r="B18" s="59" t="s">
        <v>31</v>
      </c>
      <c r="C18" s="60"/>
      <c r="D18" s="60"/>
      <c r="E18" s="60"/>
      <c r="F18" s="60"/>
      <c r="G18" s="60"/>
      <c r="H18" s="60"/>
      <c r="I18" s="60"/>
      <c r="J18" s="60"/>
      <c r="K18" s="61"/>
      <c r="N18" s="1" t="s">
        <v>0</v>
      </c>
      <c r="O18" s="202" t="s">
        <v>1</v>
      </c>
      <c r="P18" s="194"/>
      <c r="Q18" s="194"/>
      <c r="R18" s="195"/>
      <c r="S18" s="193" t="s">
        <v>43</v>
      </c>
      <c r="T18" s="194"/>
      <c r="U18" s="194"/>
      <c r="V18" s="194"/>
      <c r="W18" s="194"/>
      <c r="X18" s="195"/>
      <c r="Y18" s="203" t="s">
        <v>17</v>
      </c>
      <c r="Z18" s="204"/>
      <c r="AA18" s="204"/>
      <c r="AB18" s="204"/>
      <c r="AC18" s="204"/>
      <c r="AD18" s="205"/>
      <c r="AE18" s="206" t="s">
        <v>18</v>
      </c>
      <c r="AF18" s="207"/>
      <c r="AG18" s="207"/>
      <c r="AH18" s="207"/>
      <c r="AI18" s="207"/>
      <c r="AJ18" s="208"/>
      <c r="AK18" s="193" t="s">
        <v>19</v>
      </c>
      <c r="AL18" s="194"/>
      <c r="AM18" s="194"/>
      <c r="AN18" s="195"/>
      <c r="AO18" s="193" t="s">
        <v>20</v>
      </c>
      <c r="AP18" s="194"/>
      <c r="AQ18" s="194"/>
      <c r="AR18" s="195"/>
      <c r="AS18" s="193" t="s">
        <v>21</v>
      </c>
      <c r="AT18" s="194"/>
      <c r="AU18" s="194"/>
      <c r="AV18" s="195"/>
      <c r="AW18" s="193" t="s">
        <v>26</v>
      </c>
      <c r="AX18" s="194"/>
      <c r="AY18" s="194"/>
      <c r="AZ18" s="195"/>
      <c r="BA18" s="193" t="s">
        <v>22</v>
      </c>
      <c r="BB18" s="194"/>
      <c r="BC18" s="194"/>
      <c r="BD18" s="195"/>
      <c r="BE18" s="193" t="s">
        <v>29</v>
      </c>
      <c r="BF18" s="194"/>
      <c r="BG18" s="194"/>
      <c r="BH18" s="195"/>
      <c r="BI18" s="193" t="s">
        <v>42</v>
      </c>
      <c r="BJ18" s="194"/>
      <c r="BK18" s="194"/>
      <c r="BL18" s="195"/>
    </row>
    <row r="19" spans="2:64" ht="21" thickBot="1" x14ac:dyDescent="0.35">
      <c r="B19" s="64" t="str">
        <f>Y18</f>
        <v>Ель из подроста</v>
      </c>
      <c r="C19" s="65" t="str">
        <f>AE18</f>
        <v>ЕЛЬ лесные культуры</v>
      </c>
      <c r="D19" s="65" t="str">
        <f>S18</f>
        <v>Сосна</v>
      </c>
      <c r="E19" s="65" t="str">
        <f>AK18</f>
        <v>Берёза</v>
      </c>
      <c r="F19" s="65" t="str">
        <f>AO18</f>
        <v>Осина</v>
      </c>
      <c r="G19" s="65" t="str">
        <f>AS18</f>
        <v>Ольха серая</v>
      </c>
      <c r="H19" s="65" t="str">
        <f>AW18</f>
        <v>Ива</v>
      </c>
      <c r="I19" s="65" t="str">
        <f>BA18</f>
        <v>Чёрёмуха</v>
      </c>
      <c r="J19" s="65" t="str">
        <f>BE18</f>
        <v>Дуб</v>
      </c>
      <c r="K19" s="66" t="str">
        <f>BI18</f>
        <v>Рябина</v>
      </c>
      <c r="L19" t="s">
        <v>46</v>
      </c>
      <c r="N19" s="31" t="s">
        <v>2</v>
      </c>
      <c r="O19" s="25" t="s">
        <v>3</v>
      </c>
      <c r="P19" s="86" t="s">
        <v>48</v>
      </c>
      <c r="Q19" s="86" t="s">
        <v>47</v>
      </c>
      <c r="R19" s="68" t="s">
        <v>4</v>
      </c>
      <c r="S19" s="41" t="s">
        <v>5</v>
      </c>
      <c r="T19" s="42" t="s">
        <v>6</v>
      </c>
      <c r="U19" s="42" t="s">
        <v>7</v>
      </c>
      <c r="V19" s="42" t="s">
        <v>23</v>
      </c>
      <c r="W19" s="43" t="s">
        <v>8</v>
      </c>
      <c r="X19" s="26" t="s">
        <v>9</v>
      </c>
      <c r="Y19" s="70" t="s">
        <v>5</v>
      </c>
      <c r="Z19" s="42" t="s">
        <v>6</v>
      </c>
      <c r="AA19" s="42" t="s">
        <v>7</v>
      </c>
      <c r="AB19" s="42" t="s">
        <v>23</v>
      </c>
      <c r="AC19" s="43" t="s">
        <v>8</v>
      </c>
      <c r="AD19" s="26" t="s">
        <v>9</v>
      </c>
      <c r="AE19" s="53" t="s">
        <v>5</v>
      </c>
      <c r="AF19" s="50" t="s">
        <v>6</v>
      </c>
      <c r="AG19" s="50" t="s">
        <v>7</v>
      </c>
      <c r="AH19" s="50" t="s">
        <v>23</v>
      </c>
      <c r="AI19" s="51" t="s">
        <v>8</v>
      </c>
      <c r="AJ19" s="54" t="s">
        <v>9</v>
      </c>
      <c r="AK19" s="49" t="s">
        <v>10</v>
      </c>
      <c r="AL19" s="50" t="s">
        <v>23</v>
      </c>
      <c r="AM19" s="51" t="s">
        <v>8</v>
      </c>
      <c r="AN19" s="52" t="s">
        <v>9</v>
      </c>
      <c r="AO19" s="25" t="s">
        <v>10</v>
      </c>
      <c r="AP19" s="42" t="s">
        <v>23</v>
      </c>
      <c r="AQ19" s="43" t="s">
        <v>8</v>
      </c>
      <c r="AR19" s="26" t="s">
        <v>9</v>
      </c>
      <c r="AS19" s="25" t="s">
        <v>10</v>
      </c>
      <c r="AT19" s="42" t="s">
        <v>23</v>
      </c>
      <c r="AU19" s="43" t="s">
        <v>8</v>
      </c>
      <c r="AV19" s="26" t="s">
        <v>9</v>
      </c>
      <c r="AW19" s="25" t="s">
        <v>10</v>
      </c>
      <c r="AX19" s="42" t="s">
        <v>23</v>
      </c>
      <c r="AY19" s="43" t="s">
        <v>8</v>
      </c>
      <c r="AZ19" s="26" t="s">
        <v>9</v>
      </c>
      <c r="BA19" s="25" t="s">
        <v>10</v>
      </c>
      <c r="BB19" s="42" t="s">
        <v>23</v>
      </c>
      <c r="BC19" s="43" t="s">
        <v>8</v>
      </c>
      <c r="BD19" s="26" t="s">
        <v>9</v>
      </c>
      <c r="BE19" s="25" t="s">
        <v>10</v>
      </c>
      <c r="BF19" s="42" t="s">
        <v>23</v>
      </c>
      <c r="BG19" s="43" t="s">
        <v>8</v>
      </c>
      <c r="BH19" s="26" t="s">
        <v>9</v>
      </c>
      <c r="BI19" s="25" t="s">
        <v>10</v>
      </c>
      <c r="BJ19" s="42" t="s">
        <v>23</v>
      </c>
      <c r="BK19" s="43" t="s">
        <v>8</v>
      </c>
      <c r="BL19" s="26" t="s">
        <v>9</v>
      </c>
    </row>
    <row r="20" spans="2:64" x14ac:dyDescent="0.3">
      <c r="B20" s="62">
        <f>AC20*AA20</f>
        <v>0</v>
      </c>
      <c r="C20" s="47">
        <f>AI20*AG20</f>
        <v>0</v>
      </c>
      <c r="D20" s="47">
        <f>W20*U20</f>
        <v>0</v>
      </c>
      <c r="E20" s="47">
        <f>AK20*AM20</f>
        <v>84</v>
      </c>
      <c r="F20" s="47">
        <f>AO20*AQ20</f>
        <v>0</v>
      </c>
      <c r="G20" s="47">
        <f>AS20*AU20</f>
        <v>15</v>
      </c>
      <c r="H20" s="47">
        <f>AW20*AY20</f>
        <v>0</v>
      </c>
      <c r="I20" s="47">
        <f>BA20*BC20</f>
        <v>0</v>
      </c>
      <c r="J20" s="47">
        <f>BE20*BG20</f>
        <v>0</v>
      </c>
      <c r="K20" s="63">
        <f>BI20*BK20</f>
        <v>0</v>
      </c>
      <c r="L20" s="55">
        <f>SUM(S20:U20,Y20:AA20,AE20:AG20,AK20,AO20,AS20,AW20,BA20,BE20,BI20)/($AE$16*$AE$16*3.15/10000*1000)</f>
        <v>31.060705618779096</v>
      </c>
      <c r="N20" s="32">
        <v>1</v>
      </c>
      <c r="O20" s="27">
        <v>809</v>
      </c>
      <c r="P20" s="87"/>
      <c r="Q20" s="87" t="s">
        <v>165</v>
      </c>
      <c r="R20" s="69"/>
      <c r="S20" s="40">
        <v>9.9999999999999995E-7</v>
      </c>
      <c r="T20" s="40">
        <v>1</v>
      </c>
      <c r="U20" s="40">
        <v>9.9999999999999995E-7</v>
      </c>
      <c r="V20" s="40"/>
      <c r="W20" s="40"/>
      <c r="X20" s="24">
        <v>3</v>
      </c>
      <c r="Y20" s="40">
        <v>9.9999999999999995E-7</v>
      </c>
      <c r="Z20" s="40">
        <v>9.9999999999999995E-7</v>
      </c>
      <c r="AA20" s="40">
        <v>9.9999999999999995E-7</v>
      </c>
      <c r="AB20" s="6"/>
      <c r="AC20" s="7"/>
      <c r="AD20" s="36"/>
      <c r="AE20" s="40">
        <v>9.9999999999999995E-7</v>
      </c>
      <c r="AF20" s="40">
        <v>9.9999999999999995E-7</v>
      </c>
      <c r="AG20" s="40">
        <v>9.9999999999999995E-7</v>
      </c>
      <c r="AH20" s="6"/>
      <c r="AI20" s="7"/>
      <c r="AJ20" s="8"/>
      <c r="AK20" s="40">
        <v>24</v>
      </c>
      <c r="AL20" s="7"/>
      <c r="AM20" s="7">
        <v>3.5</v>
      </c>
      <c r="AN20" s="8">
        <v>8</v>
      </c>
      <c r="AO20" s="40">
        <v>9.9999999999999995E-7</v>
      </c>
      <c r="AP20" s="27"/>
      <c r="AQ20" s="40"/>
      <c r="AR20" s="24"/>
      <c r="AS20" s="40">
        <v>6</v>
      </c>
      <c r="AT20" s="27"/>
      <c r="AU20" s="40">
        <v>2.5</v>
      </c>
      <c r="AV20">
        <v>8</v>
      </c>
      <c r="AW20" s="40">
        <v>9.9999999999999995E-7</v>
      </c>
      <c r="AX20" s="27"/>
      <c r="AY20" s="40"/>
      <c r="AZ20" s="24">
        <v>0</v>
      </c>
      <c r="BA20" s="40">
        <v>9.9999999999999995E-7</v>
      </c>
      <c r="BB20" s="27"/>
      <c r="BC20" s="40"/>
      <c r="BD20" s="24"/>
      <c r="BE20" s="40">
        <v>9.9999999999999995E-7</v>
      </c>
      <c r="BF20" s="27"/>
      <c r="BG20" s="40"/>
      <c r="BH20" s="24"/>
      <c r="BI20" s="40">
        <v>9.9999999999999995E-7</v>
      </c>
      <c r="BJ20" s="27"/>
      <c r="BK20" s="40"/>
      <c r="BL20" s="24"/>
    </row>
    <row r="21" spans="2:64" x14ac:dyDescent="0.3">
      <c r="B21" s="62">
        <f t="shared" ref="B21:B51" si="0">AC21*AA21</f>
        <v>6.8999999999999995</v>
      </c>
      <c r="C21" s="47">
        <f t="shared" ref="C21:C51" si="1">AI21*AG21</f>
        <v>0</v>
      </c>
      <c r="D21" s="47">
        <f t="shared" ref="D21:D51" si="2">W21*U21</f>
        <v>0</v>
      </c>
      <c r="E21" s="47">
        <f t="shared" ref="E21:E51" si="3">AK21*AM21</f>
        <v>40.799999999999997</v>
      </c>
      <c r="F21" s="47">
        <f t="shared" ref="F21:F51" si="4">AO21*AQ21</f>
        <v>0</v>
      </c>
      <c r="G21" s="47">
        <f t="shared" ref="G21:G51" si="5">AS21*AU21</f>
        <v>0</v>
      </c>
      <c r="H21" s="47">
        <f t="shared" ref="H21:H51" si="6">AW21*AY21</f>
        <v>0</v>
      </c>
      <c r="I21" s="47">
        <f t="shared" ref="I21:I51" si="7">BA21*BC21</f>
        <v>0</v>
      </c>
      <c r="J21" s="47">
        <f t="shared" ref="J21:J51" si="8">BE21*BG21</f>
        <v>0</v>
      </c>
      <c r="K21" s="63">
        <f t="shared" ref="K21:K51" si="9">BI21*BK21</f>
        <v>0</v>
      </c>
      <c r="L21" s="55">
        <f t="shared" ref="L21:L51" si="10">SUM(S21:U21,Y21:AA21,AE21:AG21,AK21,AO21,AS21,AW21,BA21,BE21,BI21)/($AE$16*$AE$16*3.15/10000*1000)</f>
        <v>28.054819116553745</v>
      </c>
      <c r="N21" s="33">
        <v>2</v>
      </c>
      <c r="O21" s="28">
        <v>810</v>
      </c>
      <c r="P21" s="88"/>
      <c r="Q21" s="88" t="s">
        <v>166</v>
      </c>
      <c r="R21" s="37"/>
      <c r="S21" s="20">
        <v>0</v>
      </c>
      <c r="T21" s="3">
        <v>0</v>
      </c>
      <c r="U21" s="3">
        <v>0</v>
      </c>
      <c r="V21" s="3"/>
      <c r="W21" s="3"/>
      <c r="X21" s="10"/>
      <c r="Y21" s="17">
        <v>1</v>
      </c>
      <c r="Z21" s="2"/>
      <c r="AA21" s="2">
        <v>3</v>
      </c>
      <c r="AB21" s="2"/>
      <c r="AC21" s="3">
        <v>2.2999999999999998</v>
      </c>
      <c r="AD21" s="37">
        <v>10</v>
      </c>
      <c r="AE21" s="9">
        <v>0</v>
      </c>
      <c r="AF21" s="2">
        <v>0</v>
      </c>
      <c r="AG21" s="2">
        <v>0</v>
      </c>
      <c r="AH21" s="2"/>
      <c r="AI21" s="3"/>
      <c r="AJ21" s="10"/>
      <c r="AK21" s="28">
        <v>24</v>
      </c>
      <c r="AL21" s="3"/>
      <c r="AM21" s="3">
        <v>1.7</v>
      </c>
      <c r="AN21" s="10">
        <v>5</v>
      </c>
      <c r="AO21" s="28">
        <v>0</v>
      </c>
      <c r="AP21" s="28"/>
      <c r="AQ21" s="3"/>
      <c r="AR21" s="10"/>
      <c r="AS21" s="20">
        <v>0</v>
      </c>
      <c r="AT21" s="28"/>
      <c r="AU21" s="3"/>
      <c r="AV21" s="10"/>
      <c r="AW21" s="20">
        <v>0</v>
      </c>
      <c r="AX21" s="28"/>
      <c r="AY21" s="3"/>
      <c r="AZ21" s="10">
        <v>0</v>
      </c>
      <c r="BA21" s="20">
        <v>0</v>
      </c>
      <c r="BB21" s="28"/>
      <c r="BC21" s="3"/>
      <c r="BD21" s="10"/>
      <c r="BE21" s="23">
        <v>0</v>
      </c>
      <c r="BF21" s="28"/>
      <c r="BG21" s="3"/>
      <c r="BH21" s="10"/>
      <c r="BI21" s="23">
        <v>0</v>
      </c>
      <c r="BJ21" s="28"/>
      <c r="BK21" s="3"/>
      <c r="BL21" s="10"/>
    </row>
    <row r="22" spans="2:64" x14ac:dyDescent="0.3">
      <c r="B22" s="62">
        <f t="shared" si="0"/>
        <v>0</v>
      </c>
      <c r="C22" s="47">
        <f t="shared" si="1"/>
        <v>0</v>
      </c>
      <c r="D22" s="47">
        <f t="shared" si="2"/>
        <v>0</v>
      </c>
      <c r="E22" s="47">
        <f t="shared" si="3"/>
        <v>54</v>
      </c>
      <c r="F22" s="47">
        <f t="shared" si="4"/>
        <v>0</v>
      </c>
      <c r="G22" s="47">
        <f t="shared" si="5"/>
        <v>0</v>
      </c>
      <c r="H22" s="47">
        <f t="shared" si="6"/>
        <v>0</v>
      </c>
      <c r="I22" s="47">
        <f t="shared" si="7"/>
        <v>0</v>
      </c>
      <c r="J22" s="47">
        <f t="shared" si="8"/>
        <v>0</v>
      </c>
      <c r="K22" s="63">
        <f t="shared" si="9"/>
        <v>0</v>
      </c>
      <c r="L22" s="55">
        <f t="shared" si="10"/>
        <v>30.058734767736155</v>
      </c>
      <c r="N22" s="33">
        <v>3</v>
      </c>
      <c r="O22" s="28">
        <v>814</v>
      </c>
      <c r="P22" s="88"/>
      <c r="Q22" s="88" t="s">
        <v>165</v>
      </c>
      <c r="R22" s="37"/>
      <c r="S22" s="20">
        <v>0</v>
      </c>
      <c r="T22" s="3">
        <v>0</v>
      </c>
      <c r="U22" s="3">
        <v>0</v>
      </c>
      <c r="V22" s="3"/>
      <c r="W22" s="3"/>
      <c r="X22" s="10"/>
      <c r="Y22" s="17">
        <v>0</v>
      </c>
      <c r="Z22" s="2">
        <v>0</v>
      </c>
      <c r="AA22" s="2">
        <v>0</v>
      </c>
      <c r="AB22" s="2"/>
      <c r="AC22" s="3"/>
      <c r="AD22" s="37"/>
      <c r="AE22" s="9">
        <v>0</v>
      </c>
      <c r="AF22" s="2">
        <v>0</v>
      </c>
      <c r="AG22" s="2">
        <v>0</v>
      </c>
      <c r="AH22" s="2"/>
      <c r="AI22" s="3"/>
      <c r="AJ22" s="10"/>
      <c r="AK22" s="28">
        <v>30</v>
      </c>
      <c r="AL22" s="3"/>
      <c r="AM22" s="3">
        <v>1.8</v>
      </c>
      <c r="AN22" s="10">
        <v>8</v>
      </c>
      <c r="AO22" s="28">
        <v>0</v>
      </c>
      <c r="AP22" s="28"/>
      <c r="AQ22" s="3"/>
      <c r="AR22" s="10"/>
      <c r="AS22" s="20">
        <v>0</v>
      </c>
      <c r="AT22" s="28"/>
      <c r="AU22" s="3"/>
      <c r="AV22" s="10"/>
      <c r="AW22" s="20">
        <v>0</v>
      </c>
      <c r="AX22" s="28"/>
      <c r="AY22" s="3"/>
      <c r="AZ22" s="10">
        <v>0</v>
      </c>
      <c r="BA22" s="20">
        <v>0</v>
      </c>
      <c r="BB22" s="28"/>
      <c r="BC22" s="3"/>
      <c r="BD22" s="10"/>
      <c r="BE22" s="23">
        <v>0</v>
      </c>
      <c r="BF22" s="28"/>
      <c r="BG22" s="3"/>
      <c r="BH22" s="10"/>
      <c r="BI22" s="23">
        <v>0</v>
      </c>
      <c r="BJ22" s="28"/>
      <c r="BK22" s="3"/>
      <c r="BL22" s="10"/>
    </row>
    <row r="23" spans="2:64" x14ac:dyDescent="0.3">
      <c r="B23" s="62">
        <f t="shared" si="0"/>
        <v>0</v>
      </c>
      <c r="C23" s="47">
        <f t="shared" si="1"/>
        <v>0</v>
      </c>
      <c r="D23" s="47">
        <f t="shared" si="2"/>
        <v>0</v>
      </c>
      <c r="E23" s="47">
        <f t="shared" si="3"/>
        <v>81</v>
      </c>
      <c r="F23" s="47">
        <f t="shared" si="4"/>
        <v>0</v>
      </c>
      <c r="G23" s="47">
        <f t="shared" si="5"/>
        <v>0</v>
      </c>
      <c r="H23" s="47">
        <f t="shared" si="6"/>
        <v>4</v>
      </c>
      <c r="I23" s="47">
        <f t="shared" si="7"/>
        <v>0</v>
      </c>
      <c r="J23" s="47">
        <f t="shared" si="8"/>
        <v>0</v>
      </c>
      <c r="K23" s="63">
        <f t="shared" si="9"/>
        <v>0</v>
      </c>
      <c r="L23" s="55">
        <f t="shared" si="10"/>
        <v>49.095933453969053</v>
      </c>
      <c r="N23" s="33">
        <v>4</v>
      </c>
      <c r="O23" s="27">
        <v>811</v>
      </c>
      <c r="P23" s="87"/>
      <c r="Q23" s="87" t="s">
        <v>165</v>
      </c>
      <c r="R23" s="37"/>
      <c r="S23" s="20">
        <v>0</v>
      </c>
      <c r="T23" s="3">
        <v>0</v>
      </c>
      <c r="U23" s="3">
        <v>0</v>
      </c>
      <c r="V23" s="3"/>
      <c r="W23" s="3"/>
      <c r="X23" s="10"/>
      <c r="Y23" s="17">
        <v>0</v>
      </c>
      <c r="Z23" s="2">
        <v>0</v>
      </c>
      <c r="AA23" s="2">
        <v>0</v>
      </c>
      <c r="AB23" s="2"/>
      <c r="AC23" s="3"/>
      <c r="AD23" s="37"/>
      <c r="AE23" s="9">
        <v>0</v>
      </c>
      <c r="AF23" s="2">
        <v>0</v>
      </c>
      <c r="AG23" s="2">
        <v>0</v>
      </c>
      <c r="AH23" s="2"/>
      <c r="AI23" s="3"/>
      <c r="AJ23" s="10"/>
      <c r="AK23" s="28">
        <v>45</v>
      </c>
      <c r="AL23" s="3"/>
      <c r="AM23" s="3">
        <v>1.8</v>
      </c>
      <c r="AN23" s="10">
        <v>8</v>
      </c>
      <c r="AO23" s="28">
        <v>0</v>
      </c>
      <c r="AP23" s="28"/>
      <c r="AQ23" s="3"/>
      <c r="AR23" s="10"/>
      <c r="AS23" s="20">
        <v>0</v>
      </c>
      <c r="AT23" s="28"/>
      <c r="AU23" s="3"/>
      <c r="AV23" s="10"/>
      <c r="AW23" s="20">
        <v>4</v>
      </c>
      <c r="AX23" s="28"/>
      <c r="AY23" s="3">
        <v>1</v>
      </c>
      <c r="AZ23" s="10">
        <v>5</v>
      </c>
      <c r="BA23" s="20">
        <v>0</v>
      </c>
      <c r="BB23" s="28"/>
      <c r="BC23" s="3"/>
      <c r="BD23" s="10"/>
      <c r="BE23" s="23">
        <v>0</v>
      </c>
      <c r="BF23" s="28"/>
      <c r="BG23" s="3"/>
      <c r="BH23" s="10"/>
      <c r="BI23" s="23">
        <v>0</v>
      </c>
      <c r="BJ23" s="28"/>
      <c r="BK23" s="3"/>
      <c r="BL23" s="10"/>
    </row>
    <row r="24" spans="2:64" x14ac:dyDescent="0.3">
      <c r="B24" s="62">
        <f t="shared" si="0"/>
        <v>0</v>
      </c>
      <c r="C24" s="47">
        <f t="shared" si="1"/>
        <v>0</v>
      </c>
      <c r="D24" s="47">
        <f t="shared" si="2"/>
        <v>0</v>
      </c>
      <c r="E24" s="47">
        <f t="shared" si="3"/>
        <v>10</v>
      </c>
      <c r="F24" s="47">
        <f t="shared" si="4"/>
        <v>0</v>
      </c>
      <c r="G24" s="47">
        <f t="shared" si="5"/>
        <v>0</v>
      </c>
      <c r="H24" s="47">
        <f t="shared" si="6"/>
        <v>0</v>
      </c>
      <c r="I24" s="47">
        <f t="shared" si="7"/>
        <v>0</v>
      </c>
      <c r="J24" s="47">
        <f t="shared" si="8"/>
        <v>0</v>
      </c>
      <c r="K24" s="63">
        <f t="shared" si="9"/>
        <v>0</v>
      </c>
      <c r="L24" s="55">
        <f t="shared" si="10"/>
        <v>5.0097891279560258</v>
      </c>
      <c r="N24" s="33">
        <v>5</v>
      </c>
      <c r="O24" s="28">
        <v>812</v>
      </c>
      <c r="P24" s="88"/>
      <c r="Q24" s="88" t="s">
        <v>165</v>
      </c>
      <c r="R24" s="37"/>
      <c r="S24" s="20">
        <v>0</v>
      </c>
      <c r="T24" s="3">
        <v>0</v>
      </c>
      <c r="U24" s="3">
        <v>0</v>
      </c>
      <c r="V24" s="3"/>
      <c r="W24" s="3"/>
      <c r="X24" s="10"/>
      <c r="Y24" s="17">
        <v>0</v>
      </c>
      <c r="Z24" s="2">
        <v>0</v>
      </c>
      <c r="AA24" s="2">
        <v>0</v>
      </c>
      <c r="AB24" s="2"/>
      <c r="AC24" s="3"/>
      <c r="AD24" s="37"/>
      <c r="AE24" s="9">
        <v>0</v>
      </c>
      <c r="AF24" s="2">
        <v>0</v>
      </c>
      <c r="AG24" s="2">
        <v>0</v>
      </c>
      <c r="AH24" s="2"/>
      <c r="AI24" s="3"/>
      <c r="AJ24" s="10"/>
      <c r="AK24" s="28">
        <v>5</v>
      </c>
      <c r="AL24" s="3"/>
      <c r="AM24" s="3">
        <v>2</v>
      </c>
      <c r="AN24" s="10">
        <v>7</v>
      </c>
      <c r="AO24" s="28">
        <v>0</v>
      </c>
      <c r="AP24" s="28"/>
      <c r="AQ24" s="3"/>
      <c r="AR24" s="10"/>
      <c r="AS24" s="20">
        <v>0</v>
      </c>
      <c r="AT24" s="28"/>
      <c r="AU24" s="3"/>
      <c r="AV24" s="10"/>
      <c r="AW24" s="20"/>
      <c r="AX24" s="28"/>
      <c r="AY24" s="3"/>
      <c r="AZ24" s="10"/>
      <c r="BA24" s="20">
        <v>0</v>
      </c>
      <c r="BB24" s="28"/>
      <c r="BC24" s="3"/>
      <c r="BD24" s="10"/>
      <c r="BE24" s="23">
        <v>0</v>
      </c>
      <c r="BF24" s="28"/>
      <c r="BG24" s="3"/>
      <c r="BH24" s="10"/>
      <c r="BI24" s="20">
        <v>0</v>
      </c>
      <c r="BJ24" s="28"/>
      <c r="BK24" s="3"/>
      <c r="BL24" s="10"/>
    </row>
    <row r="25" spans="2:64" x14ac:dyDescent="0.3">
      <c r="B25" s="62">
        <f t="shared" si="0"/>
        <v>0</v>
      </c>
      <c r="C25" s="47">
        <f t="shared" si="1"/>
        <v>0</v>
      </c>
      <c r="D25" s="47">
        <f t="shared" si="2"/>
        <v>0</v>
      </c>
      <c r="E25" s="47">
        <f t="shared" si="3"/>
        <v>0</v>
      </c>
      <c r="F25" s="47">
        <f t="shared" si="4"/>
        <v>44.400000000000006</v>
      </c>
      <c r="G25" s="47">
        <f t="shared" si="5"/>
        <v>0</v>
      </c>
      <c r="H25" s="47">
        <f t="shared" si="6"/>
        <v>0</v>
      </c>
      <c r="I25" s="47">
        <f t="shared" si="7"/>
        <v>0</v>
      </c>
      <c r="J25" s="47">
        <f t="shared" si="8"/>
        <v>0</v>
      </c>
      <c r="K25" s="63">
        <f t="shared" si="9"/>
        <v>0</v>
      </c>
      <c r="L25" s="55">
        <f t="shared" si="10"/>
        <v>12.023493907094462</v>
      </c>
      <c r="N25" s="33">
        <v>6</v>
      </c>
      <c r="O25" s="28">
        <v>813</v>
      </c>
      <c r="P25" s="88"/>
      <c r="Q25" s="88" t="s">
        <v>167</v>
      </c>
      <c r="R25" s="37"/>
      <c r="S25" s="20">
        <v>0</v>
      </c>
      <c r="T25" s="3">
        <v>0</v>
      </c>
      <c r="U25" s="3">
        <v>0</v>
      </c>
      <c r="V25" s="3"/>
      <c r="W25" s="3"/>
      <c r="X25" s="10"/>
      <c r="Y25" s="17">
        <v>0</v>
      </c>
      <c r="Z25" s="2">
        <v>0</v>
      </c>
      <c r="AA25" s="2">
        <v>0</v>
      </c>
      <c r="AB25" s="2"/>
      <c r="AC25" s="3"/>
      <c r="AD25" s="37"/>
      <c r="AE25" s="9">
        <v>0</v>
      </c>
      <c r="AF25" s="2">
        <v>0</v>
      </c>
      <c r="AG25" s="2">
        <v>0</v>
      </c>
      <c r="AH25" s="2"/>
      <c r="AI25" s="3"/>
      <c r="AJ25" s="10"/>
      <c r="AK25" s="28">
        <v>0</v>
      </c>
      <c r="AL25" s="3">
        <v>0</v>
      </c>
      <c r="AM25" s="3">
        <v>0</v>
      </c>
      <c r="AN25" s="10"/>
      <c r="AO25" s="28">
        <v>12</v>
      </c>
      <c r="AP25" s="28"/>
      <c r="AQ25" s="3">
        <v>3.7</v>
      </c>
      <c r="AR25" s="10">
        <v>9</v>
      </c>
      <c r="AS25" s="20">
        <v>0</v>
      </c>
      <c r="AT25" s="28"/>
      <c r="AU25" s="3"/>
      <c r="AV25" s="10"/>
      <c r="AW25" s="20">
        <v>0</v>
      </c>
      <c r="AX25" s="28"/>
      <c r="AY25" s="3"/>
      <c r="AZ25" s="10">
        <v>0</v>
      </c>
      <c r="BA25" s="20">
        <v>0</v>
      </c>
      <c r="BB25" s="28"/>
      <c r="BC25" s="3"/>
      <c r="BD25" s="10"/>
      <c r="BE25" s="23">
        <v>0</v>
      </c>
      <c r="BF25" s="28"/>
      <c r="BG25" s="3"/>
      <c r="BH25" s="10"/>
      <c r="BI25" s="20">
        <v>0</v>
      </c>
      <c r="BJ25" s="28"/>
      <c r="BK25" s="3"/>
      <c r="BL25" s="10"/>
    </row>
    <row r="26" spans="2:64" x14ac:dyDescent="0.3">
      <c r="B26" s="62">
        <f t="shared" si="0"/>
        <v>0</v>
      </c>
      <c r="C26" s="47">
        <f t="shared" si="1"/>
        <v>0</v>
      </c>
      <c r="D26" s="47">
        <f t="shared" si="2"/>
        <v>0</v>
      </c>
      <c r="E26" s="47">
        <f t="shared" si="3"/>
        <v>0</v>
      </c>
      <c r="F26" s="47">
        <f t="shared" si="4"/>
        <v>0</v>
      </c>
      <c r="G26" s="47">
        <f t="shared" si="5"/>
        <v>0</v>
      </c>
      <c r="H26" s="47">
        <f t="shared" si="6"/>
        <v>0</v>
      </c>
      <c r="I26" s="47">
        <f t="shared" si="7"/>
        <v>0</v>
      </c>
      <c r="J26" s="47">
        <f t="shared" si="8"/>
        <v>0</v>
      </c>
      <c r="K26" s="63">
        <f t="shared" si="9"/>
        <v>0</v>
      </c>
      <c r="L26" s="55">
        <f t="shared" si="10"/>
        <v>0</v>
      </c>
      <c r="N26" s="33">
        <v>7</v>
      </c>
      <c r="O26" s="27"/>
      <c r="P26" s="87"/>
      <c r="Q26" s="87"/>
      <c r="R26" s="37"/>
      <c r="S26" s="20"/>
      <c r="T26" s="3"/>
      <c r="U26" s="3"/>
      <c r="V26" s="3"/>
      <c r="W26" s="3"/>
      <c r="X26" s="10"/>
      <c r="Y26" s="17"/>
      <c r="Z26" s="2"/>
      <c r="AA26" s="2"/>
      <c r="AB26" s="2"/>
      <c r="AC26" s="3"/>
      <c r="AD26" s="37"/>
      <c r="AE26" s="9"/>
      <c r="AF26" s="2"/>
      <c r="AG26" s="2"/>
      <c r="AH26" s="2"/>
      <c r="AI26" s="3"/>
      <c r="AJ26" s="10"/>
      <c r="AK26" s="28"/>
      <c r="AL26" s="3"/>
      <c r="AM26" s="3"/>
      <c r="AN26" s="10"/>
      <c r="AO26" s="28"/>
      <c r="AP26" s="28"/>
      <c r="AQ26" s="3"/>
      <c r="AR26" s="10"/>
      <c r="AS26" s="20"/>
      <c r="AT26" s="28"/>
      <c r="AU26" s="3"/>
      <c r="AV26" s="10"/>
      <c r="AW26" s="20"/>
      <c r="AX26" s="28"/>
      <c r="AY26" s="3"/>
      <c r="AZ26" s="10"/>
      <c r="BA26" s="20"/>
      <c r="BB26" s="28"/>
      <c r="BC26" s="3"/>
      <c r="BD26" s="10"/>
      <c r="BE26" s="23"/>
      <c r="BF26" s="28"/>
      <c r="BG26" s="3"/>
      <c r="BH26" s="10"/>
      <c r="BI26" s="20"/>
      <c r="BJ26" s="28"/>
      <c r="BK26" s="3"/>
      <c r="BL26" s="10"/>
    </row>
    <row r="27" spans="2:64" x14ac:dyDescent="0.3">
      <c r="B27" s="62">
        <f t="shared" si="0"/>
        <v>0</v>
      </c>
      <c r="C27" s="47">
        <f t="shared" si="1"/>
        <v>0</v>
      </c>
      <c r="D27" s="47">
        <f t="shared" si="2"/>
        <v>0</v>
      </c>
      <c r="E27" s="47">
        <f t="shared" si="3"/>
        <v>0</v>
      </c>
      <c r="F27" s="47">
        <f t="shared" si="4"/>
        <v>0</v>
      </c>
      <c r="G27" s="47">
        <f t="shared" si="5"/>
        <v>0</v>
      </c>
      <c r="H27" s="47">
        <f t="shared" si="6"/>
        <v>0</v>
      </c>
      <c r="I27" s="47">
        <f t="shared" si="7"/>
        <v>0</v>
      </c>
      <c r="J27" s="47">
        <f t="shared" si="8"/>
        <v>0</v>
      </c>
      <c r="K27" s="63">
        <f t="shared" si="9"/>
        <v>0</v>
      </c>
      <c r="L27" s="55">
        <f t="shared" si="10"/>
        <v>0</v>
      </c>
      <c r="N27" s="33">
        <v>8</v>
      </c>
      <c r="O27" s="28"/>
      <c r="P27" s="88"/>
      <c r="Q27" s="88"/>
      <c r="R27" s="37"/>
      <c r="S27" s="20"/>
      <c r="T27" s="3"/>
      <c r="U27" s="3"/>
      <c r="V27" s="3"/>
      <c r="W27" s="3"/>
      <c r="X27" s="10"/>
      <c r="Y27" s="17"/>
      <c r="Z27" s="2"/>
      <c r="AA27" s="2"/>
      <c r="AB27" s="2"/>
      <c r="AC27" s="3"/>
      <c r="AD27" s="37"/>
      <c r="AE27" s="9"/>
      <c r="AF27" s="2"/>
      <c r="AG27" s="2"/>
      <c r="AH27" s="2"/>
      <c r="AI27" s="3"/>
      <c r="AJ27" s="10"/>
      <c r="AK27" s="28"/>
      <c r="AL27" s="3"/>
      <c r="AM27" s="3"/>
      <c r="AN27" s="10"/>
      <c r="AO27" s="28"/>
      <c r="AP27" s="28"/>
      <c r="AQ27" s="3"/>
      <c r="AR27" s="10"/>
      <c r="AS27" s="20"/>
      <c r="AT27" s="28"/>
      <c r="AU27" s="3"/>
      <c r="AV27" s="10"/>
      <c r="AW27" s="20"/>
      <c r="AX27" s="28"/>
      <c r="AY27" s="3"/>
      <c r="AZ27" s="10"/>
      <c r="BA27" s="20"/>
      <c r="BB27" s="28"/>
      <c r="BC27" s="3"/>
      <c r="BD27" s="10"/>
      <c r="BE27" s="23"/>
      <c r="BF27" s="28"/>
      <c r="BG27" s="3"/>
      <c r="BH27" s="10"/>
      <c r="BI27" s="20"/>
      <c r="BJ27" s="28"/>
      <c r="BK27" s="3"/>
      <c r="BL27" s="10"/>
    </row>
    <row r="28" spans="2:64" x14ac:dyDescent="0.3">
      <c r="B28" s="62">
        <f t="shared" si="0"/>
        <v>0</v>
      </c>
      <c r="C28" s="47">
        <f t="shared" si="1"/>
        <v>0</v>
      </c>
      <c r="D28" s="47">
        <f t="shared" si="2"/>
        <v>0</v>
      </c>
      <c r="E28" s="47">
        <f t="shared" si="3"/>
        <v>0</v>
      </c>
      <c r="F28" s="47">
        <f t="shared" si="4"/>
        <v>0</v>
      </c>
      <c r="G28" s="47">
        <f t="shared" si="5"/>
        <v>0</v>
      </c>
      <c r="H28" s="47">
        <f t="shared" si="6"/>
        <v>0</v>
      </c>
      <c r="I28" s="47">
        <f t="shared" si="7"/>
        <v>0</v>
      </c>
      <c r="J28" s="47">
        <f t="shared" si="8"/>
        <v>0</v>
      </c>
      <c r="K28" s="63">
        <f t="shared" si="9"/>
        <v>0</v>
      </c>
      <c r="L28" s="55">
        <f t="shared" si="10"/>
        <v>0</v>
      </c>
      <c r="N28" s="33">
        <v>9</v>
      </c>
      <c r="O28" s="28"/>
      <c r="P28" s="88"/>
      <c r="Q28" s="88"/>
      <c r="R28" s="37"/>
      <c r="S28" s="20"/>
      <c r="T28" s="3"/>
      <c r="U28" s="3"/>
      <c r="V28" s="3"/>
      <c r="W28" s="3"/>
      <c r="X28" s="10"/>
      <c r="Y28" s="17"/>
      <c r="Z28" s="2"/>
      <c r="AA28" s="2"/>
      <c r="AB28" s="2"/>
      <c r="AC28" s="3"/>
      <c r="AD28" s="37"/>
      <c r="AE28" s="9"/>
      <c r="AF28" s="2"/>
      <c r="AG28" s="2"/>
      <c r="AH28" s="2"/>
      <c r="AI28" s="3"/>
      <c r="AJ28" s="10"/>
      <c r="AK28" s="28"/>
      <c r="AL28" s="3"/>
      <c r="AM28" s="3"/>
      <c r="AN28" s="10"/>
      <c r="AO28" s="28"/>
      <c r="AP28" s="28"/>
      <c r="AQ28" s="3"/>
      <c r="AR28" s="10"/>
      <c r="AS28" s="20"/>
      <c r="AT28" s="28"/>
      <c r="AU28" s="3"/>
      <c r="AV28" s="10"/>
      <c r="AW28" s="20"/>
      <c r="AX28" s="28"/>
      <c r="AY28" s="3"/>
      <c r="AZ28" s="10"/>
      <c r="BA28" s="20"/>
      <c r="BB28" s="28"/>
      <c r="BC28" s="3"/>
      <c r="BD28" s="10"/>
      <c r="BE28" s="23"/>
      <c r="BF28" s="28"/>
      <c r="BG28" s="3"/>
      <c r="BH28" s="10"/>
      <c r="BI28" s="20"/>
      <c r="BJ28" s="28"/>
      <c r="BK28" s="3"/>
      <c r="BL28" s="10"/>
    </row>
    <row r="29" spans="2:64" x14ac:dyDescent="0.3">
      <c r="B29" s="62">
        <f t="shared" si="0"/>
        <v>0</v>
      </c>
      <c r="C29" s="47">
        <f t="shared" si="1"/>
        <v>0</v>
      </c>
      <c r="D29" s="47">
        <f t="shared" si="2"/>
        <v>0</v>
      </c>
      <c r="E29" s="47">
        <f t="shared" si="3"/>
        <v>0</v>
      </c>
      <c r="F29" s="47">
        <f t="shared" si="4"/>
        <v>0</v>
      </c>
      <c r="G29" s="47">
        <f t="shared" si="5"/>
        <v>0</v>
      </c>
      <c r="H29" s="47">
        <f t="shared" si="6"/>
        <v>0</v>
      </c>
      <c r="I29" s="47">
        <f t="shared" si="7"/>
        <v>0</v>
      </c>
      <c r="J29" s="47">
        <f t="shared" si="8"/>
        <v>0</v>
      </c>
      <c r="K29" s="63">
        <f t="shared" si="9"/>
        <v>0</v>
      </c>
      <c r="L29" s="55">
        <f t="shared" si="10"/>
        <v>0</v>
      </c>
      <c r="N29" s="33">
        <v>10</v>
      </c>
      <c r="O29" s="27"/>
      <c r="P29" s="87"/>
      <c r="Q29" s="87"/>
      <c r="R29" s="37"/>
      <c r="S29" s="20"/>
      <c r="T29" s="3"/>
      <c r="U29" s="3"/>
      <c r="V29" s="3"/>
      <c r="W29" s="3"/>
      <c r="X29" s="10"/>
      <c r="Y29" s="17"/>
      <c r="Z29" s="2"/>
      <c r="AA29" s="2"/>
      <c r="AB29" s="2"/>
      <c r="AC29" s="3"/>
      <c r="AD29" s="37"/>
      <c r="AE29" s="9"/>
      <c r="AF29" s="2"/>
      <c r="AG29" s="2"/>
      <c r="AH29" s="2"/>
      <c r="AI29" s="3"/>
      <c r="AJ29" s="10"/>
      <c r="AK29" s="28"/>
      <c r="AL29" s="3"/>
      <c r="AM29" s="3"/>
      <c r="AN29" s="10"/>
      <c r="AO29" s="28"/>
      <c r="AP29" s="28"/>
      <c r="AQ29" s="3"/>
      <c r="AR29" s="10"/>
      <c r="AS29" s="20"/>
      <c r="AT29" s="28"/>
      <c r="AU29" s="3"/>
      <c r="AV29" s="10"/>
      <c r="AW29" s="20"/>
      <c r="AX29" s="28"/>
      <c r="AY29" s="3"/>
      <c r="AZ29" s="10"/>
      <c r="BA29" s="20"/>
      <c r="BB29" s="28"/>
      <c r="BC29" s="3"/>
      <c r="BD29" s="10"/>
      <c r="BE29" s="23"/>
      <c r="BF29" s="28"/>
      <c r="BG29" s="3"/>
      <c r="BH29" s="10"/>
      <c r="BI29" s="20"/>
      <c r="BJ29" s="28"/>
      <c r="BK29" s="3"/>
      <c r="BL29" s="10"/>
    </row>
    <row r="30" spans="2:64" x14ac:dyDescent="0.3">
      <c r="B30" s="62">
        <f t="shared" si="0"/>
        <v>0</v>
      </c>
      <c r="C30" s="47">
        <f t="shared" si="1"/>
        <v>0</v>
      </c>
      <c r="D30" s="47">
        <f t="shared" si="2"/>
        <v>0</v>
      </c>
      <c r="E30" s="47">
        <f t="shared" si="3"/>
        <v>0</v>
      </c>
      <c r="F30" s="47">
        <f t="shared" si="4"/>
        <v>0</v>
      </c>
      <c r="G30" s="47">
        <f t="shared" si="5"/>
        <v>0</v>
      </c>
      <c r="H30" s="47">
        <f t="shared" si="6"/>
        <v>0</v>
      </c>
      <c r="I30" s="47">
        <f t="shared" si="7"/>
        <v>0</v>
      </c>
      <c r="J30" s="47">
        <f t="shared" si="8"/>
        <v>0</v>
      </c>
      <c r="K30" s="63">
        <f t="shared" si="9"/>
        <v>0</v>
      </c>
      <c r="L30" s="55">
        <f t="shared" si="10"/>
        <v>0</v>
      </c>
      <c r="N30" s="33">
        <v>11</v>
      </c>
      <c r="O30" s="28"/>
      <c r="P30" s="88"/>
      <c r="Q30" s="88"/>
      <c r="R30" s="37"/>
      <c r="S30" s="20"/>
      <c r="T30" s="3"/>
      <c r="U30" s="3"/>
      <c r="V30" s="3"/>
      <c r="W30" s="3"/>
      <c r="X30" s="10"/>
      <c r="Y30" s="17"/>
      <c r="Z30" s="2"/>
      <c r="AA30" s="2"/>
      <c r="AB30" s="2"/>
      <c r="AC30" s="3"/>
      <c r="AD30" s="37"/>
      <c r="AE30" s="9"/>
      <c r="AF30" s="2"/>
      <c r="AG30" s="2"/>
      <c r="AH30" s="2"/>
      <c r="AI30" s="3"/>
      <c r="AJ30" s="10"/>
      <c r="AK30" s="28"/>
      <c r="AL30" s="3"/>
      <c r="AM30" s="3"/>
      <c r="AN30" s="10"/>
      <c r="AO30" s="28"/>
      <c r="AP30" s="28"/>
      <c r="AQ30" s="3"/>
      <c r="AR30" s="10"/>
      <c r="AS30" s="20"/>
      <c r="AT30" s="28"/>
      <c r="AU30" s="3"/>
      <c r="AV30" s="10"/>
      <c r="AW30" s="20"/>
      <c r="AX30" s="28"/>
      <c r="AY30" s="3"/>
      <c r="AZ30" s="10"/>
      <c r="BA30" s="20"/>
      <c r="BB30" s="28"/>
      <c r="BC30" s="3"/>
      <c r="BD30" s="10"/>
      <c r="BE30" s="23"/>
      <c r="BF30" s="28"/>
      <c r="BG30" s="3"/>
      <c r="BH30" s="10"/>
      <c r="BI30" s="20"/>
      <c r="BJ30" s="28"/>
      <c r="BK30" s="3"/>
      <c r="BL30" s="10"/>
    </row>
    <row r="31" spans="2:64" x14ac:dyDescent="0.3">
      <c r="B31" s="62">
        <f t="shared" si="0"/>
        <v>0</v>
      </c>
      <c r="C31" s="47">
        <f t="shared" si="1"/>
        <v>0</v>
      </c>
      <c r="D31" s="47">
        <f t="shared" si="2"/>
        <v>0</v>
      </c>
      <c r="E31" s="47">
        <f t="shared" si="3"/>
        <v>0</v>
      </c>
      <c r="F31" s="47">
        <f t="shared" si="4"/>
        <v>0</v>
      </c>
      <c r="G31" s="47">
        <f t="shared" si="5"/>
        <v>0</v>
      </c>
      <c r="H31" s="47">
        <f t="shared" si="6"/>
        <v>0</v>
      </c>
      <c r="I31" s="47">
        <f t="shared" si="7"/>
        <v>0</v>
      </c>
      <c r="J31" s="47">
        <f t="shared" si="8"/>
        <v>0</v>
      </c>
      <c r="K31" s="63">
        <f t="shared" si="9"/>
        <v>0</v>
      </c>
      <c r="L31" s="55">
        <f t="shared" si="10"/>
        <v>0</v>
      </c>
      <c r="N31" s="33">
        <v>12</v>
      </c>
      <c r="O31" s="28"/>
      <c r="P31" s="88"/>
      <c r="Q31" s="88"/>
      <c r="R31" s="37"/>
      <c r="S31" s="20"/>
      <c r="T31" s="3"/>
      <c r="U31" s="3"/>
      <c r="V31" s="3"/>
      <c r="W31" s="3"/>
      <c r="X31" s="10"/>
      <c r="Y31" s="17"/>
      <c r="Z31" s="2"/>
      <c r="AA31" s="2"/>
      <c r="AB31" s="2"/>
      <c r="AC31" s="3"/>
      <c r="AD31" s="37"/>
      <c r="AE31" s="9"/>
      <c r="AF31" s="2"/>
      <c r="AG31" s="2"/>
      <c r="AH31" s="2"/>
      <c r="AI31" s="3"/>
      <c r="AJ31" s="10"/>
      <c r="AK31" s="28"/>
      <c r="AL31" s="3"/>
      <c r="AM31" s="3"/>
      <c r="AN31" s="10"/>
      <c r="AO31" s="28"/>
      <c r="AP31" s="28"/>
      <c r="AQ31" s="3"/>
      <c r="AR31" s="10"/>
      <c r="AS31" s="20"/>
      <c r="AT31" s="28"/>
      <c r="AU31" s="3"/>
      <c r="AV31" s="10"/>
      <c r="AW31" s="20"/>
      <c r="AX31" s="28"/>
      <c r="AY31" s="3"/>
      <c r="AZ31" s="10"/>
      <c r="BA31" s="20"/>
      <c r="BB31" s="28"/>
      <c r="BC31" s="3"/>
      <c r="BD31" s="10"/>
      <c r="BE31" s="23"/>
      <c r="BF31" s="28"/>
      <c r="BG31" s="3"/>
      <c r="BH31" s="10"/>
      <c r="BI31" s="20"/>
      <c r="BJ31" s="28"/>
      <c r="BK31" s="3"/>
      <c r="BL31" s="10"/>
    </row>
    <row r="32" spans="2:64" x14ac:dyDescent="0.3">
      <c r="B32" s="62">
        <f t="shared" si="0"/>
        <v>0</v>
      </c>
      <c r="C32" s="47">
        <f t="shared" si="1"/>
        <v>0</v>
      </c>
      <c r="D32" s="47">
        <f t="shared" si="2"/>
        <v>0</v>
      </c>
      <c r="E32" s="47">
        <f t="shared" si="3"/>
        <v>0</v>
      </c>
      <c r="F32" s="47">
        <f t="shared" si="4"/>
        <v>0</v>
      </c>
      <c r="G32" s="47">
        <f t="shared" si="5"/>
        <v>0</v>
      </c>
      <c r="H32" s="47">
        <f t="shared" si="6"/>
        <v>0</v>
      </c>
      <c r="I32" s="47">
        <f t="shared" si="7"/>
        <v>0</v>
      </c>
      <c r="J32" s="47">
        <f t="shared" si="8"/>
        <v>0</v>
      </c>
      <c r="K32" s="63">
        <f t="shared" si="9"/>
        <v>0</v>
      </c>
      <c r="L32" s="55">
        <f t="shared" si="10"/>
        <v>0</v>
      </c>
      <c r="N32" s="33">
        <v>13</v>
      </c>
      <c r="O32" s="28"/>
      <c r="P32" s="88"/>
      <c r="Q32" s="88"/>
      <c r="R32" s="37"/>
      <c r="S32" s="20"/>
      <c r="T32" s="3"/>
      <c r="U32" s="3"/>
      <c r="V32" s="3"/>
      <c r="W32" s="3"/>
      <c r="X32" s="10"/>
      <c r="Y32" s="17"/>
      <c r="Z32" s="2"/>
      <c r="AA32" s="2"/>
      <c r="AB32" s="2"/>
      <c r="AC32" s="3"/>
      <c r="AD32" s="37"/>
      <c r="AE32" s="9"/>
      <c r="AF32" s="2"/>
      <c r="AG32" s="2"/>
      <c r="AH32" s="2"/>
      <c r="AI32" s="3"/>
      <c r="AJ32" s="10"/>
      <c r="AK32" s="28"/>
      <c r="AL32" s="3"/>
      <c r="AM32" s="3"/>
      <c r="AN32" s="10"/>
      <c r="AO32" s="28"/>
      <c r="AP32" s="28"/>
      <c r="AQ32" s="3"/>
      <c r="AR32" s="10"/>
      <c r="AS32" s="20"/>
      <c r="AT32" s="28"/>
      <c r="AU32" s="3"/>
      <c r="AV32" s="10"/>
      <c r="AW32" s="20"/>
      <c r="AX32" s="28"/>
      <c r="AY32" s="3"/>
      <c r="AZ32" s="10"/>
      <c r="BA32" s="20"/>
      <c r="BB32" s="28"/>
      <c r="BC32" s="3"/>
      <c r="BD32" s="10"/>
      <c r="BE32" s="23"/>
      <c r="BF32" s="28"/>
      <c r="BG32" s="3"/>
      <c r="BH32" s="10"/>
      <c r="BI32" s="20"/>
      <c r="BJ32" s="28"/>
      <c r="BK32" s="3"/>
      <c r="BL32" s="10"/>
    </row>
    <row r="33" spans="2:64" x14ac:dyDescent="0.3">
      <c r="B33" s="62">
        <f t="shared" si="0"/>
        <v>0</v>
      </c>
      <c r="C33" s="47">
        <f t="shared" si="1"/>
        <v>0</v>
      </c>
      <c r="D33" s="47">
        <f t="shared" si="2"/>
        <v>0</v>
      </c>
      <c r="E33" s="47">
        <f t="shared" si="3"/>
        <v>0</v>
      </c>
      <c r="F33" s="47">
        <f t="shared" si="4"/>
        <v>0</v>
      </c>
      <c r="G33" s="47">
        <f t="shared" si="5"/>
        <v>0</v>
      </c>
      <c r="H33" s="47">
        <f t="shared" si="6"/>
        <v>0</v>
      </c>
      <c r="I33" s="47">
        <f t="shared" si="7"/>
        <v>0</v>
      </c>
      <c r="J33" s="47">
        <f t="shared" si="8"/>
        <v>0</v>
      </c>
      <c r="K33" s="63">
        <f t="shared" si="9"/>
        <v>0</v>
      </c>
      <c r="L33" s="55">
        <f t="shared" si="10"/>
        <v>0</v>
      </c>
      <c r="N33" s="33">
        <v>14</v>
      </c>
      <c r="O33" s="28"/>
      <c r="P33" s="88"/>
      <c r="Q33" s="88"/>
      <c r="R33" s="37"/>
      <c r="S33" s="20"/>
      <c r="T33" s="3"/>
      <c r="U33" s="3"/>
      <c r="V33" s="3"/>
      <c r="W33" s="3"/>
      <c r="X33" s="10"/>
      <c r="Y33" s="17"/>
      <c r="Z33" s="2"/>
      <c r="AA33" s="2"/>
      <c r="AB33" s="2"/>
      <c r="AC33" s="3"/>
      <c r="AD33" s="37"/>
      <c r="AE33" s="9"/>
      <c r="AF33" s="2"/>
      <c r="AG33" s="2"/>
      <c r="AH33" s="2"/>
      <c r="AI33" s="3"/>
      <c r="AJ33" s="10"/>
      <c r="AK33" s="28"/>
      <c r="AL33" s="3"/>
      <c r="AM33" s="3"/>
      <c r="AN33" s="10"/>
      <c r="AO33" s="28"/>
      <c r="AP33" s="28"/>
      <c r="AQ33" s="3"/>
      <c r="AR33" s="10"/>
      <c r="AS33" s="20"/>
      <c r="AT33" s="28"/>
      <c r="AU33" s="3"/>
      <c r="AV33" s="10"/>
      <c r="AW33" s="20"/>
      <c r="AX33" s="28"/>
      <c r="AY33" s="3"/>
      <c r="AZ33" s="10"/>
      <c r="BA33" s="20"/>
      <c r="BB33" s="28"/>
      <c r="BC33" s="3"/>
      <c r="BD33" s="10"/>
      <c r="BE33" s="23"/>
      <c r="BF33" s="28"/>
      <c r="BG33" s="3"/>
      <c r="BH33" s="10"/>
      <c r="BI33" s="20"/>
      <c r="BJ33" s="28"/>
      <c r="BK33" s="3"/>
      <c r="BL33" s="10"/>
    </row>
    <row r="34" spans="2:64" x14ac:dyDescent="0.3">
      <c r="B34" s="62">
        <f t="shared" si="0"/>
        <v>0</v>
      </c>
      <c r="C34" s="47">
        <f t="shared" si="1"/>
        <v>0</v>
      </c>
      <c r="D34" s="47">
        <f t="shared" si="2"/>
        <v>0</v>
      </c>
      <c r="E34" s="47">
        <f t="shared" si="3"/>
        <v>0</v>
      </c>
      <c r="F34" s="47">
        <f t="shared" si="4"/>
        <v>0</v>
      </c>
      <c r="G34" s="47">
        <f t="shared" si="5"/>
        <v>0</v>
      </c>
      <c r="H34" s="47">
        <f t="shared" si="6"/>
        <v>0</v>
      </c>
      <c r="I34" s="47">
        <f t="shared" si="7"/>
        <v>0</v>
      </c>
      <c r="J34" s="47">
        <f t="shared" si="8"/>
        <v>0</v>
      </c>
      <c r="K34" s="63">
        <f t="shared" si="9"/>
        <v>0</v>
      </c>
      <c r="L34" s="55">
        <f t="shared" si="10"/>
        <v>0</v>
      </c>
      <c r="N34" s="33">
        <v>15</v>
      </c>
      <c r="O34" s="28"/>
      <c r="P34" s="88"/>
      <c r="Q34" s="88"/>
      <c r="R34" s="37"/>
      <c r="S34" s="20"/>
      <c r="T34" s="3"/>
      <c r="U34" s="3"/>
      <c r="V34" s="3"/>
      <c r="W34" s="3"/>
      <c r="X34" s="10"/>
      <c r="Y34" s="17"/>
      <c r="Z34" s="2"/>
      <c r="AA34" s="2"/>
      <c r="AB34" s="2"/>
      <c r="AC34" s="3"/>
      <c r="AD34" s="37"/>
      <c r="AE34" s="9"/>
      <c r="AF34" s="2"/>
      <c r="AG34" s="2"/>
      <c r="AH34" s="2"/>
      <c r="AI34" s="3"/>
      <c r="AJ34" s="10"/>
      <c r="AK34" s="28"/>
      <c r="AL34" s="3"/>
      <c r="AM34" s="3"/>
      <c r="AN34" s="10"/>
      <c r="AO34" s="28"/>
      <c r="AP34" s="28"/>
      <c r="AQ34" s="3"/>
      <c r="AR34" s="10"/>
      <c r="AS34" s="20"/>
      <c r="AT34" s="28"/>
      <c r="AU34" s="3"/>
      <c r="AV34" s="10"/>
      <c r="AW34" s="20"/>
      <c r="AX34" s="28"/>
      <c r="AY34" s="3"/>
      <c r="AZ34" s="10"/>
      <c r="BA34" s="20"/>
      <c r="BB34" s="28"/>
      <c r="BC34" s="3"/>
      <c r="BD34" s="10"/>
      <c r="BE34" s="23"/>
      <c r="BF34" s="28"/>
      <c r="BG34" s="3"/>
      <c r="BH34" s="10"/>
      <c r="BI34" s="20"/>
      <c r="BJ34" s="28"/>
      <c r="BK34" s="3"/>
      <c r="BL34" s="10"/>
    </row>
    <row r="35" spans="2:64" x14ac:dyDescent="0.3">
      <c r="B35" s="62">
        <f t="shared" si="0"/>
        <v>0</v>
      </c>
      <c r="C35" s="47">
        <f t="shared" si="1"/>
        <v>0</v>
      </c>
      <c r="D35" s="47">
        <f t="shared" si="2"/>
        <v>0</v>
      </c>
      <c r="E35" s="47">
        <f t="shared" si="3"/>
        <v>0</v>
      </c>
      <c r="F35" s="47">
        <f t="shared" si="4"/>
        <v>0</v>
      </c>
      <c r="G35" s="47">
        <f t="shared" si="5"/>
        <v>0</v>
      </c>
      <c r="H35" s="47">
        <f t="shared" si="6"/>
        <v>0</v>
      </c>
      <c r="I35" s="47">
        <f t="shared" si="7"/>
        <v>0</v>
      </c>
      <c r="J35" s="47">
        <f t="shared" si="8"/>
        <v>0</v>
      </c>
      <c r="K35" s="63">
        <f t="shared" si="9"/>
        <v>0</v>
      </c>
      <c r="L35" s="55">
        <f t="shared" si="10"/>
        <v>0</v>
      </c>
      <c r="N35" s="33">
        <v>16</v>
      </c>
      <c r="O35" s="28"/>
      <c r="P35" s="88"/>
      <c r="Q35" s="88"/>
      <c r="R35" s="37"/>
      <c r="S35" s="20"/>
      <c r="T35" s="3"/>
      <c r="U35" s="3"/>
      <c r="V35" s="3"/>
      <c r="W35" s="3"/>
      <c r="X35" s="10"/>
      <c r="Y35" s="17"/>
      <c r="Z35" s="2"/>
      <c r="AA35" s="2"/>
      <c r="AB35" s="2"/>
      <c r="AC35" s="3"/>
      <c r="AD35" s="37"/>
      <c r="AE35" s="9"/>
      <c r="AF35" s="2"/>
      <c r="AG35" s="2"/>
      <c r="AH35" s="2"/>
      <c r="AI35" s="3"/>
      <c r="AJ35" s="10"/>
      <c r="AK35" s="28"/>
      <c r="AL35" s="3"/>
      <c r="AM35" s="3"/>
      <c r="AN35" s="10"/>
      <c r="AO35" s="28"/>
      <c r="AP35" s="28"/>
      <c r="AQ35" s="3"/>
      <c r="AR35" s="10"/>
      <c r="AS35" s="20"/>
      <c r="AT35" s="28"/>
      <c r="AU35" s="3"/>
      <c r="AV35" s="10"/>
      <c r="AW35" s="20"/>
      <c r="AX35" s="28"/>
      <c r="AY35" s="3"/>
      <c r="AZ35" s="10"/>
      <c r="BA35" s="20"/>
      <c r="BB35" s="28"/>
      <c r="BC35" s="3"/>
      <c r="BD35" s="10"/>
      <c r="BE35" s="23"/>
      <c r="BF35" s="28"/>
      <c r="BG35" s="3"/>
      <c r="BH35" s="10"/>
      <c r="BI35" s="20"/>
      <c r="BJ35" s="28"/>
      <c r="BK35" s="3"/>
      <c r="BL35" s="10"/>
    </row>
    <row r="36" spans="2:64" x14ac:dyDescent="0.3">
      <c r="B36" s="62">
        <f t="shared" si="0"/>
        <v>0</v>
      </c>
      <c r="C36" s="47">
        <f t="shared" si="1"/>
        <v>0</v>
      </c>
      <c r="D36" s="47">
        <f t="shared" si="2"/>
        <v>0</v>
      </c>
      <c r="E36" s="47">
        <f t="shared" si="3"/>
        <v>0</v>
      </c>
      <c r="F36" s="47">
        <f t="shared" si="4"/>
        <v>0</v>
      </c>
      <c r="G36" s="47">
        <f t="shared" si="5"/>
        <v>0</v>
      </c>
      <c r="H36" s="47">
        <f t="shared" si="6"/>
        <v>0</v>
      </c>
      <c r="I36" s="47">
        <f t="shared" si="7"/>
        <v>0</v>
      </c>
      <c r="J36" s="47">
        <f t="shared" si="8"/>
        <v>0</v>
      </c>
      <c r="K36" s="63">
        <f t="shared" si="9"/>
        <v>0</v>
      </c>
      <c r="L36" s="55">
        <f t="shared" si="10"/>
        <v>0</v>
      </c>
      <c r="N36" s="33">
        <v>17</v>
      </c>
      <c r="O36" s="28"/>
      <c r="P36" s="88"/>
      <c r="Q36" s="88"/>
      <c r="R36" s="37"/>
      <c r="S36" s="20"/>
      <c r="T36" s="3"/>
      <c r="U36" s="3"/>
      <c r="V36" s="3"/>
      <c r="W36" s="3"/>
      <c r="X36" s="10"/>
      <c r="Y36" s="17"/>
      <c r="Z36" s="2"/>
      <c r="AA36" s="2"/>
      <c r="AB36" s="2"/>
      <c r="AC36" s="3"/>
      <c r="AD36" s="37"/>
      <c r="AE36" s="9"/>
      <c r="AF36" s="2"/>
      <c r="AG36" s="2"/>
      <c r="AH36" s="2"/>
      <c r="AI36" s="3"/>
      <c r="AJ36" s="10"/>
      <c r="AK36" s="28"/>
      <c r="AL36" s="3"/>
      <c r="AM36" s="3"/>
      <c r="AN36" s="10"/>
      <c r="AO36" s="28"/>
      <c r="AP36" s="28"/>
      <c r="AQ36" s="3"/>
      <c r="AR36" s="10"/>
      <c r="AS36" s="20"/>
      <c r="AT36" s="28"/>
      <c r="AU36" s="3"/>
      <c r="AV36" s="10"/>
      <c r="AW36" s="20"/>
      <c r="AX36" s="28"/>
      <c r="AY36" s="3"/>
      <c r="AZ36" s="10"/>
      <c r="BA36" s="20"/>
      <c r="BB36" s="28"/>
      <c r="BC36" s="3"/>
      <c r="BD36" s="10"/>
      <c r="BE36" s="23"/>
      <c r="BF36" s="28"/>
      <c r="BG36" s="3"/>
      <c r="BH36" s="10"/>
      <c r="BI36" s="20"/>
      <c r="BJ36" s="28"/>
      <c r="BK36" s="3"/>
      <c r="BL36" s="10"/>
    </row>
    <row r="37" spans="2:64" x14ac:dyDescent="0.3">
      <c r="B37" s="62">
        <f t="shared" si="0"/>
        <v>0</v>
      </c>
      <c r="C37" s="47">
        <f t="shared" si="1"/>
        <v>0</v>
      </c>
      <c r="D37" s="47">
        <f t="shared" si="2"/>
        <v>0</v>
      </c>
      <c r="E37" s="47">
        <f t="shared" si="3"/>
        <v>0</v>
      </c>
      <c r="F37" s="47">
        <f t="shared" si="4"/>
        <v>0</v>
      </c>
      <c r="G37" s="47">
        <f t="shared" si="5"/>
        <v>0</v>
      </c>
      <c r="H37" s="47">
        <f t="shared" si="6"/>
        <v>0</v>
      </c>
      <c r="I37" s="47">
        <f t="shared" si="7"/>
        <v>0</v>
      </c>
      <c r="J37" s="47">
        <f t="shared" si="8"/>
        <v>0</v>
      </c>
      <c r="K37" s="63">
        <f t="shared" si="9"/>
        <v>0</v>
      </c>
      <c r="L37" s="55">
        <f t="shared" si="10"/>
        <v>0</v>
      </c>
      <c r="N37" s="33">
        <v>18</v>
      </c>
      <c r="O37" s="28"/>
      <c r="P37" s="88"/>
      <c r="Q37" s="88"/>
      <c r="R37" s="37"/>
      <c r="S37" s="20"/>
      <c r="T37" s="3"/>
      <c r="U37" s="3"/>
      <c r="V37" s="3"/>
      <c r="W37" s="3"/>
      <c r="X37" s="10"/>
      <c r="Y37" s="17"/>
      <c r="Z37" s="2"/>
      <c r="AA37" s="2"/>
      <c r="AB37" s="2"/>
      <c r="AC37" s="3"/>
      <c r="AD37" s="37"/>
      <c r="AE37" s="9"/>
      <c r="AF37" s="2"/>
      <c r="AG37" s="2"/>
      <c r="AH37" s="2"/>
      <c r="AI37" s="3"/>
      <c r="AJ37" s="10"/>
      <c r="AK37" s="28"/>
      <c r="AL37" s="3"/>
      <c r="AM37" s="3"/>
      <c r="AN37" s="10"/>
      <c r="AO37" s="28"/>
      <c r="AP37" s="28"/>
      <c r="AQ37" s="3"/>
      <c r="AR37" s="10"/>
      <c r="AS37" s="20"/>
      <c r="AT37" s="28"/>
      <c r="AU37" s="3"/>
      <c r="AV37" s="10"/>
      <c r="AW37" s="20"/>
      <c r="AX37" s="28"/>
      <c r="AY37" s="3"/>
      <c r="AZ37" s="10"/>
      <c r="BA37" s="20"/>
      <c r="BB37" s="28"/>
      <c r="BC37" s="3"/>
      <c r="BD37" s="10"/>
      <c r="BE37" s="23"/>
      <c r="BF37" s="28"/>
      <c r="BG37" s="3"/>
      <c r="BH37" s="10"/>
      <c r="BI37" s="20"/>
      <c r="BJ37" s="28"/>
      <c r="BK37" s="3"/>
      <c r="BL37" s="10"/>
    </row>
    <row r="38" spans="2:64" x14ac:dyDescent="0.3">
      <c r="B38" s="62">
        <f t="shared" si="0"/>
        <v>0</v>
      </c>
      <c r="C38" s="47">
        <f t="shared" si="1"/>
        <v>0</v>
      </c>
      <c r="D38" s="47">
        <f t="shared" si="2"/>
        <v>0</v>
      </c>
      <c r="E38" s="47">
        <f t="shared" si="3"/>
        <v>0</v>
      </c>
      <c r="F38" s="47">
        <f t="shared" si="4"/>
        <v>0</v>
      </c>
      <c r="G38" s="47">
        <f t="shared" si="5"/>
        <v>0</v>
      </c>
      <c r="H38" s="47">
        <f t="shared" si="6"/>
        <v>0</v>
      </c>
      <c r="I38" s="47">
        <f t="shared" si="7"/>
        <v>0</v>
      </c>
      <c r="J38" s="47">
        <f t="shared" si="8"/>
        <v>0</v>
      </c>
      <c r="K38" s="63">
        <f t="shared" si="9"/>
        <v>0</v>
      </c>
      <c r="L38" s="55">
        <f t="shared" si="10"/>
        <v>0</v>
      </c>
      <c r="N38" s="33">
        <v>19</v>
      </c>
      <c r="O38" s="28"/>
      <c r="P38" s="88"/>
      <c r="Q38" s="88"/>
      <c r="R38" s="37"/>
      <c r="S38" s="20"/>
      <c r="T38" s="3"/>
      <c r="U38" s="3"/>
      <c r="V38" s="3"/>
      <c r="W38" s="3"/>
      <c r="X38" s="10"/>
      <c r="Y38" s="17"/>
      <c r="Z38" s="2"/>
      <c r="AA38" s="2"/>
      <c r="AB38" s="2"/>
      <c r="AC38" s="3"/>
      <c r="AD38" s="37"/>
      <c r="AE38" s="9"/>
      <c r="AF38" s="2"/>
      <c r="AG38" s="2"/>
      <c r="AH38" s="2"/>
      <c r="AI38" s="3"/>
      <c r="AJ38" s="10"/>
      <c r="AK38" s="28"/>
      <c r="AL38" s="3"/>
      <c r="AM38" s="3"/>
      <c r="AN38" s="10"/>
      <c r="AO38" s="28"/>
      <c r="AP38" s="28"/>
      <c r="AQ38" s="3"/>
      <c r="AR38" s="10"/>
      <c r="AS38" s="20"/>
      <c r="AT38" s="28"/>
      <c r="AU38" s="3"/>
      <c r="AV38" s="10"/>
      <c r="AW38" s="20"/>
      <c r="AX38" s="28"/>
      <c r="AY38" s="3"/>
      <c r="AZ38" s="10"/>
      <c r="BA38" s="20"/>
      <c r="BB38" s="28"/>
      <c r="BC38" s="3"/>
      <c r="BD38" s="10"/>
      <c r="BE38" s="23"/>
      <c r="BF38" s="28"/>
      <c r="BG38" s="3"/>
      <c r="BH38" s="10"/>
      <c r="BI38" s="20"/>
      <c r="BJ38" s="28"/>
      <c r="BK38" s="3"/>
      <c r="BL38" s="10"/>
    </row>
    <row r="39" spans="2:64" x14ac:dyDescent="0.3">
      <c r="B39" s="62">
        <f t="shared" si="0"/>
        <v>0</v>
      </c>
      <c r="C39" s="47">
        <f t="shared" si="1"/>
        <v>0</v>
      </c>
      <c r="D39" s="47">
        <f t="shared" si="2"/>
        <v>0</v>
      </c>
      <c r="E39" s="47">
        <f t="shared" si="3"/>
        <v>0</v>
      </c>
      <c r="F39" s="47">
        <f t="shared" si="4"/>
        <v>0</v>
      </c>
      <c r="G39" s="47">
        <f t="shared" si="5"/>
        <v>0</v>
      </c>
      <c r="H39" s="47">
        <f t="shared" si="6"/>
        <v>0</v>
      </c>
      <c r="I39" s="47">
        <f t="shared" si="7"/>
        <v>0</v>
      </c>
      <c r="J39" s="47">
        <f t="shared" si="8"/>
        <v>0</v>
      </c>
      <c r="K39" s="63">
        <f t="shared" si="9"/>
        <v>0</v>
      </c>
      <c r="L39" s="55">
        <f t="shared" si="10"/>
        <v>0</v>
      </c>
      <c r="N39" s="33">
        <v>20</v>
      </c>
      <c r="O39" s="28"/>
      <c r="P39" s="88"/>
      <c r="Q39" s="88"/>
      <c r="R39" s="37"/>
      <c r="S39" s="20"/>
      <c r="T39" s="3"/>
      <c r="U39" s="3"/>
      <c r="V39" s="3"/>
      <c r="W39" s="3"/>
      <c r="X39" s="10"/>
      <c r="Y39" s="17"/>
      <c r="Z39" s="2"/>
      <c r="AA39" s="2"/>
      <c r="AB39" s="2"/>
      <c r="AC39" s="3"/>
      <c r="AD39" s="37"/>
      <c r="AE39" s="9"/>
      <c r="AF39" s="2"/>
      <c r="AG39" s="2"/>
      <c r="AH39" s="2"/>
      <c r="AI39" s="3"/>
      <c r="AJ39" s="10"/>
      <c r="AK39" s="28"/>
      <c r="AL39" s="3"/>
      <c r="AM39" s="3"/>
      <c r="AN39" s="10"/>
      <c r="AO39" s="28"/>
      <c r="AP39" s="28"/>
      <c r="AQ39" s="3"/>
      <c r="AR39" s="10"/>
      <c r="AS39" s="20"/>
      <c r="AT39" s="28"/>
      <c r="AU39" s="3"/>
      <c r="AV39" s="10"/>
      <c r="AW39" s="20"/>
      <c r="AX39" s="28"/>
      <c r="AY39" s="3"/>
      <c r="AZ39" s="10"/>
      <c r="BA39" s="20"/>
      <c r="BB39" s="28"/>
      <c r="BC39" s="3"/>
      <c r="BD39" s="10"/>
      <c r="BE39" s="23"/>
      <c r="BF39" s="28"/>
      <c r="BG39" s="3"/>
      <c r="BH39" s="10"/>
      <c r="BI39" s="20"/>
      <c r="BJ39" s="28"/>
      <c r="BK39" s="3"/>
      <c r="BL39" s="10"/>
    </row>
    <row r="40" spans="2:64" x14ac:dyDescent="0.3">
      <c r="B40" s="62">
        <f t="shared" si="0"/>
        <v>0</v>
      </c>
      <c r="C40" s="47">
        <f t="shared" si="1"/>
        <v>0</v>
      </c>
      <c r="D40" s="47">
        <f t="shared" si="2"/>
        <v>0</v>
      </c>
      <c r="E40" s="47">
        <f t="shared" si="3"/>
        <v>0</v>
      </c>
      <c r="F40" s="47">
        <f t="shared" si="4"/>
        <v>0</v>
      </c>
      <c r="G40" s="47">
        <f t="shared" si="5"/>
        <v>0</v>
      </c>
      <c r="H40" s="47">
        <f t="shared" si="6"/>
        <v>0</v>
      </c>
      <c r="I40" s="47">
        <f t="shared" si="7"/>
        <v>0</v>
      </c>
      <c r="J40" s="47">
        <f t="shared" si="8"/>
        <v>0</v>
      </c>
      <c r="K40" s="63">
        <f t="shared" si="9"/>
        <v>0</v>
      </c>
      <c r="L40" s="55">
        <f t="shared" si="10"/>
        <v>0</v>
      </c>
      <c r="N40" s="33">
        <v>21</v>
      </c>
      <c r="O40" s="28"/>
      <c r="P40" s="88"/>
      <c r="Q40" s="88"/>
      <c r="R40" s="37"/>
      <c r="S40" s="20"/>
      <c r="T40" s="3"/>
      <c r="U40" s="3"/>
      <c r="V40" s="3"/>
      <c r="W40" s="3"/>
      <c r="X40" s="10"/>
      <c r="Y40" s="17"/>
      <c r="Z40" s="2"/>
      <c r="AA40" s="2"/>
      <c r="AB40" s="2"/>
      <c r="AC40" s="3"/>
      <c r="AD40" s="37"/>
      <c r="AE40" s="9"/>
      <c r="AF40" s="2"/>
      <c r="AG40" s="2"/>
      <c r="AH40" s="2"/>
      <c r="AI40" s="3"/>
      <c r="AJ40" s="10"/>
      <c r="AK40" s="28"/>
      <c r="AL40" s="3"/>
      <c r="AM40" s="3"/>
      <c r="AN40" s="10"/>
      <c r="AO40" s="28"/>
      <c r="AP40" s="28"/>
      <c r="AQ40" s="3"/>
      <c r="AR40" s="10"/>
      <c r="AS40" s="20"/>
      <c r="AT40" s="28"/>
      <c r="AU40" s="3"/>
      <c r="AV40" s="10"/>
      <c r="AW40" s="20"/>
      <c r="AX40" s="28"/>
      <c r="AY40" s="3"/>
      <c r="AZ40" s="10"/>
      <c r="BA40" s="20"/>
      <c r="BB40" s="28"/>
      <c r="BC40" s="3"/>
      <c r="BD40" s="10"/>
      <c r="BE40" s="23"/>
      <c r="BF40" s="28"/>
      <c r="BG40" s="3"/>
      <c r="BH40" s="10"/>
      <c r="BI40" s="20"/>
      <c r="BJ40" s="28"/>
      <c r="BK40" s="3"/>
      <c r="BL40" s="10"/>
    </row>
    <row r="41" spans="2:64" x14ac:dyDescent="0.3">
      <c r="B41" s="62">
        <f t="shared" si="0"/>
        <v>0</v>
      </c>
      <c r="C41" s="47">
        <f t="shared" si="1"/>
        <v>0</v>
      </c>
      <c r="D41" s="47">
        <f t="shared" si="2"/>
        <v>0</v>
      </c>
      <c r="E41" s="47">
        <f t="shared" si="3"/>
        <v>0</v>
      </c>
      <c r="F41" s="47">
        <f t="shared" si="4"/>
        <v>0</v>
      </c>
      <c r="G41" s="47">
        <f t="shared" si="5"/>
        <v>0</v>
      </c>
      <c r="H41" s="47">
        <f t="shared" si="6"/>
        <v>0</v>
      </c>
      <c r="I41" s="47">
        <f t="shared" si="7"/>
        <v>0</v>
      </c>
      <c r="J41" s="47">
        <f t="shared" si="8"/>
        <v>0</v>
      </c>
      <c r="K41" s="63">
        <f t="shared" si="9"/>
        <v>0</v>
      </c>
      <c r="L41" s="55">
        <f t="shared" si="10"/>
        <v>0</v>
      </c>
      <c r="N41" s="33">
        <v>22</v>
      </c>
      <c r="O41" s="28"/>
      <c r="P41" s="88"/>
      <c r="Q41" s="88"/>
      <c r="R41" s="37"/>
      <c r="S41" s="20"/>
      <c r="T41" s="3"/>
      <c r="U41" s="3"/>
      <c r="V41" s="3"/>
      <c r="W41" s="3"/>
      <c r="X41" s="10"/>
      <c r="Y41" s="17"/>
      <c r="Z41" s="2"/>
      <c r="AA41" s="2"/>
      <c r="AB41" s="2"/>
      <c r="AC41" s="3"/>
      <c r="AD41" s="37"/>
      <c r="AE41" s="9"/>
      <c r="AF41" s="2"/>
      <c r="AG41" s="2"/>
      <c r="AH41" s="2"/>
      <c r="AI41" s="3"/>
      <c r="AJ41" s="10"/>
      <c r="AK41" s="28"/>
      <c r="AL41" s="3"/>
      <c r="AM41" s="3"/>
      <c r="AN41" s="10"/>
      <c r="AO41" s="28"/>
      <c r="AP41" s="28"/>
      <c r="AQ41" s="3"/>
      <c r="AR41" s="10"/>
      <c r="AS41" s="20"/>
      <c r="AT41" s="28"/>
      <c r="AU41" s="3"/>
      <c r="AV41" s="10"/>
      <c r="AW41" s="20"/>
      <c r="AX41" s="28"/>
      <c r="AY41" s="3"/>
      <c r="AZ41" s="10"/>
      <c r="BA41" s="20"/>
      <c r="BB41" s="28"/>
      <c r="BC41" s="3"/>
      <c r="BD41" s="10"/>
      <c r="BE41" s="23"/>
      <c r="BF41" s="28"/>
      <c r="BG41" s="3"/>
      <c r="BH41" s="10"/>
      <c r="BI41" s="20"/>
      <c r="BJ41" s="28"/>
      <c r="BK41" s="3"/>
      <c r="BL41" s="10"/>
    </row>
    <row r="42" spans="2:64" x14ac:dyDescent="0.3">
      <c r="B42" s="62">
        <f t="shared" si="0"/>
        <v>0</v>
      </c>
      <c r="C42" s="47">
        <f t="shared" si="1"/>
        <v>0</v>
      </c>
      <c r="D42" s="47">
        <f t="shared" si="2"/>
        <v>0</v>
      </c>
      <c r="E42" s="47">
        <f t="shared" si="3"/>
        <v>0</v>
      </c>
      <c r="F42" s="47">
        <f t="shared" si="4"/>
        <v>0</v>
      </c>
      <c r="G42" s="47">
        <f t="shared" si="5"/>
        <v>0</v>
      </c>
      <c r="H42" s="47">
        <f t="shared" si="6"/>
        <v>0</v>
      </c>
      <c r="I42" s="47">
        <f t="shared" si="7"/>
        <v>0</v>
      </c>
      <c r="J42" s="47">
        <f t="shared" si="8"/>
        <v>0</v>
      </c>
      <c r="K42" s="63">
        <f t="shared" si="9"/>
        <v>0</v>
      </c>
      <c r="L42" s="55">
        <f t="shared" si="10"/>
        <v>0</v>
      </c>
      <c r="N42" s="33">
        <v>23</v>
      </c>
      <c r="O42" s="28"/>
      <c r="P42" s="88"/>
      <c r="Q42" s="88"/>
      <c r="R42" s="37"/>
      <c r="S42" s="20"/>
      <c r="T42" s="3"/>
      <c r="U42" s="3"/>
      <c r="V42" s="3"/>
      <c r="W42" s="3"/>
      <c r="X42" s="10"/>
      <c r="Y42" s="17"/>
      <c r="Z42" s="2"/>
      <c r="AA42" s="2"/>
      <c r="AB42" s="2"/>
      <c r="AC42" s="3"/>
      <c r="AD42" s="37"/>
      <c r="AE42" s="9"/>
      <c r="AF42" s="2"/>
      <c r="AG42" s="2"/>
      <c r="AH42" s="2"/>
      <c r="AI42" s="3"/>
      <c r="AJ42" s="10"/>
      <c r="AK42" s="28"/>
      <c r="AL42" s="3"/>
      <c r="AM42" s="3"/>
      <c r="AN42" s="10"/>
      <c r="AO42" s="28"/>
      <c r="AP42" s="28"/>
      <c r="AQ42" s="3"/>
      <c r="AR42" s="10"/>
      <c r="AS42" s="20"/>
      <c r="AT42" s="28"/>
      <c r="AU42" s="3"/>
      <c r="AV42" s="10"/>
      <c r="AW42" s="20"/>
      <c r="AX42" s="28"/>
      <c r="AY42" s="3"/>
      <c r="AZ42" s="10"/>
      <c r="BA42" s="20"/>
      <c r="BB42" s="28"/>
      <c r="BC42" s="3"/>
      <c r="BD42" s="10"/>
      <c r="BE42" s="23"/>
      <c r="BF42" s="28"/>
      <c r="BG42" s="3"/>
      <c r="BH42" s="10"/>
      <c r="BI42" s="20"/>
      <c r="BJ42" s="28"/>
      <c r="BK42" s="3"/>
      <c r="BL42" s="10"/>
    </row>
    <row r="43" spans="2:64" x14ac:dyDescent="0.3">
      <c r="B43" s="62">
        <f t="shared" si="0"/>
        <v>0</v>
      </c>
      <c r="C43" s="47">
        <f t="shared" si="1"/>
        <v>0</v>
      </c>
      <c r="D43" s="47">
        <f t="shared" si="2"/>
        <v>0</v>
      </c>
      <c r="E43" s="47">
        <f t="shared" si="3"/>
        <v>0</v>
      </c>
      <c r="F43" s="47">
        <f t="shared" si="4"/>
        <v>0</v>
      </c>
      <c r="G43" s="47">
        <f t="shared" si="5"/>
        <v>0</v>
      </c>
      <c r="H43" s="47">
        <f t="shared" si="6"/>
        <v>0</v>
      </c>
      <c r="I43" s="47">
        <f t="shared" si="7"/>
        <v>0</v>
      </c>
      <c r="J43" s="47">
        <f t="shared" si="8"/>
        <v>0</v>
      </c>
      <c r="K43" s="63">
        <f t="shared" si="9"/>
        <v>0</v>
      </c>
      <c r="L43" s="55">
        <f t="shared" si="10"/>
        <v>0</v>
      </c>
      <c r="N43" s="33">
        <v>24</v>
      </c>
      <c r="O43" s="28"/>
      <c r="P43" s="88"/>
      <c r="Q43" s="88"/>
      <c r="R43" s="37"/>
      <c r="S43" s="20"/>
      <c r="T43" s="3"/>
      <c r="U43" s="3"/>
      <c r="V43" s="3"/>
      <c r="W43" s="3"/>
      <c r="X43" s="10"/>
      <c r="Y43" s="17"/>
      <c r="Z43" s="2"/>
      <c r="AA43" s="2"/>
      <c r="AB43" s="2"/>
      <c r="AC43" s="3"/>
      <c r="AD43" s="37"/>
      <c r="AE43" s="9"/>
      <c r="AF43" s="2"/>
      <c r="AG43" s="2"/>
      <c r="AH43" s="2"/>
      <c r="AI43" s="3"/>
      <c r="AJ43" s="10"/>
      <c r="AK43" s="28"/>
      <c r="AL43" s="3"/>
      <c r="AM43" s="3"/>
      <c r="AN43" s="10"/>
      <c r="AO43" s="28"/>
      <c r="AP43" s="28"/>
      <c r="AQ43" s="3"/>
      <c r="AR43" s="10"/>
      <c r="AS43" s="20"/>
      <c r="AT43" s="28"/>
      <c r="AU43" s="3"/>
      <c r="AV43" s="10"/>
      <c r="AW43" s="20"/>
      <c r="AX43" s="28"/>
      <c r="AY43" s="3"/>
      <c r="AZ43" s="10"/>
      <c r="BA43" s="20"/>
      <c r="BB43" s="28"/>
      <c r="BC43" s="3"/>
      <c r="BD43" s="10"/>
      <c r="BE43" s="23"/>
      <c r="BF43" s="28"/>
      <c r="BG43" s="3"/>
      <c r="BH43" s="10"/>
      <c r="BI43" s="20"/>
      <c r="BJ43" s="28"/>
      <c r="BK43" s="3"/>
      <c r="BL43" s="10"/>
    </row>
    <row r="44" spans="2:64" x14ac:dyDescent="0.3">
      <c r="B44" s="62">
        <f t="shared" si="0"/>
        <v>0</v>
      </c>
      <c r="C44" s="47">
        <f t="shared" si="1"/>
        <v>0</v>
      </c>
      <c r="D44" s="47">
        <f t="shared" si="2"/>
        <v>0</v>
      </c>
      <c r="E44" s="47">
        <f t="shared" si="3"/>
        <v>0</v>
      </c>
      <c r="F44" s="47">
        <f t="shared" si="4"/>
        <v>0</v>
      </c>
      <c r="G44" s="47">
        <f t="shared" si="5"/>
        <v>0</v>
      </c>
      <c r="H44" s="47">
        <f t="shared" si="6"/>
        <v>0</v>
      </c>
      <c r="I44" s="47">
        <f t="shared" si="7"/>
        <v>0</v>
      </c>
      <c r="J44" s="47">
        <f t="shared" si="8"/>
        <v>0</v>
      </c>
      <c r="K44" s="63">
        <f t="shared" si="9"/>
        <v>0</v>
      </c>
      <c r="L44" s="55">
        <f t="shared" si="10"/>
        <v>0</v>
      </c>
      <c r="N44" s="33">
        <v>25</v>
      </c>
      <c r="O44" s="28"/>
      <c r="P44" s="88"/>
      <c r="Q44" s="88"/>
      <c r="R44" s="37"/>
      <c r="S44" s="20"/>
      <c r="T44" s="3"/>
      <c r="U44" s="3"/>
      <c r="V44" s="3"/>
      <c r="W44" s="3"/>
      <c r="X44" s="10"/>
      <c r="Y44" s="17"/>
      <c r="Z44" s="2"/>
      <c r="AA44" s="2"/>
      <c r="AB44" s="2"/>
      <c r="AC44" s="3"/>
      <c r="AD44" s="37"/>
      <c r="AE44" s="9"/>
      <c r="AF44" s="2"/>
      <c r="AG44" s="2"/>
      <c r="AH44" s="2"/>
      <c r="AI44" s="3"/>
      <c r="AJ44" s="10"/>
      <c r="AK44" s="28"/>
      <c r="AL44" s="3"/>
      <c r="AM44" s="3"/>
      <c r="AN44" s="10"/>
      <c r="AO44" s="28"/>
      <c r="AP44" s="28"/>
      <c r="AQ44" s="3"/>
      <c r="AR44" s="10"/>
      <c r="AS44" s="20"/>
      <c r="AT44" s="28"/>
      <c r="AU44" s="3"/>
      <c r="AV44" s="10"/>
      <c r="AW44" s="20"/>
      <c r="AX44" s="28"/>
      <c r="AY44" s="3"/>
      <c r="AZ44" s="10"/>
      <c r="BA44" s="20"/>
      <c r="BB44" s="28"/>
      <c r="BC44" s="3"/>
      <c r="BD44" s="10"/>
      <c r="BE44" s="23"/>
      <c r="BF44" s="28"/>
      <c r="BG44" s="3"/>
      <c r="BH44" s="10"/>
      <c r="BI44" s="20"/>
      <c r="BJ44" s="28"/>
      <c r="BK44" s="3"/>
      <c r="BL44" s="10"/>
    </row>
    <row r="45" spans="2:64" x14ac:dyDescent="0.3">
      <c r="B45" s="62">
        <f t="shared" si="0"/>
        <v>0</v>
      </c>
      <c r="C45" s="47">
        <f t="shared" si="1"/>
        <v>0</v>
      </c>
      <c r="D45" s="47">
        <f t="shared" si="2"/>
        <v>0</v>
      </c>
      <c r="E45" s="47">
        <f t="shared" si="3"/>
        <v>0</v>
      </c>
      <c r="F45" s="47">
        <f t="shared" si="4"/>
        <v>0</v>
      </c>
      <c r="G45" s="47">
        <f t="shared" si="5"/>
        <v>0</v>
      </c>
      <c r="H45" s="47">
        <f t="shared" si="6"/>
        <v>0</v>
      </c>
      <c r="I45" s="47">
        <f t="shared" si="7"/>
        <v>0</v>
      </c>
      <c r="J45" s="47">
        <f t="shared" si="8"/>
        <v>0</v>
      </c>
      <c r="K45" s="63">
        <f t="shared" si="9"/>
        <v>0</v>
      </c>
      <c r="L45" s="55">
        <f t="shared" si="10"/>
        <v>0</v>
      </c>
      <c r="N45" s="33">
        <v>26</v>
      </c>
      <c r="O45" s="28"/>
      <c r="P45" s="88"/>
      <c r="Q45" s="88"/>
      <c r="R45" s="37"/>
      <c r="S45" s="20"/>
      <c r="T45" s="3"/>
      <c r="U45" s="3"/>
      <c r="V45" s="3"/>
      <c r="W45" s="3"/>
      <c r="X45" s="10"/>
      <c r="Y45" s="17"/>
      <c r="Z45" s="2"/>
      <c r="AA45" s="2"/>
      <c r="AB45" s="2"/>
      <c r="AC45" s="3"/>
      <c r="AD45" s="37"/>
      <c r="AE45" s="9"/>
      <c r="AF45" s="2"/>
      <c r="AG45" s="2"/>
      <c r="AH45" s="2"/>
      <c r="AI45" s="3"/>
      <c r="AJ45" s="10"/>
      <c r="AK45" s="28"/>
      <c r="AL45" s="3"/>
      <c r="AM45" s="3"/>
      <c r="AN45" s="10"/>
      <c r="AO45" s="28"/>
      <c r="AP45" s="28"/>
      <c r="AQ45" s="3"/>
      <c r="AR45" s="10"/>
      <c r="AS45" s="20"/>
      <c r="AT45" s="28"/>
      <c r="AU45" s="3"/>
      <c r="AV45" s="10"/>
      <c r="AW45" s="20"/>
      <c r="AX45" s="28"/>
      <c r="AY45" s="3"/>
      <c r="AZ45" s="10"/>
      <c r="BA45" s="20"/>
      <c r="BB45" s="28"/>
      <c r="BC45" s="3"/>
      <c r="BD45" s="10"/>
      <c r="BE45" s="23"/>
      <c r="BF45" s="28"/>
      <c r="BG45" s="3"/>
      <c r="BH45" s="10"/>
      <c r="BI45" s="20"/>
      <c r="BJ45" s="28"/>
      <c r="BK45" s="3"/>
      <c r="BL45" s="10"/>
    </row>
    <row r="46" spans="2:64" x14ac:dyDescent="0.3">
      <c r="B46" s="62">
        <f t="shared" si="0"/>
        <v>0</v>
      </c>
      <c r="C46" s="47">
        <f t="shared" si="1"/>
        <v>0</v>
      </c>
      <c r="D46" s="47">
        <f t="shared" si="2"/>
        <v>0</v>
      </c>
      <c r="E46" s="47">
        <f t="shared" si="3"/>
        <v>0</v>
      </c>
      <c r="F46" s="47">
        <f t="shared" si="4"/>
        <v>0</v>
      </c>
      <c r="G46" s="47">
        <f t="shared" si="5"/>
        <v>0</v>
      </c>
      <c r="H46" s="47">
        <f t="shared" si="6"/>
        <v>0</v>
      </c>
      <c r="I46" s="47">
        <f t="shared" si="7"/>
        <v>0</v>
      </c>
      <c r="J46" s="47">
        <f t="shared" si="8"/>
        <v>0</v>
      </c>
      <c r="K46" s="63">
        <f t="shared" si="9"/>
        <v>0</v>
      </c>
      <c r="L46" s="55">
        <f t="shared" si="10"/>
        <v>0</v>
      </c>
      <c r="N46" s="33">
        <v>27</v>
      </c>
      <c r="O46" s="28"/>
      <c r="P46" s="88"/>
      <c r="Q46" s="88"/>
      <c r="R46" s="37"/>
      <c r="S46" s="20"/>
      <c r="T46" s="3"/>
      <c r="U46" s="3"/>
      <c r="V46" s="3"/>
      <c r="W46" s="3"/>
      <c r="X46" s="10"/>
      <c r="Y46" s="17"/>
      <c r="Z46" s="2"/>
      <c r="AA46" s="2"/>
      <c r="AB46" s="2"/>
      <c r="AC46" s="3"/>
      <c r="AD46" s="37"/>
      <c r="AE46" s="9"/>
      <c r="AF46" s="2"/>
      <c r="AG46" s="2"/>
      <c r="AH46" s="2"/>
      <c r="AI46" s="3"/>
      <c r="AJ46" s="10"/>
      <c r="AK46" s="28"/>
      <c r="AL46" s="3"/>
      <c r="AM46" s="3"/>
      <c r="AN46" s="10"/>
      <c r="AO46" s="28"/>
      <c r="AP46" s="28"/>
      <c r="AQ46" s="3"/>
      <c r="AR46" s="10"/>
      <c r="AS46" s="20"/>
      <c r="AT46" s="28"/>
      <c r="AU46" s="3"/>
      <c r="AV46" s="10"/>
      <c r="AW46" s="20"/>
      <c r="AX46" s="28"/>
      <c r="AY46" s="3"/>
      <c r="AZ46" s="10"/>
      <c r="BA46" s="20"/>
      <c r="BB46" s="28"/>
      <c r="BC46" s="3"/>
      <c r="BD46" s="10"/>
      <c r="BE46" s="23"/>
      <c r="BF46" s="28"/>
      <c r="BG46" s="3"/>
      <c r="BH46" s="10"/>
      <c r="BI46" s="20"/>
      <c r="BJ46" s="28"/>
      <c r="BK46" s="3"/>
      <c r="BL46" s="10"/>
    </row>
    <row r="47" spans="2:64" x14ac:dyDescent="0.3">
      <c r="B47" s="62">
        <f t="shared" si="0"/>
        <v>0</v>
      </c>
      <c r="C47" s="47">
        <f t="shared" si="1"/>
        <v>0</v>
      </c>
      <c r="D47" s="47">
        <f t="shared" si="2"/>
        <v>0</v>
      </c>
      <c r="E47" s="47">
        <f t="shared" si="3"/>
        <v>0</v>
      </c>
      <c r="F47" s="47">
        <f t="shared" si="4"/>
        <v>0</v>
      </c>
      <c r="G47" s="47">
        <f t="shared" si="5"/>
        <v>0</v>
      </c>
      <c r="H47" s="47">
        <f t="shared" si="6"/>
        <v>0</v>
      </c>
      <c r="I47" s="47">
        <f t="shared" si="7"/>
        <v>0</v>
      </c>
      <c r="J47" s="47">
        <f t="shared" si="8"/>
        <v>0</v>
      </c>
      <c r="K47" s="63">
        <f t="shared" si="9"/>
        <v>0</v>
      </c>
      <c r="L47" s="55">
        <f t="shared" si="10"/>
        <v>0</v>
      </c>
      <c r="N47" s="33">
        <v>28</v>
      </c>
      <c r="O47" s="28"/>
      <c r="P47" s="88"/>
      <c r="Q47" s="88"/>
      <c r="R47" s="37"/>
      <c r="S47" s="20"/>
      <c r="T47" s="3"/>
      <c r="U47" s="3"/>
      <c r="V47" s="3"/>
      <c r="W47" s="3"/>
      <c r="X47" s="10"/>
      <c r="Y47" s="17"/>
      <c r="Z47" s="2"/>
      <c r="AA47" s="2"/>
      <c r="AB47" s="2"/>
      <c r="AC47" s="3"/>
      <c r="AD47" s="37"/>
      <c r="AE47" s="9"/>
      <c r="AF47" s="2"/>
      <c r="AG47" s="2"/>
      <c r="AH47" s="2"/>
      <c r="AI47" s="3"/>
      <c r="AJ47" s="10"/>
      <c r="AK47" s="28"/>
      <c r="AL47" s="3"/>
      <c r="AM47" s="3"/>
      <c r="AN47" s="10"/>
      <c r="AO47" s="28"/>
      <c r="AP47" s="28"/>
      <c r="AQ47" s="3"/>
      <c r="AR47" s="10"/>
      <c r="AS47" s="20"/>
      <c r="AT47" s="28"/>
      <c r="AU47" s="3"/>
      <c r="AV47" s="10"/>
      <c r="AW47" s="20"/>
      <c r="AX47" s="28"/>
      <c r="AY47" s="3"/>
      <c r="AZ47" s="10"/>
      <c r="BA47" s="20"/>
      <c r="BB47" s="28"/>
      <c r="BC47" s="3"/>
      <c r="BD47" s="10"/>
      <c r="BE47" s="23"/>
      <c r="BF47" s="28"/>
      <c r="BG47" s="3"/>
      <c r="BH47" s="10"/>
      <c r="BI47" s="20"/>
      <c r="BJ47" s="28"/>
      <c r="BK47" s="3"/>
      <c r="BL47" s="10"/>
    </row>
    <row r="48" spans="2:64" x14ac:dyDescent="0.3">
      <c r="B48" s="62">
        <f t="shared" si="0"/>
        <v>0</v>
      </c>
      <c r="C48" s="47">
        <f t="shared" si="1"/>
        <v>0</v>
      </c>
      <c r="D48" s="47">
        <f t="shared" si="2"/>
        <v>0</v>
      </c>
      <c r="E48" s="47">
        <f t="shared" si="3"/>
        <v>0</v>
      </c>
      <c r="F48" s="47">
        <f t="shared" si="4"/>
        <v>0</v>
      </c>
      <c r="G48" s="47">
        <f t="shared" si="5"/>
        <v>0</v>
      </c>
      <c r="H48" s="47">
        <f t="shared" si="6"/>
        <v>0</v>
      </c>
      <c r="I48" s="47">
        <f t="shared" si="7"/>
        <v>0</v>
      </c>
      <c r="J48" s="47">
        <f t="shared" si="8"/>
        <v>0</v>
      </c>
      <c r="K48" s="63">
        <f t="shared" si="9"/>
        <v>0</v>
      </c>
      <c r="L48" s="55">
        <f t="shared" si="10"/>
        <v>0</v>
      </c>
      <c r="N48" s="33">
        <v>29</v>
      </c>
      <c r="O48" s="28"/>
      <c r="P48" s="88"/>
      <c r="Q48" s="88"/>
      <c r="R48" s="37"/>
      <c r="S48" s="20"/>
      <c r="T48" s="3"/>
      <c r="U48" s="3"/>
      <c r="V48" s="3"/>
      <c r="W48" s="3"/>
      <c r="X48" s="10"/>
      <c r="Y48" s="17"/>
      <c r="Z48" s="2"/>
      <c r="AA48" s="2"/>
      <c r="AB48" s="2"/>
      <c r="AC48" s="3"/>
      <c r="AD48" s="37"/>
      <c r="AE48" s="9"/>
      <c r="AF48" s="2"/>
      <c r="AG48" s="2"/>
      <c r="AH48" s="2"/>
      <c r="AI48" s="3"/>
      <c r="AJ48" s="10"/>
      <c r="AK48" s="28"/>
      <c r="AL48" s="3"/>
      <c r="AM48" s="3"/>
      <c r="AN48" s="10"/>
      <c r="AO48" s="28"/>
      <c r="AP48" s="28"/>
      <c r="AQ48" s="3"/>
      <c r="AR48" s="10"/>
      <c r="AS48" s="20"/>
      <c r="AT48" s="28"/>
      <c r="AU48" s="3"/>
      <c r="AV48" s="10"/>
      <c r="AW48" s="20"/>
      <c r="AX48" s="28"/>
      <c r="AY48" s="3"/>
      <c r="AZ48" s="10"/>
      <c r="BA48" s="20"/>
      <c r="BB48" s="28"/>
      <c r="BC48" s="3"/>
      <c r="BD48" s="10"/>
      <c r="BE48" s="23"/>
      <c r="BF48" s="28"/>
      <c r="BG48" s="3"/>
      <c r="BH48" s="10"/>
      <c r="BI48" s="20"/>
      <c r="BJ48" s="28"/>
      <c r="BK48" s="3"/>
      <c r="BL48" s="10"/>
    </row>
    <row r="49" spans="2:64" x14ac:dyDescent="0.3">
      <c r="B49" s="62">
        <f t="shared" si="0"/>
        <v>0</v>
      </c>
      <c r="C49" s="47">
        <f t="shared" si="1"/>
        <v>0</v>
      </c>
      <c r="D49" s="47">
        <f t="shared" si="2"/>
        <v>0</v>
      </c>
      <c r="E49" s="47">
        <f t="shared" si="3"/>
        <v>0</v>
      </c>
      <c r="F49" s="47">
        <f t="shared" si="4"/>
        <v>0</v>
      </c>
      <c r="G49" s="47">
        <f t="shared" si="5"/>
        <v>0</v>
      </c>
      <c r="H49" s="47">
        <f t="shared" si="6"/>
        <v>0</v>
      </c>
      <c r="I49" s="47">
        <f t="shared" si="7"/>
        <v>0</v>
      </c>
      <c r="J49" s="47">
        <f t="shared" si="8"/>
        <v>0</v>
      </c>
      <c r="K49" s="63">
        <f t="shared" si="9"/>
        <v>0</v>
      </c>
      <c r="L49" s="55">
        <f t="shared" si="10"/>
        <v>0</v>
      </c>
      <c r="N49" s="33">
        <v>30</v>
      </c>
      <c r="O49" s="28"/>
      <c r="P49" s="88"/>
      <c r="Q49" s="88"/>
      <c r="R49" s="37"/>
      <c r="S49" s="20"/>
      <c r="T49" s="3"/>
      <c r="U49" s="3"/>
      <c r="V49" s="3"/>
      <c r="W49" s="3"/>
      <c r="X49" s="10"/>
      <c r="Y49" s="17"/>
      <c r="Z49" s="2"/>
      <c r="AA49" s="2"/>
      <c r="AB49" s="2"/>
      <c r="AC49" s="3"/>
      <c r="AD49" s="37"/>
      <c r="AE49" s="9"/>
      <c r="AF49" s="2"/>
      <c r="AG49" s="2"/>
      <c r="AH49" s="2"/>
      <c r="AI49" s="3"/>
      <c r="AJ49" s="10"/>
      <c r="AK49" s="28"/>
      <c r="AL49" s="3"/>
      <c r="AM49" s="3"/>
      <c r="AN49" s="10"/>
      <c r="AO49" s="28"/>
      <c r="AP49" s="28"/>
      <c r="AQ49" s="3"/>
      <c r="AR49" s="10"/>
      <c r="AS49" s="20"/>
      <c r="AT49" s="28"/>
      <c r="AU49" s="3"/>
      <c r="AV49" s="10"/>
      <c r="AW49" s="20"/>
      <c r="AX49" s="28"/>
      <c r="AY49" s="3"/>
      <c r="AZ49" s="10"/>
      <c r="BA49" s="20"/>
      <c r="BB49" s="28"/>
      <c r="BC49" s="3"/>
      <c r="BD49" s="10"/>
      <c r="BE49" s="23"/>
      <c r="BF49" s="28"/>
      <c r="BG49" s="3"/>
      <c r="BH49" s="10"/>
      <c r="BI49" s="20"/>
      <c r="BJ49" s="28"/>
      <c r="BK49" s="3"/>
      <c r="BL49" s="10"/>
    </row>
    <row r="50" spans="2:64" x14ac:dyDescent="0.3">
      <c r="B50" s="62">
        <f t="shared" si="0"/>
        <v>0</v>
      </c>
      <c r="C50" s="47">
        <f t="shared" si="1"/>
        <v>0</v>
      </c>
      <c r="D50" s="47">
        <f t="shared" si="2"/>
        <v>0</v>
      </c>
      <c r="E50" s="47">
        <f t="shared" si="3"/>
        <v>0</v>
      </c>
      <c r="F50" s="47">
        <f t="shared" si="4"/>
        <v>0</v>
      </c>
      <c r="G50" s="47">
        <f t="shared" si="5"/>
        <v>0</v>
      </c>
      <c r="H50" s="47">
        <f t="shared" si="6"/>
        <v>0</v>
      </c>
      <c r="I50" s="47">
        <f t="shared" si="7"/>
        <v>0</v>
      </c>
      <c r="J50" s="47">
        <f t="shared" si="8"/>
        <v>0</v>
      </c>
      <c r="K50" s="63">
        <f t="shared" si="9"/>
        <v>0</v>
      </c>
      <c r="L50" s="55">
        <f t="shared" si="10"/>
        <v>0</v>
      </c>
      <c r="N50" s="33">
        <v>31</v>
      </c>
      <c r="O50" s="28"/>
      <c r="P50" s="88"/>
      <c r="Q50" s="88"/>
      <c r="R50" s="37"/>
      <c r="S50" s="20"/>
      <c r="T50" s="3"/>
      <c r="U50" s="3"/>
      <c r="V50" s="3"/>
      <c r="W50" s="3"/>
      <c r="X50" s="10"/>
      <c r="Y50" s="17"/>
      <c r="Z50" s="2"/>
      <c r="AA50" s="2"/>
      <c r="AB50" s="2"/>
      <c r="AC50" s="3"/>
      <c r="AD50" s="37"/>
      <c r="AE50" s="9"/>
      <c r="AF50" s="2"/>
      <c r="AG50" s="2"/>
      <c r="AH50" s="2"/>
      <c r="AI50" s="3"/>
      <c r="AJ50" s="10"/>
      <c r="AK50" s="28"/>
      <c r="AL50" s="3"/>
      <c r="AM50" s="3"/>
      <c r="AN50" s="10"/>
      <c r="AO50" s="28"/>
      <c r="AP50" s="28"/>
      <c r="AQ50" s="3"/>
      <c r="AR50" s="10"/>
      <c r="AS50" s="20"/>
      <c r="AT50" s="28"/>
      <c r="AU50" s="3"/>
      <c r="AV50" s="10"/>
      <c r="AW50" s="20"/>
      <c r="AX50" s="28"/>
      <c r="AY50" s="3"/>
      <c r="AZ50" s="10"/>
      <c r="BA50" s="20"/>
      <c r="BB50" s="28"/>
      <c r="BC50" s="3"/>
      <c r="BD50" s="10"/>
      <c r="BE50" s="23"/>
      <c r="BF50" s="28"/>
      <c r="BG50" s="3"/>
      <c r="BH50" s="10"/>
      <c r="BI50" s="20"/>
      <c r="BJ50" s="28"/>
      <c r="BK50" s="3"/>
      <c r="BL50" s="10"/>
    </row>
    <row r="51" spans="2:64" ht="15" thickBot="1" x14ac:dyDescent="0.35">
      <c r="B51" s="64">
        <f t="shared" si="0"/>
        <v>0</v>
      </c>
      <c r="C51" s="65">
        <f t="shared" si="1"/>
        <v>0</v>
      </c>
      <c r="D51" s="65">
        <f t="shared" si="2"/>
        <v>0</v>
      </c>
      <c r="E51" s="65">
        <f t="shared" si="3"/>
        <v>0</v>
      </c>
      <c r="F51" s="65">
        <f t="shared" si="4"/>
        <v>0</v>
      </c>
      <c r="G51" s="65">
        <f t="shared" si="5"/>
        <v>0</v>
      </c>
      <c r="H51" s="65">
        <f t="shared" si="6"/>
        <v>0</v>
      </c>
      <c r="I51" s="65">
        <f t="shared" si="7"/>
        <v>0</v>
      </c>
      <c r="J51" s="65">
        <f t="shared" si="8"/>
        <v>0</v>
      </c>
      <c r="K51" s="66">
        <f t="shared" si="9"/>
        <v>0</v>
      </c>
      <c r="L51" s="55">
        <f t="shared" si="10"/>
        <v>0</v>
      </c>
      <c r="N51" s="33">
        <v>32</v>
      </c>
      <c r="O51" s="28"/>
      <c r="P51" s="88"/>
      <c r="Q51" s="88"/>
      <c r="R51" s="37"/>
      <c r="S51" s="20"/>
      <c r="T51" s="3"/>
      <c r="U51" s="3"/>
      <c r="V51" s="3"/>
      <c r="W51" s="3"/>
      <c r="X51" s="10"/>
      <c r="Y51" s="17"/>
      <c r="Z51" s="2"/>
      <c r="AA51" s="2"/>
      <c r="AB51" s="2"/>
      <c r="AC51" s="3"/>
      <c r="AD51" s="37"/>
      <c r="AE51" s="9"/>
      <c r="AF51" s="2"/>
      <c r="AG51" s="2"/>
      <c r="AH51" s="2"/>
      <c r="AI51" s="3"/>
      <c r="AJ51" s="10"/>
      <c r="AK51" s="28"/>
      <c r="AL51" s="3"/>
      <c r="AM51" s="3"/>
      <c r="AN51" s="10"/>
      <c r="AO51" s="28"/>
      <c r="AP51" s="28"/>
      <c r="AQ51" s="3"/>
      <c r="AR51" s="10"/>
      <c r="AS51" s="20"/>
      <c r="AT51" s="28"/>
      <c r="AU51" s="3"/>
      <c r="AV51" s="10"/>
      <c r="AW51" s="20"/>
      <c r="AX51" s="28"/>
      <c r="AY51" s="3"/>
      <c r="AZ51" s="10"/>
      <c r="BA51" s="20"/>
      <c r="BB51" s="28"/>
      <c r="BC51" s="3"/>
      <c r="BD51" s="10"/>
      <c r="BE51" s="23"/>
      <c r="BF51" s="28"/>
      <c r="BG51" s="3"/>
      <c r="BH51" s="10"/>
      <c r="BI51" s="20"/>
      <c r="BJ51" s="28"/>
      <c r="BK51" s="3"/>
      <c r="BL51" s="10"/>
    </row>
    <row r="52" spans="2:64" x14ac:dyDescent="0.3">
      <c r="N52" s="34" t="s">
        <v>25</v>
      </c>
      <c r="O52" s="29"/>
      <c r="P52" s="89"/>
      <c r="Q52" s="89"/>
      <c r="R52" s="38"/>
      <c r="S52" s="18">
        <f>AVERAGE(S20:S51)</f>
        <v>1.6666666666666665E-7</v>
      </c>
      <c r="T52" s="4">
        <f>AVERAGE(T20:T51)</f>
        <v>0.16666666666666666</v>
      </c>
      <c r="U52" s="4">
        <f>AVERAGE(U20:U51)</f>
        <v>1.6666666666666665E-7</v>
      </c>
      <c r="V52" s="4" t="e">
        <f>AVERAGE(V20:V51)</f>
        <v>#DIV/0!</v>
      </c>
      <c r="W52" s="4">
        <f>(SUM(D20:D51)+SUM(T20:T51)+SUM(S20:S51)*0.35)/SUM(S20:U51)</f>
        <v>0.99999835000330028</v>
      </c>
      <c r="X52" s="48">
        <f>AVERAGE(X20:X51)</f>
        <v>3</v>
      </c>
      <c r="Y52" s="58">
        <f>AVERAGE(Y20:Y51)</f>
        <v>0.16666683333333332</v>
      </c>
      <c r="Z52" s="56">
        <f>AVERAGE(Z20:Z51)</f>
        <v>1.9999999999999999E-7</v>
      </c>
      <c r="AA52" s="56">
        <f>AVERAGE(AA20:AA51)</f>
        <v>0.50000016666666669</v>
      </c>
      <c r="AB52" s="56" t="e">
        <f>AVERAGE(AB20:AB51)</f>
        <v>#DIV/0!</v>
      </c>
      <c r="AC52" s="56">
        <f>(SUM(B20:B51)+SUM(Z20:Z51)+SUM(Y20:Y51)*0.35)/SUM(Y20:AA51)</f>
        <v>1.8124989781257665</v>
      </c>
      <c r="AD52" s="76">
        <f>AVERAGE(AD20:AD51)</f>
        <v>10</v>
      </c>
      <c r="AE52" s="79">
        <f>AVERAGE(AE20:AE51)</f>
        <v>1.6666666666666665E-7</v>
      </c>
      <c r="AF52" s="56">
        <f>AVERAGE(AF20:AF51)</f>
        <v>1.6666666666666665E-7</v>
      </c>
      <c r="AG52" s="56">
        <f>AVERAGE(AG20:AG51)</f>
        <v>1.6666666666666665E-7</v>
      </c>
      <c r="AH52" s="56" t="e">
        <f>AVERAGE(AH20:AH51)</f>
        <v>#DIV/0!</v>
      </c>
      <c r="AI52" s="56">
        <f>(SUM(C20:C51)+SUM(AF20:AF51)+SUM(AE20:AE51)*0.35)/SUM(AE20:AG51)</f>
        <v>0.45</v>
      </c>
      <c r="AJ52" s="57" t="e">
        <f>AVERAGE(AJ20:AJ51)</f>
        <v>#DIV/0!</v>
      </c>
      <c r="AK52" s="58">
        <f>AVERAGE(AK20:AK51)</f>
        <v>21.333333333333332</v>
      </c>
      <c r="AL52" s="56">
        <f>AVERAGE(AL20:AL51)</f>
        <v>0</v>
      </c>
      <c r="AM52" s="56">
        <f>SUM(E20:E51)/SUM(AK20:AK51)</f>
        <v>2.1078125000000001</v>
      </c>
      <c r="AN52" s="57">
        <f>AVERAGE(AN20:AN51)</f>
        <v>7.2</v>
      </c>
      <c r="AO52" s="58">
        <f>AVERAGE(AO20:AO51)</f>
        <v>2.0000001666666667</v>
      </c>
      <c r="AP52" s="56" t="e">
        <f>AVERAGE(AP20:AP51)</f>
        <v>#DIV/0!</v>
      </c>
      <c r="AQ52" s="56">
        <f>SUM(F20:F51)/SUM(AO20:AO51)</f>
        <v>3.6999996916666928</v>
      </c>
      <c r="AR52" s="57">
        <f>AVERAGE(AR20:AR51)</f>
        <v>9</v>
      </c>
      <c r="AS52" s="58">
        <f>AVERAGE(AS20:AS51)</f>
        <v>1</v>
      </c>
      <c r="AT52" s="56" t="e">
        <f>AVERAGE(AT20:AT51)</f>
        <v>#DIV/0!</v>
      </c>
      <c r="AU52" s="56">
        <f>SUM(G20:G51)/SUM(AS20:AS51)</f>
        <v>2.5</v>
      </c>
      <c r="AV52" s="57">
        <f>AVERAGE(AV20:AV51)</f>
        <v>8</v>
      </c>
      <c r="AW52" s="58">
        <f>AVERAGE(AW20:AW51)</f>
        <v>0.80000020000000005</v>
      </c>
      <c r="AX52" s="56" t="e">
        <f>AVERAGE(AX20:AX51)</f>
        <v>#DIV/0!</v>
      </c>
      <c r="AY52" s="56">
        <f>SUM(H20:H51)/SUM(AW20:AW51)</f>
        <v>0.99999975000006247</v>
      </c>
      <c r="AZ52" s="57">
        <f>AVERAGE(AZ20:AZ51)</f>
        <v>1</v>
      </c>
      <c r="BA52" s="58">
        <f>AVERAGE(BA20:BA51)</f>
        <v>1.6666666666666665E-7</v>
      </c>
      <c r="BB52" s="56" t="e">
        <f>AVERAGE(BB20:BB51)</f>
        <v>#DIV/0!</v>
      </c>
      <c r="BC52" s="56">
        <f>SUM(I20:I51)/SUM(BA20:BA51)</f>
        <v>0</v>
      </c>
      <c r="BD52" s="57" t="e">
        <f>AVERAGE(BD20:BD51)</f>
        <v>#DIV/0!</v>
      </c>
      <c r="BE52" s="58">
        <f>AVERAGE(BE20:BE51)</f>
        <v>1.6666666666666665E-7</v>
      </c>
      <c r="BF52" s="56" t="e">
        <f>AVERAGE(BF20:BF51)</f>
        <v>#DIV/0!</v>
      </c>
      <c r="BG52" s="56">
        <f>SUM(J20:J51)/SUM(BE20:BE51)</f>
        <v>0</v>
      </c>
      <c r="BH52" s="57" t="e">
        <f>AVERAGE(BH20:BH51)</f>
        <v>#DIV/0!</v>
      </c>
      <c r="BI52" s="58">
        <f>AVERAGE(BI20:BI51)</f>
        <v>1.6666666666666665E-7</v>
      </c>
      <c r="BJ52" s="56" t="e">
        <f>AVERAGE(BJ20:BJ51)</f>
        <v>#DIV/0!</v>
      </c>
      <c r="BK52" s="56">
        <f>SUM(K20:K51)/SUM(BI20:BI51)</f>
        <v>0</v>
      </c>
      <c r="BL52" s="57" t="e">
        <f>AVERAGE(BL20:BL51)</f>
        <v>#DIV/0!</v>
      </c>
    </row>
    <row r="53" spans="2:64" x14ac:dyDescent="0.3">
      <c r="N53" s="34" t="s">
        <v>30</v>
      </c>
      <c r="O53" s="29"/>
      <c r="P53" s="89"/>
      <c r="Q53" s="89"/>
      <c r="R53" s="38"/>
      <c r="S53" s="18"/>
      <c r="T53" s="4"/>
      <c r="U53" s="4"/>
      <c r="V53" s="4"/>
      <c r="W53" s="5">
        <f>SUM(D20:D51)/SUM(U20:U51)</f>
        <v>0</v>
      </c>
      <c r="X53" s="38"/>
      <c r="Y53" s="58"/>
      <c r="Z53" s="56"/>
      <c r="AA53" s="56"/>
      <c r="AB53" s="56"/>
      <c r="AC53" s="77">
        <f>SUM(B20:B51)/SUM(AA20:AA51)</f>
        <v>2.2999992333335886</v>
      </c>
      <c r="AD53" s="78"/>
      <c r="AE53" s="79"/>
      <c r="AF53" s="56"/>
      <c r="AG53" s="56"/>
      <c r="AH53" s="56"/>
      <c r="AI53" s="77">
        <f>SUM(C20:C51)/SUM(AG20:AG51)</f>
        <v>0</v>
      </c>
      <c r="AJ53" s="80"/>
      <c r="AK53" s="29"/>
      <c r="AL53" s="5"/>
      <c r="AM53" s="5"/>
      <c r="AN53" s="12"/>
      <c r="AO53" s="29"/>
      <c r="AP53" s="29"/>
      <c r="AQ53" s="5"/>
      <c r="AR53" s="12"/>
      <c r="AS53" s="21"/>
      <c r="AT53" s="29"/>
      <c r="AU53" s="5"/>
      <c r="AV53" s="12"/>
      <c r="AW53" s="21"/>
      <c r="AX53" s="29"/>
      <c r="AY53" s="5"/>
      <c r="AZ53" s="12"/>
      <c r="BA53" s="21"/>
      <c r="BB53" s="29"/>
      <c r="BC53" s="5"/>
      <c r="BD53" s="12"/>
      <c r="BE53" s="21"/>
      <c r="BF53" s="29"/>
      <c r="BG53" s="5"/>
      <c r="BH53" s="12"/>
      <c r="BI53" s="21"/>
      <c r="BJ53" s="29"/>
      <c r="BK53" s="5"/>
      <c r="BL53" s="12"/>
    </row>
    <row r="54" spans="2:64" x14ac:dyDescent="0.3">
      <c r="N54" s="34" t="s">
        <v>11</v>
      </c>
      <c r="O54" s="29"/>
      <c r="P54" s="89"/>
      <c r="Q54" s="89"/>
      <c r="R54" s="38"/>
      <c r="S54" s="21"/>
      <c r="T54" s="5"/>
      <c r="U54" s="5"/>
      <c r="V54" s="5"/>
      <c r="W54" s="5"/>
      <c r="X54" s="12"/>
      <c r="Y54" s="18"/>
      <c r="Z54" s="4"/>
      <c r="AA54" s="4"/>
      <c r="AB54" s="4"/>
      <c r="AC54" s="5"/>
      <c r="AD54" s="38"/>
      <c r="AE54" s="11"/>
      <c r="AF54" s="4"/>
      <c r="AG54" s="4"/>
      <c r="AH54" s="4"/>
      <c r="AI54" s="5"/>
      <c r="AJ54" s="12"/>
      <c r="AK54" s="29"/>
      <c r="AL54" s="5"/>
      <c r="AM54" s="5"/>
      <c r="AN54" s="12"/>
      <c r="AO54" s="29"/>
      <c r="AP54" s="29"/>
      <c r="AQ54" s="5"/>
      <c r="AR54" s="12"/>
      <c r="AS54" s="21"/>
      <c r="AT54" s="29"/>
      <c r="AU54" s="5"/>
      <c r="AV54" s="12"/>
      <c r="AW54" s="21"/>
      <c r="AX54" s="29"/>
      <c r="AY54" s="5"/>
      <c r="AZ54" s="12"/>
      <c r="BA54" s="21"/>
      <c r="BB54" s="29"/>
      <c r="BC54" s="5"/>
      <c r="BD54" s="12"/>
      <c r="BE54" s="21"/>
      <c r="BF54" s="29"/>
      <c r="BG54" s="5"/>
      <c r="BH54" s="12"/>
      <c r="BI54" s="21"/>
      <c r="BJ54" s="29"/>
      <c r="BK54" s="5"/>
      <c r="BL54" s="12"/>
    </row>
    <row r="55" spans="2:64" ht="15" thickBot="1" x14ac:dyDescent="0.35">
      <c r="N55" s="35" t="s">
        <v>12</v>
      </c>
      <c r="O55" s="30"/>
      <c r="P55" s="90"/>
      <c r="Q55" s="90"/>
      <c r="R55" s="39"/>
      <c r="S55" s="22"/>
      <c r="T55" s="15"/>
      <c r="U55" s="15"/>
      <c r="V55" s="15"/>
      <c r="W55" s="15"/>
      <c r="X55" s="16"/>
      <c r="Y55" s="19"/>
      <c r="Z55" s="14"/>
      <c r="AA55" s="14"/>
      <c r="AB55" s="14"/>
      <c r="AC55" s="15"/>
      <c r="AD55" s="39"/>
      <c r="AE55" s="13"/>
      <c r="AF55" s="14"/>
      <c r="AG55" s="14"/>
      <c r="AH55" s="14"/>
      <c r="AI55" s="15"/>
      <c r="AJ55" s="16"/>
      <c r="AK55" s="30"/>
      <c r="AL55" s="15"/>
      <c r="AM55" s="15"/>
      <c r="AN55" s="16"/>
      <c r="AO55" s="30"/>
      <c r="AP55" s="30"/>
      <c r="AQ55" s="15"/>
      <c r="AR55" s="16"/>
      <c r="AS55" s="22"/>
      <c r="AT55" s="30"/>
      <c r="AU55" s="15"/>
      <c r="AV55" s="16"/>
      <c r="AW55" s="22"/>
      <c r="AX55" s="30"/>
      <c r="AY55" s="15"/>
      <c r="AZ55" s="16"/>
      <c r="BA55" s="22"/>
      <c r="BB55" s="30"/>
      <c r="BC55" s="15"/>
      <c r="BD55" s="16"/>
      <c r="BE55" s="22"/>
      <c r="BF55" s="30"/>
      <c r="BG55" s="15"/>
      <c r="BH55" s="16"/>
      <c r="BI55" s="22"/>
      <c r="BJ55" s="30"/>
      <c r="BK55" s="15"/>
      <c r="BL55" s="16"/>
    </row>
    <row r="60" spans="2:64" ht="15" thickBot="1" x14ac:dyDescent="0.35">
      <c r="U60">
        <f>T13</f>
        <v>0</v>
      </c>
      <c r="V60" t="s">
        <v>33</v>
      </c>
    </row>
    <row r="61" spans="2:64" ht="15" thickBot="1" x14ac:dyDescent="0.35">
      <c r="B61" s="59" t="s">
        <v>44</v>
      </c>
      <c r="C61" s="60"/>
      <c r="D61" s="61"/>
      <c r="E61" s="47"/>
      <c r="F61" s="47"/>
      <c r="I61" s="47"/>
      <c r="J61" s="47"/>
      <c r="K61" s="47"/>
      <c r="O61" t="s">
        <v>161</v>
      </c>
    </row>
    <row r="62" spans="2:64" ht="15" thickBot="1" x14ac:dyDescent="0.35">
      <c r="B62" s="73" t="str">
        <f>V62</f>
        <v>D, см</v>
      </c>
      <c r="C62" s="74" t="str">
        <f>W62</f>
        <v>h, м</v>
      </c>
      <c r="D62" s="75" t="str">
        <f>X62</f>
        <v>A, лет</v>
      </c>
      <c r="E62" s="47"/>
      <c r="F62" s="47"/>
      <c r="I62" s="47"/>
      <c r="J62" s="47"/>
      <c r="K62" s="47"/>
      <c r="O62" s="115"/>
      <c r="P62" s="116"/>
      <c r="Q62" s="116"/>
      <c r="R62" s="116"/>
      <c r="S62" s="116"/>
      <c r="T62" s="116"/>
      <c r="U62" s="116" t="s">
        <v>24</v>
      </c>
      <c r="V62" s="116" t="str">
        <f>AB19</f>
        <v>D, см</v>
      </c>
      <c r="W62" s="116" t="str">
        <f>AC19</f>
        <v>h, м</v>
      </c>
      <c r="X62" s="117" t="str">
        <f>AD19</f>
        <v>A, лет</v>
      </c>
    </row>
    <row r="63" spans="2:64" x14ac:dyDescent="0.3">
      <c r="B63" s="81" t="e">
        <f>V63*U63</f>
        <v>#DIV/0!</v>
      </c>
      <c r="C63" s="82">
        <f>W63*U63</f>
        <v>0.16699302937940738</v>
      </c>
      <c r="D63" s="83">
        <f>X63*U63</f>
        <v>0.50097991475342807</v>
      </c>
      <c r="E63" s="47"/>
      <c r="F63" s="85"/>
      <c r="H63" s="47"/>
      <c r="I63" s="47"/>
      <c r="J63" s="47"/>
      <c r="K63" s="47"/>
      <c r="O63" s="138">
        <f t="shared" ref="O63:O72" si="11">U63/$U$75*10</f>
        <v>6.418497522414203E-2</v>
      </c>
      <c r="P63" s="139"/>
      <c r="Q63" s="139"/>
      <c r="R63" s="47" t="str">
        <f>S18</f>
        <v>Сосна</v>
      </c>
      <c r="S63" s="47"/>
      <c r="T63" s="47"/>
      <c r="U63" s="123">
        <f>SUM(S52:U52)/(AE16*AE16*3.15/10000*1000)</f>
        <v>0.16699330491780937</v>
      </c>
      <c r="V63" s="139" t="e">
        <f>V52</f>
        <v>#DIV/0!</v>
      </c>
      <c r="W63" s="139">
        <f>W52</f>
        <v>0.99999835000330028</v>
      </c>
      <c r="X63" s="140">
        <f>X52</f>
        <v>3</v>
      </c>
      <c r="Y63" s="55"/>
    </row>
    <row r="64" spans="2:64" x14ac:dyDescent="0.3">
      <c r="B64" s="81" t="e">
        <f t="shared" ref="B64:B72" si="12">V64*U64</f>
        <v>#DIV/0!</v>
      </c>
      <c r="C64" s="82">
        <f t="shared" ref="C64:C72" si="13">W64*U64</f>
        <v>1.2106993252314682</v>
      </c>
      <c r="D64" s="83">
        <f t="shared" ref="D64:D72" si="14">X64*U64</f>
        <v>6.6797241810497709</v>
      </c>
      <c r="E64" s="47"/>
      <c r="F64" s="85"/>
      <c r="H64" s="47"/>
      <c r="I64" s="47"/>
      <c r="J64" s="47"/>
      <c r="K64" s="47"/>
      <c r="O64" s="138">
        <f t="shared" si="11"/>
        <v>0.25673959280930325</v>
      </c>
      <c r="P64" s="139"/>
      <c r="Q64" s="139"/>
      <c r="R64" s="47" t="str">
        <f>Y18</f>
        <v>Ель из подроста</v>
      </c>
      <c r="S64" s="47"/>
      <c r="T64" s="47"/>
      <c r="U64" s="123">
        <f>SUM(Y52:AA52)/(AE16*AE16*3.15/10000*1000)</f>
        <v>0.66797241810497709</v>
      </c>
      <c r="V64" s="139" t="e">
        <f>AB52</f>
        <v>#DIV/0!</v>
      </c>
      <c r="W64" s="139">
        <f>AC52</f>
        <v>1.8124989781257665</v>
      </c>
      <c r="X64" s="140">
        <f>AD52</f>
        <v>10</v>
      </c>
      <c r="Y64" s="55"/>
    </row>
    <row r="65" spans="2:25" x14ac:dyDescent="0.3">
      <c r="B65" s="81" t="e">
        <f t="shared" si="12"/>
        <v>#DIV/0!</v>
      </c>
      <c r="C65" s="82">
        <f t="shared" si="13"/>
        <v>2.2544051075802112E-7</v>
      </c>
      <c r="D65" s="83" t="e">
        <f t="shared" si="14"/>
        <v>#DIV/0!</v>
      </c>
      <c r="E65" s="47"/>
      <c r="F65" s="47"/>
      <c r="G65" s="47"/>
      <c r="H65" s="47"/>
      <c r="I65" s="47"/>
      <c r="J65" s="47"/>
      <c r="K65" s="47"/>
      <c r="O65" s="138">
        <f t="shared" si="11"/>
        <v>1.9255454056334496E-7</v>
      </c>
      <c r="P65" s="139"/>
      <c r="Q65" s="139"/>
      <c r="R65" s="47" t="str">
        <f>AE18</f>
        <v>ЕЛЬ лесные культуры</v>
      </c>
      <c r="S65" s="47"/>
      <c r="T65" s="47"/>
      <c r="U65" s="123">
        <f>SUM(AE52:AG52)/(AE16*AE16*3.15/10000*1000)</f>
        <v>5.0097891279560248E-7</v>
      </c>
      <c r="V65" s="139" t="e">
        <f>AH52</f>
        <v>#DIV/0!</v>
      </c>
      <c r="W65" s="139">
        <f>AI52</f>
        <v>0.45</v>
      </c>
      <c r="X65" s="140" t="e">
        <f>AJ52</f>
        <v>#DIV/0!</v>
      </c>
      <c r="Y65" s="55"/>
    </row>
    <row r="66" spans="2:25" x14ac:dyDescent="0.3">
      <c r="B66" s="81">
        <f t="shared" si="12"/>
        <v>0</v>
      </c>
      <c r="C66" s="82">
        <f t="shared" si="13"/>
        <v>45.054703557417859</v>
      </c>
      <c r="D66" s="83">
        <f t="shared" si="14"/>
        <v>153.90072201080912</v>
      </c>
      <c r="E66" s="47"/>
      <c r="F66" s="47"/>
      <c r="G66" s="47"/>
      <c r="H66" s="47"/>
      <c r="I66" s="47"/>
      <c r="J66" s="47"/>
      <c r="K66" s="47"/>
      <c r="O66" s="138">
        <f t="shared" si="11"/>
        <v>8.2156603973693869</v>
      </c>
      <c r="P66" s="139"/>
      <c r="Q66" s="139"/>
      <c r="R66" s="47" t="str">
        <f>AK18</f>
        <v>Берёза</v>
      </c>
      <c r="S66" s="47"/>
      <c r="T66" s="47"/>
      <c r="U66" s="123">
        <f>AK52/(AE16*AE16*3.15/10000*1000)</f>
        <v>21.375100279279042</v>
      </c>
      <c r="V66" s="139">
        <f>AL52</f>
        <v>0</v>
      </c>
      <c r="W66" s="139">
        <f>AM52</f>
        <v>2.1078125000000001</v>
      </c>
      <c r="X66" s="140">
        <f>AN52</f>
        <v>7.2</v>
      </c>
      <c r="Y66" s="55"/>
    </row>
    <row r="67" spans="2:25" x14ac:dyDescent="0.3">
      <c r="B67" s="81" t="e">
        <f t="shared" si="12"/>
        <v>#DIV/0!</v>
      </c>
      <c r="C67" s="82">
        <f t="shared" si="13"/>
        <v>7.4144879093749196</v>
      </c>
      <c r="D67" s="83">
        <f t="shared" si="14"/>
        <v>18.035242363578433</v>
      </c>
      <c r="E67" s="47"/>
      <c r="F67" s="47"/>
      <c r="G67" s="47"/>
      <c r="H67" s="47"/>
      <c r="I67" s="47"/>
      <c r="J67" s="47"/>
      <c r="K67" s="47"/>
      <c r="O67" s="138">
        <f t="shared" si="11"/>
        <v>0.77021822643822691</v>
      </c>
      <c r="P67" s="139"/>
      <c r="Q67" s="139"/>
      <c r="R67" s="47" t="str">
        <f>AO18</f>
        <v>Осина</v>
      </c>
      <c r="S67" s="47"/>
      <c r="T67" s="47"/>
      <c r="U67" s="123">
        <f>AO52/(AE16*AE16*3.15/10000*1000)</f>
        <v>2.0039158181753813</v>
      </c>
      <c r="V67" s="139" t="e">
        <f>AP52</f>
        <v>#DIV/0!</v>
      </c>
      <c r="W67" s="139">
        <f>AQ52</f>
        <v>3.6999996916666928</v>
      </c>
      <c r="X67" s="140">
        <f>AR52</f>
        <v>9</v>
      </c>
      <c r="Y67" s="55"/>
    </row>
    <row r="68" spans="2:25" x14ac:dyDescent="0.3">
      <c r="B68" s="81" t="e">
        <f t="shared" si="12"/>
        <v>#DIV/0!</v>
      </c>
      <c r="C68" s="82">
        <f t="shared" si="13"/>
        <v>2.5048945639780129</v>
      </c>
      <c r="D68" s="83">
        <f t="shared" si="14"/>
        <v>8.0156626047296413</v>
      </c>
      <c r="E68" s="47"/>
      <c r="F68" s="47"/>
      <c r="G68" s="47"/>
      <c r="H68" s="47"/>
      <c r="I68" s="47"/>
      <c r="J68" s="47"/>
      <c r="K68" s="47"/>
      <c r="O68" s="138">
        <f t="shared" si="11"/>
        <v>0.38510908112669001</v>
      </c>
      <c r="P68" s="139"/>
      <c r="Q68" s="139"/>
      <c r="R68" s="47" t="str">
        <f>AS18</f>
        <v>Ольха серая</v>
      </c>
      <c r="S68" s="47"/>
      <c r="T68" s="47"/>
      <c r="U68" s="123">
        <f>AS52/(AE16*AE16*3.15/10000*1000)</f>
        <v>1.0019578255912052</v>
      </c>
      <c r="V68" s="139" t="e">
        <f>AT52</f>
        <v>#DIV/0!</v>
      </c>
      <c r="W68" s="139">
        <f>AU52</f>
        <v>2.5</v>
      </c>
      <c r="X68" s="140">
        <f>AV52</f>
        <v>8</v>
      </c>
      <c r="Y68" s="55"/>
    </row>
    <row r="69" spans="2:25" x14ac:dyDescent="0.3">
      <c r="B69" s="81" t="e">
        <f t="shared" si="12"/>
        <v>#DIV/0!</v>
      </c>
      <c r="C69" s="82">
        <f t="shared" si="13"/>
        <v>0.80156626047296409</v>
      </c>
      <c r="D69" s="83">
        <f t="shared" si="14"/>
        <v>0.80156646086452921</v>
      </c>
      <c r="E69" s="47"/>
      <c r="F69" s="47"/>
      <c r="G69" s="47"/>
      <c r="H69" s="47"/>
      <c r="I69" s="47"/>
      <c r="J69" s="47"/>
      <c r="K69" s="47"/>
      <c r="O69" s="138">
        <f t="shared" si="11"/>
        <v>0.30808734192316822</v>
      </c>
      <c r="P69" s="139"/>
      <c r="Q69" s="139"/>
      <c r="R69" s="47" t="str">
        <f>AW18</f>
        <v>Ива</v>
      </c>
      <c r="S69" s="47"/>
      <c r="T69" s="47"/>
      <c r="U69" s="123">
        <f>AW52/(AE16*AE16*3.15/10000*1000)</f>
        <v>0.80156646086452921</v>
      </c>
      <c r="V69" s="139" t="e">
        <f>AX52</f>
        <v>#DIV/0!</v>
      </c>
      <c r="W69" s="139">
        <f>AY52</f>
        <v>0.99999975000006247</v>
      </c>
      <c r="X69" s="140">
        <f>AZ52</f>
        <v>1</v>
      </c>
      <c r="Y69" s="55"/>
    </row>
    <row r="70" spans="2:25" x14ac:dyDescent="0.3">
      <c r="B70" s="81" t="e">
        <f t="shared" si="12"/>
        <v>#DIV/0!</v>
      </c>
      <c r="C70" s="82">
        <f t="shared" si="13"/>
        <v>0</v>
      </c>
      <c r="D70" s="83" t="e">
        <f t="shared" si="14"/>
        <v>#DIV/0!</v>
      </c>
      <c r="E70" s="47"/>
      <c r="F70" s="47"/>
      <c r="G70" s="47"/>
      <c r="H70" s="47"/>
      <c r="I70" s="47"/>
      <c r="J70" s="47"/>
      <c r="K70" s="47"/>
      <c r="O70" s="138">
        <f t="shared" si="11"/>
        <v>6.4184846854448323E-8</v>
      </c>
      <c r="P70" s="139"/>
      <c r="Q70" s="139"/>
      <c r="R70" s="47" t="str">
        <f>BA18</f>
        <v>Чёрёмуха</v>
      </c>
      <c r="S70" s="47"/>
      <c r="T70" s="47"/>
      <c r="U70" s="123">
        <f>BA52/(AE16*AE16*3.15/10000*1000)</f>
        <v>1.6699297093186749E-7</v>
      </c>
      <c r="V70" s="139" t="e">
        <f>BB52</f>
        <v>#DIV/0!</v>
      </c>
      <c r="W70" s="139">
        <f>BC52</f>
        <v>0</v>
      </c>
      <c r="X70" s="140" t="e">
        <f>BD52</f>
        <v>#DIV/0!</v>
      </c>
      <c r="Y70" s="55"/>
    </row>
    <row r="71" spans="2:25" x14ac:dyDescent="0.3">
      <c r="B71" s="81" t="e">
        <f t="shared" si="12"/>
        <v>#DIV/0!</v>
      </c>
      <c r="C71" s="82">
        <f t="shared" si="13"/>
        <v>0</v>
      </c>
      <c r="D71" s="83" t="e">
        <f t="shared" si="14"/>
        <v>#DIV/0!</v>
      </c>
      <c r="E71" s="47"/>
      <c r="F71" s="47"/>
      <c r="G71" s="47"/>
      <c r="H71" s="47"/>
      <c r="I71" s="47"/>
      <c r="J71" s="47"/>
      <c r="K71" s="47"/>
      <c r="O71" s="138">
        <f t="shared" si="11"/>
        <v>6.4184846854448323E-8</v>
      </c>
      <c r="P71" s="139"/>
      <c r="Q71" s="139"/>
      <c r="R71" s="47" t="str">
        <f>BE18</f>
        <v>Дуб</v>
      </c>
      <c r="S71" s="47"/>
      <c r="T71" s="47"/>
      <c r="U71" s="123">
        <f>BE52/(AE16*AE16*3.15/10000*1000)</f>
        <v>1.6699297093186749E-7</v>
      </c>
      <c r="V71" s="139" t="e">
        <f>BF52</f>
        <v>#DIV/0!</v>
      </c>
      <c r="W71" s="139">
        <f>BG52</f>
        <v>0</v>
      </c>
      <c r="X71" s="140" t="e">
        <f>BH52</f>
        <v>#DIV/0!</v>
      </c>
      <c r="Y71" s="55"/>
    </row>
    <row r="72" spans="2:25" x14ac:dyDescent="0.3">
      <c r="B72" s="81" t="e">
        <f t="shared" si="12"/>
        <v>#DIV/0!</v>
      </c>
      <c r="C72" s="82">
        <f t="shared" si="13"/>
        <v>0</v>
      </c>
      <c r="D72" s="83" t="e">
        <f t="shared" si="14"/>
        <v>#DIV/0!</v>
      </c>
      <c r="E72" s="47"/>
      <c r="F72" s="47"/>
      <c r="G72" s="47"/>
      <c r="H72" s="47"/>
      <c r="I72" s="47"/>
      <c r="J72" s="47"/>
      <c r="K72" s="47"/>
      <c r="O72" s="138">
        <f t="shared" si="11"/>
        <v>6.4184846854448323E-8</v>
      </c>
      <c r="P72" s="139"/>
      <c r="Q72" s="139"/>
      <c r="R72" s="47" t="str">
        <f>BI18</f>
        <v>Рябина</v>
      </c>
      <c r="S72" s="47"/>
      <c r="T72" s="47"/>
      <c r="U72" s="123">
        <f>BI52/(AE16*AE16*3.15/10000*1000)</f>
        <v>1.6699297093186749E-7</v>
      </c>
      <c r="V72" s="139" t="e">
        <f>BJ52</f>
        <v>#DIV/0!</v>
      </c>
      <c r="W72" s="139">
        <f>BK52</f>
        <v>0</v>
      </c>
      <c r="X72" s="140" t="e">
        <f>BL52</f>
        <v>#DIV/0!</v>
      </c>
      <c r="Y72" s="55"/>
    </row>
    <row r="73" spans="2:25" x14ac:dyDescent="0.3">
      <c r="B73" s="62">
        <f>AC72*AA72</f>
        <v>0</v>
      </c>
      <c r="C73" s="71">
        <f>AI72*AG72</f>
        <v>0</v>
      </c>
      <c r="D73" s="63"/>
      <c r="E73" s="47"/>
      <c r="F73" s="47"/>
      <c r="G73" s="47"/>
      <c r="H73" s="47"/>
      <c r="I73" s="47"/>
      <c r="J73" s="47"/>
      <c r="K73" s="47"/>
      <c r="O73" s="118"/>
      <c r="P73" s="47"/>
      <c r="Q73" s="47"/>
      <c r="R73" s="47"/>
      <c r="S73" s="47"/>
      <c r="T73" s="47"/>
      <c r="U73" s="141"/>
      <c r="V73" s="141"/>
      <c r="W73" s="141"/>
      <c r="X73" s="140"/>
      <c r="Y73" s="55"/>
    </row>
    <row r="74" spans="2:25" x14ac:dyDescent="0.3">
      <c r="B74" s="62">
        <f>AC73*AA73</f>
        <v>0</v>
      </c>
      <c r="C74" s="71">
        <f>AI73*AG73</f>
        <v>0</v>
      </c>
      <c r="D74" s="63">
        <f>W73*U73</f>
        <v>0</v>
      </c>
      <c r="E74" s="47"/>
      <c r="F74" s="47"/>
      <c r="G74" s="47"/>
      <c r="H74" s="47"/>
      <c r="I74" s="47"/>
      <c r="J74" s="47"/>
      <c r="K74" s="47"/>
      <c r="O74" s="118"/>
      <c r="P74" s="47"/>
      <c r="Q74" s="47"/>
      <c r="R74" s="47"/>
      <c r="S74" s="47"/>
      <c r="T74" s="47"/>
      <c r="U74" s="141"/>
      <c r="V74" s="141"/>
      <c r="W74" s="141"/>
      <c r="X74" s="140"/>
      <c r="Y74" s="55"/>
    </row>
    <row r="75" spans="2:25" x14ac:dyDescent="0.3">
      <c r="B75" s="62">
        <f>AC74*AA74</f>
        <v>0</v>
      </c>
      <c r="C75" s="71">
        <f>AI74*AG74</f>
        <v>0</v>
      </c>
      <c r="D75" s="63">
        <f>W74*U74</f>
        <v>0</v>
      </c>
      <c r="E75" s="47"/>
      <c r="F75" s="47"/>
      <c r="G75" s="47"/>
      <c r="H75" s="47"/>
      <c r="I75" s="47"/>
      <c r="J75" s="47"/>
      <c r="K75" s="47"/>
      <c r="O75" s="142">
        <f>SUM(O63:O72)</f>
        <v>9.9999999999999982</v>
      </c>
      <c r="P75" s="143"/>
      <c r="Q75" s="143"/>
      <c r="R75" s="45" t="s">
        <v>27</v>
      </c>
      <c r="S75" s="45"/>
      <c r="T75" s="45"/>
      <c r="U75" s="144">
        <f>SUM(U63:U72)</f>
        <v>26.017507108890776</v>
      </c>
      <c r="V75" s="144" t="e">
        <f>SUM(B63:B72)/$U$75</f>
        <v>#DIV/0!</v>
      </c>
      <c r="W75" s="144">
        <f>SUM(C63:C72)/$U$75</f>
        <v>2.1967264054965723</v>
      </c>
      <c r="X75" s="145" t="e">
        <f>SUM(D63:D72)/$U$75</f>
        <v>#DIV/0!</v>
      </c>
      <c r="Y75" s="55"/>
    </row>
    <row r="76" spans="2:25" x14ac:dyDescent="0.3">
      <c r="B76" s="62">
        <f>AC75*AA75</f>
        <v>0</v>
      </c>
      <c r="C76" s="71">
        <f>AI75*AG75</f>
        <v>0</v>
      </c>
      <c r="D76" s="63"/>
      <c r="E76" s="47"/>
      <c r="F76" s="47"/>
      <c r="G76" s="47"/>
      <c r="H76" s="47"/>
      <c r="I76" s="47"/>
      <c r="J76" s="47"/>
      <c r="K76" s="47"/>
    </row>
    <row r="77" spans="2:25" ht="15" thickBot="1" x14ac:dyDescent="0.35">
      <c r="B77" s="64">
        <f>AC93*AA93</f>
        <v>0</v>
      </c>
      <c r="C77" s="72">
        <f>AI93*AG93</f>
        <v>0</v>
      </c>
      <c r="D77" s="66">
        <f>W93*U93</f>
        <v>0</v>
      </c>
      <c r="E77" s="47"/>
      <c r="F77" s="47"/>
      <c r="G77" s="47"/>
      <c r="H77" s="47"/>
      <c r="I77" s="47"/>
      <c r="J77" s="47"/>
      <c r="K77" s="47"/>
    </row>
  </sheetData>
  <mergeCells count="11">
    <mergeCell ref="AS18:AV18"/>
    <mergeCell ref="AW18:AZ18"/>
    <mergeCell ref="BA18:BD18"/>
    <mergeCell ref="BE18:BH18"/>
    <mergeCell ref="BI18:BL18"/>
    <mergeCell ref="AO18:AR18"/>
    <mergeCell ref="O18:R18"/>
    <mergeCell ref="S18:X18"/>
    <mergeCell ref="Y18:AD18"/>
    <mergeCell ref="AE18:AJ18"/>
    <mergeCell ref="AK18:AN18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BL77"/>
  <sheetViews>
    <sheetView zoomScaleNormal="100" workbookViewId="0">
      <pane xSplit="18" ySplit="19" topLeftCell="S20" activePane="bottomRight" state="frozen"/>
      <selection pane="topRight" activeCell="Q1" sqref="Q1"/>
      <selection pane="bottomLeft" activeCell="A11" sqref="A11"/>
      <selection pane="bottomRight" activeCell="O62" sqref="O62:X72"/>
    </sheetView>
  </sheetViews>
  <sheetFormatPr defaultRowHeight="14.4" x14ac:dyDescent="0.3"/>
  <cols>
    <col min="1" max="1" width="0" hidden="1" customWidth="1"/>
    <col min="2" max="2" width="16.109375" hidden="1" customWidth="1"/>
    <col min="3" max="3" width="17.5546875" hidden="1" customWidth="1"/>
    <col min="4" max="11" width="12.88671875" hidden="1" customWidth="1"/>
    <col min="18" max="18" width="10.5546875" customWidth="1"/>
    <col min="21" max="21" width="9" customWidth="1"/>
    <col min="34" max="56" width="9.88671875" bestFit="1" customWidth="1"/>
  </cols>
  <sheetData>
    <row r="1" spans="14:39" ht="15.75" thickBot="1" x14ac:dyDescent="0.3"/>
    <row r="2" spans="14:39" x14ac:dyDescent="0.3">
      <c r="V2" s="59"/>
      <c r="W2" s="67" t="s">
        <v>38</v>
      </c>
      <c r="X2" s="67"/>
      <c r="Y2" s="60"/>
      <c r="Z2" s="60"/>
      <c r="AA2" s="60"/>
      <c r="AB2" s="60"/>
      <c r="AC2" s="60"/>
      <c r="AD2" s="60"/>
      <c r="AE2" s="60">
        <v>8</v>
      </c>
      <c r="AF2" s="60" t="s">
        <v>142</v>
      </c>
      <c r="AG2" s="60"/>
      <c r="AH2" s="60"/>
      <c r="AI2" s="60"/>
      <c r="AJ2" s="60"/>
      <c r="AK2" s="60"/>
      <c r="AL2" s="60"/>
      <c r="AM2" s="61"/>
    </row>
    <row r="3" spans="14:39" x14ac:dyDescent="0.3">
      <c r="V3" s="62">
        <v>1</v>
      </c>
      <c r="W3" s="47" t="s">
        <v>158</v>
      </c>
      <c r="X3" s="47"/>
      <c r="Y3" s="47"/>
      <c r="Z3" s="47"/>
      <c r="AA3" s="47"/>
      <c r="AB3" s="47"/>
      <c r="AC3" s="47"/>
      <c r="AD3" s="47"/>
      <c r="AE3" s="47">
        <v>9</v>
      </c>
      <c r="AF3" s="47" t="s">
        <v>156</v>
      </c>
      <c r="AG3" s="47"/>
      <c r="AH3" s="47"/>
      <c r="AI3" s="47"/>
      <c r="AJ3" s="47"/>
      <c r="AK3" s="47"/>
      <c r="AL3" s="47"/>
      <c r="AM3" s="63"/>
    </row>
    <row r="4" spans="14:39" x14ac:dyDescent="0.3">
      <c r="V4" s="62">
        <v>2</v>
      </c>
      <c r="W4" s="47" t="s">
        <v>159</v>
      </c>
      <c r="X4" s="47"/>
      <c r="Y4" s="47"/>
      <c r="Z4" s="47"/>
      <c r="AA4" s="47"/>
      <c r="AB4" s="47"/>
      <c r="AC4" s="47"/>
      <c r="AD4" s="47"/>
      <c r="AE4" s="47">
        <v>10</v>
      </c>
      <c r="AF4" s="47" t="s">
        <v>157</v>
      </c>
      <c r="AG4" s="47"/>
      <c r="AH4" s="47"/>
      <c r="AI4" s="47"/>
      <c r="AJ4" s="47"/>
      <c r="AK4" s="47"/>
      <c r="AL4" s="47"/>
      <c r="AM4" s="63"/>
    </row>
    <row r="5" spans="14:39" x14ac:dyDescent="0.3">
      <c r="V5" s="62">
        <v>3</v>
      </c>
      <c r="W5" s="47" t="s">
        <v>34</v>
      </c>
      <c r="X5" s="47"/>
      <c r="Y5" s="47"/>
      <c r="Z5" s="47"/>
      <c r="AA5" s="47"/>
      <c r="AB5" s="47"/>
      <c r="AC5" s="47"/>
      <c r="AD5" s="47"/>
      <c r="AE5" s="47">
        <v>11</v>
      </c>
      <c r="AF5" s="47" t="s">
        <v>39</v>
      </c>
      <c r="AG5" s="47"/>
      <c r="AH5" s="47"/>
      <c r="AI5" s="47"/>
      <c r="AJ5" s="47"/>
      <c r="AK5" s="47"/>
      <c r="AL5" s="47"/>
      <c r="AM5" s="63"/>
    </row>
    <row r="6" spans="14:39" x14ac:dyDescent="0.3">
      <c r="V6" s="62">
        <v>4</v>
      </c>
      <c r="W6" s="47" t="s">
        <v>35</v>
      </c>
      <c r="X6" s="47"/>
      <c r="Y6" s="47"/>
      <c r="Z6" s="47"/>
      <c r="AA6" s="47"/>
      <c r="AB6" s="47"/>
      <c r="AC6" s="47"/>
      <c r="AD6" s="47"/>
      <c r="AE6" s="47">
        <v>12</v>
      </c>
      <c r="AF6" s="47" t="s">
        <v>40</v>
      </c>
      <c r="AG6" s="47"/>
      <c r="AH6" s="47"/>
      <c r="AI6" s="47"/>
      <c r="AJ6" s="47"/>
      <c r="AK6" s="47"/>
      <c r="AL6" s="47"/>
      <c r="AM6" s="63"/>
    </row>
    <row r="7" spans="14:39" x14ac:dyDescent="0.3">
      <c r="V7" s="62">
        <v>5</v>
      </c>
      <c r="W7" s="47" t="s">
        <v>36</v>
      </c>
      <c r="X7" s="47"/>
      <c r="Y7" s="47"/>
      <c r="Z7" s="47"/>
      <c r="AA7" s="47"/>
      <c r="AB7" s="47"/>
      <c r="AC7" s="47"/>
      <c r="AD7" s="47"/>
      <c r="AE7" s="47">
        <v>13</v>
      </c>
      <c r="AF7" s="47" t="s">
        <v>41</v>
      </c>
      <c r="AG7" s="47"/>
      <c r="AH7" s="47"/>
      <c r="AI7" s="47"/>
      <c r="AJ7" s="47"/>
      <c r="AK7" s="47"/>
      <c r="AL7" s="47"/>
      <c r="AM7" s="63"/>
    </row>
    <row r="8" spans="14:39" x14ac:dyDescent="0.3">
      <c r="V8" s="62">
        <v>6</v>
      </c>
      <c r="W8" s="47" t="s">
        <v>141</v>
      </c>
      <c r="X8" s="47"/>
      <c r="Y8" s="47"/>
      <c r="Z8" s="47"/>
      <c r="AA8" s="47"/>
      <c r="AB8" s="47"/>
      <c r="AC8" s="47"/>
      <c r="AD8" s="47"/>
      <c r="AE8" s="47">
        <v>14</v>
      </c>
      <c r="AF8" s="47"/>
      <c r="AG8" s="47"/>
      <c r="AH8" s="47"/>
      <c r="AI8" s="47"/>
      <c r="AJ8" s="47"/>
      <c r="AK8" s="47"/>
      <c r="AL8" s="47"/>
      <c r="AM8" s="63"/>
    </row>
    <row r="9" spans="14:39" ht="15" thickBot="1" x14ac:dyDescent="0.35">
      <c r="V9" s="64">
        <v>7</v>
      </c>
      <c r="W9" s="65" t="s">
        <v>37</v>
      </c>
      <c r="X9" s="65"/>
      <c r="Y9" s="65"/>
      <c r="Z9" s="65"/>
      <c r="AA9" s="65"/>
      <c r="AB9" s="65"/>
      <c r="AC9" s="65"/>
      <c r="AD9" s="65"/>
      <c r="AE9" s="65">
        <v>15</v>
      </c>
      <c r="AF9" s="65"/>
      <c r="AG9" s="65"/>
      <c r="AH9" s="65"/>
      <c r="AI9" s="65"/>
      <c r="AJ9" s="65"/>
      <c r="AK9" s="65"/>
      <c r="AL9" s="65"/>
      <c r="AM9" s="66"/>
    </row>
    <row r="13" spans="14:39" x14ac:dyDescent="0.3">
      <c r="N13" t="s">
        <v>32</v>
      </c>
      <c r="T13" s="45" t="s">
        <v>160</v>
      </c>
    </row>
    <row r="16" spans="14:39" x14ac:dyDescent="0.3">
      <c r="N16" s="46" t="s">
        <v>13</v>
      </c>
      <c r="S16">
        <v>1</v>
      </c>
      <c r="U16" s="45" t="s">
        <v>14</v>
      </c>
      <c r="V16" s="45">
        <v>113</v>
      </c>
      <c r="W16" s="45"/>
      <c r="X16" s="45" t="s">
        <v>15</v>
      </c>
      <c r="Y16" s="45">
        <v>16</v>
      </c>
      <c r="Z16" s="45" t="s">
        <v>16</v>
      </c>
      <c r="AA16" s="45">
        <v>1</v>
      </c>
      <c r="AB16" s="47"/>
      <c r="AC16" s="85" t="s">
        <v>45</v>
      </c>
      <c r="AE16" s="45">
        <v>3.99</v>
      </c>
      <c r="AG16" s="44" t="s">
        <v>65</v>
      </c>
      <c r="AI16" s="44"/>
    </row>
    <row r="17" spans="2:64" ht="15.75" thickBot="1" x14ac:dyDescent="0.3"/>
    <row r="18" spans="2:64" ht="15.6" thickTop="1" thickBot="1" x14ac:dyDescent="0.35">
      <c r="B18" s="59" t="s">
        <v>31</v>
      </c>
      <c r="C18" s="60"/>
      <c r="D18" s="60"/>
      <c r="E18" s="60"/>
      <c r="F18" s="60"/>
      <c r="G18" s="60"/>
      <c r="H18" s="60"/>
      <c r="I18" s="60"/>
      <c r="J18" s="60"/>
      <c r="K18" s="61"/>
      <c r="N18" s="1" t="s">
        <v>0</v>
      </c>
      <c r="O18" s="202" t="s">
        <v>1</v>
      </c>
      <c r="P18" s="194"/>
      <c r="Q18" s="194"/>
      <c r="R18" s="195"/>
      <c r="S18" s="193" t="s">
        <v>43</v>
      </c>
      <c r="T18" s="194"/>
      <c r="U18" s="194"/>
      <c r="V18" s="194"/>
      <c r="W18" s="194"/>
      <c r="X18" s="195"/>
      <c r="Y18" s="203" t="s">
        <v>17</v>
      </c>
      <c r="Z18" s="204"/>
      <c r="AA18" s="204"/>
      <c r="AB18" s="204"/>
      <c r="AC18" s="204"/>
      <c r="AD18" s="205"/>
      <c r="AE18" s="206" t="s">
        <v>18</v>
      </c>
      <c r="AF18" s="207"/>
      <c r="AG18" s="207"/>
      <c r="AH18" s="207"/>
      <c r="AI18" s="207"/>
      <c r="AJ18" s="208"/>
      <c r="AK18" s="193" t="s">
        <v>19</v>
      </c>
      <c r="AL18" s="194"/>
      <c r="AM18" s="194"/>
      <c r="AN18" s="195"/>
      <c r="AO18" s="193" t="s">
        <v>20</v>
      </c>
      <c r="AP18" s="194"/>
      <c r="AQ18" s="194"/>
      <c r="AR18" s="195"/>
      <c r="AS18" s="193" t="s">
        <v>21</v>
      </c>
      <c r="AT18" s="194"/>
      <c r="AU18" s="194"/>
      <c r="AV18" s="195"/>
      <c r="AW18" s="193" t="s">
        <v>26</v>
      </c>
      <c r="AX18" s="194"/>
      <c r="AY18" s="194"/>
      <c r="AZ18" s="195"/>
      <c r="BA18" s="193" t="s">
        <v>22</v>
      </c>
      <c r="BB18" s="194"/>
      <c r="BC18" s="194"/>
      <c r="BD18" s="195"/>
      <c r="BE18" s="193" t="s">
        <v>29</v>
      </c>
      <c r="BF18" s="194"/>
      <c r="BG18" s="194"/>
      <c r="BH18" s="195"/>
      <c r="BI18" s="193" t="s">
        <v>42</v>
      </c>
      <c r="BJ18" s="194"/>
      <c r="BK18" s="194"/>
      <c r="BL18" s="195"/>
    </row>
    <row r="19" spans="2:64" ht="21" thickBot="1" x14ac:dyDescent="0.35">
      <c r="B19" s="64" t="str">
        <f>Y18</f>
        <v>Ель из подроста</v>
      </c>
      <c r="C19" s="65" t="str">
        <f>AE18</f>
        <v>ЕЛЬ лесные культуры</v>
      </c>
      <c r="D19" s="65" t="str">
        <f>S18</f>
        <v>Сосна</v>
      </c>
      <c r="E19" s="65" t="str">
        <f>AK18</f>
        <v>Берёза</v>
      </c>
      <c r="F19" s="65" t="str">
        <f>AO18</f>
        <v>Осина</v>
      </c>
      <c r="G19" s="65" t="str">
        <f>AS18</f>
        <v>Ольха серая</v>
      </c>
      <c r="H19" s="65" t="str">
        <f>AW18</f>
        <v>Ива</v>
      </c>
      <c r="I19" s="65" t="str">
        <f>BA18</f>
        <v>Чёрёмуха</v>
      </c>
      <c r="J19" s="65" t="str">
        <f>BE18</f>
        <v>Дуб</v>
      </c>
      <c r="K19" s="66" t="str">
        <f>BI18</f>
        <v>Рябина</v>
      </c>
      <c r="L19" t="s">
        <v>46</v>
      </c>
      <c r="N19" s="31" t="s">
        <v>2</v>
      </c>
      <c r="O19" s="25" t="s">
        <v>3</v>
      </c>
      <c r="P19" s="86" t="s">
        <v>48</v>
      </c>
      <c r="Q19" s="86" t="s">
        <v>47</v>
      </c>
      <c r="R19" s="68" t="s">
        <v>4</v>
      </c>
      <c r="S19" s="41" t="s">
        <v>5</v>
      </c>
      <c r="T19" s="42" t="s">
        <v>6</v>
      </c>
      <c r="U19" s="42" t="s">
        <v>7</v>
      </c>
      <c r="V19" s="42" t="s">
        <v>23</v>
      </c>
      <c r="W19" s="43" t="s">
        <v>8</v>
      </c>
      <c r="X19" s="26" t="s">
        <v>9</v>
      </c>
      <c r="Y19" s="70" t="s">
        <v>5</v>
      </c>
      <c r="Z19" s="42" t="s">
        <v>6</v>
      </c>
      <c r="AA19" s="42" t="s">
        <v>7</v>
      </c>
      <c r="AB19" s="42" t="s">
        <v>23</v>
      </c>
      <c r="AC19" s="43" t="s">
        <v>8</v>
      </c>
      <c r="AD19" s="26" t="s">
        <v>9</v>
      </c>
      <c r="AE19" s="53" t="s">
        <v>5</v>
      </c>
      <c r="AF19" s="50" t="s">
        <v>6</v>
      </c>
      <c r="AG19" s="50" t="s">
        <v>7</v>
      </c>
      <c r="AH19" s="50" t="s">
        <v>23</v>
      </c>
      <c r="AI19" s="51" t="s">
        <v>8</v>
      </c>
      <c r="AJ19" s="54" t="s">
        <v>9</v>
      </c>
      <c r="AK19" s="49" t="s">
        <v>10</v>
      </c>
      <c r="AL19" s="50" t="s">
        <v>23</v>
      </c>
      <c r="AM19" s="51" t="s">
        <v>8</v>
      </c>
      <c r="AN19" s="52" t="s">
        <v>9</v>
      </c>
      <c r="AO19" s="25" t="s">
        <v>10</v>
      </c>
      <c r="AP19" s="42" t="s">
        <v>23</v>
      </c>
      <c r="AQ19" s="43" t="s">
        <v>8</v>
      </c>
      <c r="AR19" s="26" t="s">
        <v>9</v>
      </c>
      <c r="AS19" s="25" t="s">
        <v>10</v>
      </c>
      <c r="AT19" s="42" t="s">
        <v>23</v>
      </c>
      <c r="AU19" s="43" t="s">
        <v>8</v>
      </c>
      <c r="AV19" s="26" t="s">
        <v>9</v>
      </c>
      <c r="AW19" s="25" t="s">
        <v>10</v>
      </c>
      <c r="AX19" s="42" t="s">
        <v>23</v>
      </c>
      <c r="AY19" s="43" t="s">
        <v>8</v>
      </c>
      <c r="AZ19" s="26" t="s">
        <v>9</v>
      </c>
      <c r="BA19" s="25" t="s">
        <v>10</v>
      </c>
      <c r="BB19" s="42" t="s">
        <v>23</v>
      </c>
      <c r="BC19" s="43" t="s">
        <v>8</v>
      </c>
      <c r="BD19" s="26" t="s">
        <v>9</v>
      </c>
      <c r="BE19" s="25" t="s">
        <v>10</v>
      </c>
      <c r="BF19" s="42" t="s">
        <v>23</v>
      </c>
      <c r="BG19" s="43" t="s">
        <v>8</v>
      </c>
      <c r="BH19" s="26" t="s">
        <v>9</v>
      </c>
      <c r="BI19" s="25" t="s">
        <v>10</v>
      </c>
      <c r="BJ19" s="42" t="s">
        <v>23</v>
      </c>
      <c r="BK19" s="43" t="s">
        <v>8</v>
      </c>
      <c r="BL19" s="26" t="s">
        <v>9</v>
      </c>
    </row>
    <row r="20" spans="2:64" x14ac:dyDescent="0.3">
      <c r="B20" s="62">
        <f>AC20*AA20</f>
        <v>13.5</v>
      </c>
      <c r="C20" s="47">
        <f>AI20*AG20</f>
        <v>0</v>
      </c>
      <c r="D20" s="47">
        <f>W20*U20</f>
        <v>0</v>
      </c>
      <c r="E20" s="47">
        <f>AK20*AM20</f>
        <v>0</v>
      </c>
      <c r="F20" s="47">
        <f>AO20*AQ20</f>
        <v>9.9999999999999998E-13</v>
      </c>
      <c r="G20" s="47">
        <f>AS20*AU20</f>
        <v>9.9999999999999998E-13</v>
      </c>
      <c r="H20" s="47">
        <f>AW20*AY20</f>
        <v>9.9999999999999998E-13</v>
      </c>
      <c r="I20" s="47">
        <f>BA20*BC20</f>
        <v>1E-10</v>
      </c>
      <c r="J20" s="47">
        <f>BE20*BG20</f>
        <v>9.9999999999999998E-13</v>
      </c>
      <c r="K20" s="63">
        <f>BI20*BK20</f>
        <v>0</v>
      </c>
      <c r="L20" s="55">
        <f>SUM(S20:U20,Y20:AA20,AE20:AG20,AK20,AO20,AS20,AW20,BA20,BE20,BI20)/($AE$16*$AE$16*3.15/10000*1000)</f>
        <v>0.79763597241502548</v>
      </c>
      <c r="N20" s="32">
        <v>1</v>
      </c>
      <c r="O20" s="27">
        <v>692</v>
      </c>
      <c r="P20" s="87" t="s">
        <v>63</v>
      </c>
      <c r="Q20" s="87" t="s">
        <v>49</v>
      </c>
      <c r="R20" s="69"/>
      <c r="S20" s="40">
        <v>9.9999999999999995E-7</v>
      </c>
      <c r="T20" s="40">
        <v>9.9999999999999995E-7</v>
      </c>
      <c r="U20" s="40">
        <v>0</v>
      </c>
      <c r="V20" s="40"/>
      <c r="W20" s="40"/>
      <c r="X20" s="24"/>
      <c r="Y20" s="40">
        <v>0</v>
      </c>
      <c r="Z20" s="40">
        <v>1</v>
      </c>
      <c r="AA20" s="40">
        <v>3</v>
      </c>
      <c r="AB20" s="6">
        <v>5</v>
      </c>
      <c r="AC20" s="7">
        <v>4.5</v>
      </c>
      <c r="AD20" s="36">
        <v>13</v>
      </c>
      <c r="AE20" s="40">
        <v>9.9999999999999995E-7</v>
      </c>
      <c r="AF20" s="40">
        <v>9.9999999999999995E-7</v>
      </c>
      <c r="AG20" s="40">
        <v>9.9999999999999995E-7</v>
      </c>
      <c r="AH20" s="6"/>
      <c r="AI20" s="7"/>
      <c r="AJ20" s="8"/>
      <c r="AK20" s="40">
        <v>0</v>
      </c>
      <c r="AL20" s="7"/>
      <c r="AM20" s="7"/>
      <c r="AN20" s="8"/>
      <c r="AO20" s="40">
        <v>9.9999999999999995E-7</v>
      </c>
      <c r="AP20" s="40">
        <v>9.9999999999999995E-7</v>
      </c>
      <c r="AQ20" s="40">
        <v>9.9999999999999995E-7</v>
      </c>
      <c r="AR20" s="40">
        <v>9.9999999999999995E-7</v>
      </c>
      <c r="AS20" s="40">
        <v>9.9999999999999995E-7</v>
      </c>
      <c r="AT20" s="40">
        <v>9.9999999999999995E-7</v>
      </c>
      <c r="AU20" s="40">
        <v>9.9999999999999995E-7</v>
      </c>
      <c r="AV20" s="40">
        <v>9.9999999999999995E-7</v>
      </c>
      <c r="AW20" s="40">
        <v>9.9999999999999995E-7</v>
      </c>
      <c r="AX20" s="40">
        <v>9.9999999999999995E-7</v>
      </c>
      <c r="AY20" s="40">
        <v>9.9999999999999995E-7</v>
      </c>
      <c r="AZ20" s="40">
        <v>9.9999999999999995E-7</v>
      </c>
      <c r="BA20" s="40">
        <v>9.9999999999999995E-7</v>
      </c>
      <c r="BB20" s="27">
        <v>1E-4</v>
      </c>
      <c r="BC20" s="40">
        <v>1E-4</v>
      </c>
      <c r="BD20" s="24">
        <v>1E-3</v>
      </c>
      <c r="BE20" s="40">
        <v>9.9999999999999995E-7</v>
      </c>
      <c r="BF20" s="40">
        <v>9.9999999999999995E-7</v>
      </c>
      <c r="BG20" s="40">
        <v>9.9999999999999995E-7</v>
      </c>
      <c r="BH20" s="40">
        <v>9.9999999999999995E-7</v>
      </c>
      <c r="BI20" s="40">
        <v>0</v>
      </c>
      <c r="BJ20" s="27"/>
      <c r="BK20" s="40"/>
      <c r="BL20" s="24"/>
    </row>
    <row r="21" spans="2:64" x14ac:dyDescent="0.3">
      <c r="B21" s="62">
        <f>AC21*AA21</f>
        <v>40.5</v>
      </c>
      <c r="C21" s="47">
        <f t="shared" ref="C21:C51" si="0">AI21*AG21</f>
        <v>0</v>
      </c>
      <c r="D21" s="47">
        <f t="shared" ref="D21:D51" si="1">W21*U21</f>
        <v>6</v>
      </c>
      <c r="E21" s="47">
        <f t="shared" ref="E21:E51" si="2">AK21*AM21</f>
        <v>0</v>
      </c>
      <c r="F21" s="47">
        <f t="shared" ref="F21:F51" si="3">AO21*AQ21</f>
        <v>0</v>
      </c>
      <c r="G21" s="47">
        <f t="shared" ref="G21:G51" si="4">AS21*AU21</f>
        <v>0</v>
      </c>
      <c r="H21" s="47">
        <f t="shared" ref="H21:H51" si="5">AW21*AY21</f>
        <v>0</v>
      </c>
      <c r="I21" s="47">
        <f t="shared" ref="I21:I51" si="6">BA21*BC21</f>
        <v>0</v>
      </c>
      <c r="J21" s="47">
        <f t="shared" ref="J21:J51" si="7">BE21*BG21</f>
        <v>0</v>
      </c>
      <c r="K21" s="63">
        <f t="shared" ref="K21:K51" si="8">BI21*BK21</f>
        <v>0</v>
      </c>
      <c r="L21" s="55">
        <f t="shared" ref="L21:L51" si="9">SUM(S21:U21,Y21:AA21,AE21:AG21,AK21,AO21,AS21,AW21,BA21,BE21,BI21)/($AE$16*$AE$16*3.15/10000*1000)</f>
        <v>1.9940849458251986</v>
      </c>
      <c r="N21" s="33">
        <v>2</v>
      </c>
      <c r="O21" s="28">
        <v>693</v>
      </c>
      <c r="P21" s="88" t="s">
        <v>63</v>
      </c>
      <c r="Q21" s="88" t="s">
        <v>50</v>
      </c>
      <c r="R21" s="37"/>
      <c r="S21" s="20"/>
      <c r="T21" s="3"/>
      <c r="U21" s="3">
        <v>1</v>
      </c>
      <c r="V21" s="3">
        <v>12</v>
      </c>
      <c r="W21" s="3">
        <v>6</v>
      </c>
      <c r="X21" s="10">
        <v>13</v>
      </c>
      <c r="Y21" s="17">
        <v>0</v>
      </c>
      <c r="Z21" s="2">
        <v>0</v>
      </c>
      <c r="AA21" s="2">
        <v>9</v>
      </c>
      <c r="AB21" s="2">
        <v>4</v>
      </c>
      <c r="AC21" s="3">
        <v>4.5</v>
      </c>
      <c r="AD21" s="37">
        <v>13</v>
      </c>
      <c r="AE21" s="9"/>
      <c r="AF21" s="2"/>
      <c r="AG21" s="2">
        <v>0</v>
      </c>
      <c r="AH21" s="2"/>
      <c r="AI21" s="3"/>
      <c r="AJ21" s="10"/>
      <c r="AK21" s="28">
        <v>0</v>
      </c>
      <c r="AL21" s="3"/>
      <c r="AM21" s="3"/>
      <c r="AN21" s="10"/>
      <c r="AO21" s="28">
        <v>0</v>
      </c>
      <c r="AP21" s="28"/>
      <c r="AQ21" s="3"/>
      <c r="AR21" s="10"/>
      <c r="AS21" s="20"/>
      <c r="AT21" s="28"/>
      <c r="AU21" s="3"/>
      <c r="AV21" s="10"/>
      <c r="AW21" s="20">
        <v>0</v>
      </c>
      <c r="AX21" s="28"/>
      <c r="AY21" s="3"/>
      <c r="AZ21" s="10"/>
      <c r="BA21" s="20">
        <v>0</v>
      </c>
      <c r="BB21" s="28"/>
      <c r="BC21" s="3"/>
      <c r="BD21" s="10"/>
      <c r="BE21" s="23"/>
      <c r="BF21" s="28"/>
      <c r="BG21" s="3"/>
      <c r="BH21" s="10"/>
      <c r="BI21" s="23">
        <v>0</v>
      </c>
      <c r="BJ21" s="28"/>
      <c r="BK21" s="3"/>
      <c r="BL21" s="10"/>
    </row>
    <row r="22" spans="2:64" x14ac:dyDescent="0.3">
      <c r="B22" s="62">
        <f t="shared" ref="B22:B51" si="10">AC22*AA22</f>
        <v>17.5</v>
      </c>
      <c r="C22" s="47">
        <f t="shared" si="0"/>
        <v>0</v>
      </c>
      <c r="D22" s="47">
        <f t="shared" si="1"/>
        <v>6</v>
      </c>
      <c r="E22" s="47">
        <f t="shared" si="2"/>
        <v>10.5</v>
      </c>
      <c r="F22" s="47">
        <f t="shared" si="3"/>
        <v>0</v>
      </c>
      <c r="G22" s="47">
        <f t="shared" si="4"/>
        <v>0</v>
      </c>
      <c r="H22" s="47">
        <f t="shared" si="5"/>
        <v>0</v>
      </c>
      <c r="I22" s="47">
        <f t="shared" si="6"/>
        <v>0</v>
      </c>
      <c r="J22" s="47">
        <f t="shared" si="7"/>
        <v>0</v>
      </c>
      <c r="K22" s="63">
        <f t="shared" si="8"/>
        <v>0</v>
      </c>
      <c r="L22" s="55">
        <f t="shared" si="9"/>
        <v>1.9940849458251986</v>
      </c>
      <c r="N22" s="33">
        <v>3</v>
      </c>
      <c r="O22" s="28">
        <v>694</v>
      </c>
      <c r="P22" s="88" t="s">
        <v>63</v>
      </c>
      <c r="Q22" s="88" t="s">
        <v>51</v>
      </c>
      <c r="R22" s="37"/>
      <c r="S22" s="20"/>
      <c r="T22" s="3"/>
      <c r="U22" s="3">
        <v>2</v>
      </c>
      <c r="V22" s="3">
        <v>5</v>
      </c>
      <c r="W22" s="3">
        <v>3</v>
      </c>
      <c r="X22" s="10">
        <v>12</v>
      </c>
      <c r="Y22" s="17">
        <v>0</v>
      </c>
      <c r="Z22" s="2">
        <v>0</v>
      </c>
      <c r="AA22" s="2">
        <v>5</v>
      </c>
      <c r="AB22" s="2">
        <v>4</v>
      </c>
      <c r="AC22" s="3">
        <v>3.5</v>
      </c>
      <c r="AD22" s="37">
        <v>13</v>
      </c>
      <c r="AE22" s="9"/>
      <c r="AF22" s="2"/>
      <c r="AG22" s="2">
        <v>0</v>
      </c>
      <c r="AH22" s="2"/>
      <c r="AI22" s="3"/>
      <c r="AJ22" s="10"/>
      <c r="AK22" s="28">
        <v>3</v>
      </c>
      <c r="AL22" s="3">
        <v>2</v>
      </c>
      <c r="AM22" s="3">
        <v>3.5</v>
      </c>
      <c r="AN22" s="10">
        <v>5</v>
      </c>
      <c r="AO22" s="28">
        <v>0</v>
      </c>
      <c r="AP22" s="28"/>
      <c r="AQ22" s="3"/>
      <c r="AR22" s="10"/>
      <c r="AS22" s="20"/>
      <c r="AT22" s="28"/>
      <c r="AU22" s="3"/>
      <c r="AV22" s="10"/>
      <c r="AW22" s="20">
        <v>0</v>
      </c>
      <c r="AX22" s="28"/>
      <c r="AY22" s="3"/>
      <c r="AZ22" s="10"/>
      <c r="BA22" s="20">
        <v>0</v>
      </c>
      <c r="BB22" s="28"/>
      <c r="BC22" s="3"/>
      <c r="BD22" s="10"/>
      <c r="BE22" s="23"/>
      <c r="BF22" s="28"/>
      <c r="BG22" s="3"/>
      <c r="BH22" s="10"/>
      <c r="BI22" s="23">
        <v>0</v>
      </c>
      <c r="BJ22" s="28"/>
      <c r="BK22" s="3"/>
      <c r="BL22" s="10"/>
    </row>
    <row r="23" spans="2:64" x14ac:dyDescent="0.3">
      <c r="B23" s="62">
        <f t="shared" si="10"/>
        <v>38.5</v>
      </c>
      <c r="C23" s="47">
        <f t="shared" si="0"/>
        <v>0</v>
      </c>
      <c r="D23" s="47">
        <f t="shared" si="1"/>
        <v>0</v>
      </c>
      <c r="E23" s="47">
        <f t="shared" si="2"/>
        <v>4</v>
      </c>
      <c r="F23" s="47">
        <f t="shared" si="3"/>
        <v>0</v>
      </c>
      <c r="G23" s="47">
        <f t="shared" si="4"/>
        <v>0</v>
      </c>
      <c r="H23" s="47">
        <f t="shared" si="5"/>
        <v>0</v>
      </c>
      <c r="I23" s="47">
        <f t="shared" si="6"/>
        <v>0</v>
      </c>
      <c r="J23" s="47">
        <f t="shared" si="7"/>
        <v>0</v>
      </c>
      <c r="K23" s="63">
        <f t="shared" si="8"/>
        <v>0</v>
      </c>
      <c r="L23" s="55">
        <f t="shared" si="9"/>
        <v>1.5952679566601589</v>
      </c>
      <c r="N23" s="33">
        <v>4</v>
      </c>
      <c r="O23" s="28">
        <v>695</v>
      </c>
      <c r="P23" s="88" t="s">
        <v>63</v>
      </c>
      <c r="Q23" s="88" t="s">
        <v>52</v>
      </c>
      <c r="R23" s="37"/>
      <c r="S23" s="20"/>
      <c r="T23" s="3"/>
      <c r="U23" s="3">
        <v>0</v>
      </c>
      <c r="V23" s="3"/>
      <c r="W23" s="3"/>
      <c r="X23" s="10"/>
      <c r="Y23" s="17">
        <v>0</v>
      </c>
      <c r="Z23" s="2">
        <v>0</v>
      </c>
      <c r="AA23" s="2">
        <v>7</v>
      </c>
      <c r="AB23" s="2">
        <v>7</v>
      </c>
      <c r="AC23" s="3">
        <v>5.5</v>
      </c>
      <c r="AD23" s="37">
        <v>13</v>
      </c>
      <c r="AE23" s="9"/>
      <c r="AF23" s="2"/>
      <c r="AG23" s="2">
        <v>0</v>
      </c>
      <c r="AH23" s="2"/>
      <c r="AI23" s="3"/>
      <c r="AJ23" s="10"/>
      <c r="AK23" s="28">
        <v>1</v>
      </c>
      <c r="AL23" s="3">
        <v>2</v>
      </c>
      <c r="AM23" s="3">
        <v>4</v>
      </c>
      <c r="AN23" s="10">
        <v>5</v>
      </c>
      <c r="AO23" s="28">
        <v>0</v>
      </c>
      <c r="AP23" s="28"/>
      <c r="AQ23" s="3"/>
      <c r="AR23" s="10"/>
      <c r="AS23" s="20"/>
      <c r="AT23" s="28"/>
      <c r="AU23" s="3"/>
      <c r="AV23" s="10"/>
      <c r="AW23" s="20">
        <v>0</v>
      </c>
      <c r="AX23" s="28"/>
      <c r="AY23" s="3"/>
      <c r="AZ23" s="10"/>
      <c r="BA23" s="20">
        <v>0</v>
      </c>
      <c r="BB23" s="28"/>
      <c r="BC23" s="3"/>
      <c r="BD23" s="10"/>
      <c r="BE23" s="23"/>
      <c r="BF23" s="28"/>
      <c r="BG23" s="3"/>
      <c r="BH23" s="10"/>
      <c r="BI23" s="23">
        <v>0</v>
      </c>
      <c r="BJ23" s="28"/>
      <c r="BK23" s="3"/>
      <c r="BL23" s="10"/>
    </row>
    <row r="24" spans="2:64" x14ac:dyDescent="0.3">
      <c r="B24" s="62">
        <f t="shared" si="10"/>
        <v>12</v>
      </c>
      <c r="C24" s="47">
        <f t="shared" si="0"/>
        <v>0</v>
      </c>
      <c r="D24" s="47">
        <f t="shared" si="1"/>
        <v>0</v>
      </c>
      <c r="E24" s="47">
        <f t="shared" si="2"/>
        <v>15</v>
      </c>
      <c r="F24" s="47">
        <f t="shared" si="3"/>
        <v>0</v>
      </c>
      <c r="G24" s="47">
        <f t="shared" si="4"/>
        <v>0</v>
      </c>
      <c r="H24" s="47">
        <f t="shared" si="5"/>
        <v>0</v>
      </c>
      <c r="I24" s="47">
        <f t="shared" si="6"/>
        <v>0</v>
      </c>
      <c r="J24" s="47">
        <f t="shared" si="7"/>
        <v>0</v>
      </c>
      <c r="K24" s="63">
        <f t="shared" si="8"/>
        <v>0</v>
      </c>
      <c r="L24" s="55">
        <f t="shared" si="9"/>
        <v>1.5952679566601589</v>
      </c>
      <c r="N24" s="33">
        <v>5</v>
      </c>
      <c r="O24" s="28">
        <v>696</v>
      </c>
      <c r="P24" s="88" t="s">
        <v>64</v>
      </c>
      <c r="Q24" s="88" t="s">
        <v>53</v>
      </c>
      <c r="R24" s="37"/>
      <c r="S24" s="20"/>
      <c r="T24" s="3"/>
      <c r="U24" s="3">
        <v>0</v>
      </c>
      <c r="V24" s="3"/>
      <c r="W24" s="3"/>
      <c r="X24" s="10"/>
      <c r="Y24" s="17">
        <v>0</v>
      </c>
      <c r="Z24" s="2">
        <v>0</v>
      </c>
      <c r="AA24" s="2">
        <v>3</v>
      </c>
      <c r="AB24" s="2">
        <v>4</v>
      </c>
      <c r="AC24" s="3">
        <v>4</v>
      </c>
      <c r="AD24" s="37">
        <v>13</v>
      </c>
      <c r="AE24" s="9"/>
      <c r="AF24" s="2"/>
      <c r="AG24" s="2">
        <v>0</v>
      </c>
      <c r="AH24" s="2"/>
      <c r="AI24" s="3"/>
      <c r="AJ24" s="10"/>
      <c r="AK24" s="28">
        <v>5</v>
      </c>
      <c r="AL24" s="3">
        <v>1</v>
      </c>
      <c r="AM24" s="3">
        <v>3</v>
      </c>
      <c r="AN24" s="10">
        <v>5</v>
      </c>
      <c r="AO24" s="28">
        <v>0</v>
      </c>
      <c r="AP24" s="28"/>
      <c r="AQ24" s="3"/>
      <c r="AR24" s="10"/>
      <c r="AS24" s="20"/>
      <c r="AT24" s="28"/>
      <c r="AU24" s="3"/>
      <c r="AV24" s="10"/>
      <c r="AW24" s="20">
        <v>0</v>
      </c>
      <c r="AX24" s="28"/>
      <c r="AY24" s="3"/>
      <c r="AZ24" s="10"/>
      <c r="BA24" s="20">
        <v>0</v>
      </c>
      <c r="BB24" s="28"/>
      <c r="BC24" s="3"/>
      <c r="BD24" s="10"/>
      <c r="BE24" s="23"/>
      <c r="BF24" s="28"/>
      <c r="BG24" s="3"/>
      <c r="BH24" s="10"/>
      <c r="BI24" s="20">
        <v>0</v>
      </c>
      <c r="BJ24" s="28"/>
      <c r="BK24" s="3"/>
      <c r="BL24" s="10"/>
    </row>
    <row r="25" spans="2:64" x14ac:dyDescent="0.3">
      <c r="B25" s="62">
        <f t="shared" si="10"/>
        <v>28.200000000000003</v>
      </c>
      <c r="C25" s="47">
        <f t="shared" si="0"/>
        <v>0</v>
      </c>
      <c r="D25" s="47">
        <f t="shared" si="1"/>
        <v>30</v>
      </c>
      <c r="E25" s="47">
        <f t="shared" si="2"/>
        <v>0</v>
      </c>
      <c r="F25" s="47">
        <f t="shared" si="3"/>
        <v>0</v>
      </c>
      <c r="G25" s="47">
        <f t="shared" si="4"/>
        <v>0</v>
      </c>
      <c r="H25" s="47">
        <f t="shared" si="5"/>
        <v>0</v>
      </c>
      <c r="I25" s="47">
        <f t="shared" si="6"/>
        <v>0</v>
      </c>
      <c r="J25" s="47">
        <f t="shared" si="7"/>
        <v>0</v>
      </c>
      <c r="K25" s="63">
        <f t="shared" si="8"/>
        <v>0</v>
      </c>
      <c r="L25" s="55">
        <f t="shared" si="9"/>
        <v>2.1934934404077184</v>
      </c>
      <c r="N25" s="33">
        <v>6</v>
      </c>
      <c r="O25" s="28">
        <v>697</v>
      </c>
      <c r="P25" s="88" t="s">
        <v>63</v>
      </c>
      <c r="Q25" s="88" t="s">
        <v>54</v>
      </c>
      <c r="R25" s="37"/>
      <c r="S25" s="20"/>
      <c r="T25" s="3"/>
      <c r="U25" s="3">
        <v>5</v>
      </c>
      <c r="V25" s="3">
        <v>8</v>
      </c>
      <c r="W25" s="3">
        <v>6</v>
      </c>
      <c r="X25" s="10">
        <v>13</v>
      </c>
      <c r="Y25" s="17">
        <v>0</v>
      </c>
      <c r="Z25" s="2">
        <v>0</v>
      </c>
      <c r="AA25" s="2">
        <v>6</v>
      </c>
      <c r="AB25" s="2">
        <v>6</v>
      </c>
      <c r="AC25" s="3">
        <v>4.7</v>
      </c>
      <c r="AD25" s="37">
        <v>13</v>
      </c>
      <c r="AE25" s="9"/>
      <c r="AF25" s="2"/>
      <c r="AG25" s="2">
        <v>0</v>
      </c>
      <c r="AH25" s="2"/>
      <c r="AI25" s="3"/>
      <c r="AJ25" s="10"/>
      <c r="AK25" s="28">
        <v>0</v>
      </c>
      <c r="AL25" s="3">
        <v>0</v>
      </c>
      <c r="AM25" s="3">
        <v>0</v>
      </c>
      <c r="AN25" s="10"/>
      <c r="AO25" s="28">
        <v>0</v>
      </c>
      <c r="AP25" s="28"/>
      <c r="AQ25" s="3"/>
      <c r="AR25" s="10"/>
      <c r="AS25" s="20"/>
      <c r="AT25" s="28"/>
      <c r="AU25" s="3"/>
      <c r="AV25" s="10"/>
      <c r="AW25" s="20">
        <v>0</v>
      </c>
      <c r="AX25" s="28"/>
      <c r="AY25" s="3"/>
      <c r="AZ25" s="10"/>
      <c r="BA25" s="20">
        <v>0</v>
      </c>
      <c r="BB25" s="28"/>
      <c r="BC25" s="3"/>
      <c r="BD25" s="10"/>
      <c r="BE25" s="23"/>
      <c r="BF25" s="28"/>
      <c r="BG25" s="3"/>
      <c r="BH25" s="10"/>
      <c r="BI25" s="20">
        <v>0</v>
      </c>
      <c r="BJ25" s="28"/>
      <c r="BK25" s="3"/>
      <c r="BL25" s="10"/>
    </row>
    <row r="26" spans="2:64" x14ac:dyDescent="0.3">
      <c r="B26" s="62">
        <f t="shared" si="10"/>
        <v>25</v>
      </c>
      <c r="C26" s="47">
        <f t="shared" si="0"/>
        <v>0</v>
      </c>
      <c r="D26" s="47">
        <f t="shared" si="1"/>
        <v>20</v>
      </c>
      <c r="E26" s="47">
        <f t="shared" si="2"/>
        <v>0</v>
      </c>
      <c r="F26" s="47">
        <f t="shared" si="3"/>
        <v>0</v>
      </c>
      <c r="G26" s="47">
        <f t="shared" si="4"/>
        <v>0</v>
      </c>
      <c r="H26" s="47">
        <f t="shared" si="5"/>
        <v>0</v>
      </c>
      <c r="I26" s="47">
        <f t="shared" si="6"/>
        <v>0</v>
      </c>
      <c r="J26" s="47">
        <f t="shared" si="7"/>
        <v>0</v>
      </c>
      <c r="K26" s="63">
        <f t="shared" si="8"/>
        <v>0</v>
      </c>
      <c r="L26" s="55">
        <f t="shared" si="9"/>
        <v>1.7946764512426787</v>
      </c>
      <c r="N26" s="33">
        <v>7</v>
      </c>
      <c r="O26" s="28">
        <v>698</v>
      </c>
      <c r="P26" s="88" t="s">
        <v>63</v>
      </c>
      <c r="Q26" s="88" t="s">
        <v>55</v>
      </c>
      <c r="R26" s="37"/>
      <c r="S26" s="20"/>
      <c r="T26" s="3"/>
      <c r="U26" s="3">
        <v>4</v>
      </c>
      <c r="V26" s="3">
        <v>7</v>
      </c>
      <c r="W26" s="3">
        <v>5</v>
      </c>
      <c r="X26" s="10">
        <v>12</v>
      </c>
      <c r="Y26" s="17">
        <v>0</v>
      </c>
      <c r="Z26" s="2">
        <v>0</v>
      </c>
      <c r="AA26" s="2">
        <v>5</v>
      </c>
      <c r="AB26" s="2">
        <v>5</v>
      </c>
      <c r="AC26" s="3">
        <v>5</v>
      </c>
      <c r="AD26" s="37">
        <v>13</v>
      </c>
      <c r="AE26" s="9"/>
      <c r="AF26" s="2"/>
      <c r="AG26" s="2">
        <v>0</v>
      </c>
      <c r="AH26" s="2"/>
      <c r="AI26" s="3"/>
      <c r="AJ26" s="10"/>
      <c r="AK26" s="28">
        <v>0</v>
      </c>
      <c r="AL26" s="3">
        <v>0</v>
      </c>
      <c r="AM26" s="3">
        <v>0</v>
      </c>
      <c r="AN26" s="10"/>
      <c r="AO26" s="28">
        <v>0</v>
      </c>
      <c r="AP26" s="28"/>
      <c r="AQ26" s="3"/>
      <c r="AR26" s="10"/>
      <c r="AS26" s="20"/>
      <c r="AT26" s="28"/>
      <c r="AU26" s="3"/>
      <c r="AV26" s="10"/>
      <c r="AW26" s="20">
        <v>0</v>
      </c>
      <c r="AX26" s="28"/>
      <c r="AY26" s="3"/>
      <c r="AZ26" s="10"/>
      <c r="BA26" s="20">
        <v>0</v>
      </c>
      <c r="BB26" s="28"/>
      <c r="BC26" s="3"/>
      <c r="BD26" s="10"/>
      <c r="BE26" s="23"/>
      <c r="BF26" s="28"/>
      <c r="BG26" s="3"/>
      <c r="BH26" s="10"/>
      <c r="BI26" s="20">
        <v>0</v>
      </c>
      <c r="BJ26" s="28"/>
      <c r="BK26" s="3"/>
      <c r="BL26" s="10"/>
    </row>
    <row r="27" spans="2:64" x14ac:dyDescent="0.3">
      <c r="B27" s="62">
        <f t="shared" si="10"/>
        <v>50</v>
      </c>
      <c r="C27" s="47">
        <f t="shared" si="0"/>
        <v>0</v>
      </c>
      <c r="D27" s="47">
        <f t="shared" si="1"/>
        <v>6.5</v>
      </c>
      <c r="E27" s="47">
        <f t="shared" si="2"/>
        <v>0</v>
      </c>
      <c r="F27" s="47">
        <f t="shared" si="3"/>
        <v>0</v>
      </c>
      <c r="G27" s="47">
        <f t="shared" si="4"/>
        <v>0</v>
      </c>
      <c r="H27" s="47">
        <f t="shared" si="5"/>
        <v>0</v>
      </c>
      <c r="I27" s="47">
        <f t="shared" si="6"/>
        <v>0</v>
      </c>
      <c r="J27" s="47">
        <f t="shared" si="7"/>
        <v>0</v>
      </c>
      <c r="K27" s="63">
        <f t="shared" si="8"/>
        <v>0</v>
      </c>
      <c r="L27" s="55">
        <f t="shared" si="9"/>
        <v>2.1934934404077184</v>
      </c>
      <c r="N27" s="33">
        <v>8</v>
      </c>
      <c r="O27" s="28">
        <v>699</v>
      </c>
      <c r="P27" s="88" t="s">
        <v>63</v>
      </c>
      <c r="Q27" s="88" t="s">
        <v>56</v>
      </c>
      <c r="R27" s="37"/>
      <c r="S27" s="20"/>
      <c r="T27" s="3"/>
      <c r="U27" s="3">
        <v>1</v>
      </c>
      <c r="V27" s="3">
        <v>13</v>
      </c>
      <c r="W27" s="3">
        <v>6.5</v>
      </c>
      <c r="X27" s="10">
        <v>13</v>
      </c>
      <c r="Y27" s="17">
        <v>0</v>
      </c>
      <c r="Z27" s="2">
        <v>0</v>
      </c>
      <c r="AA27" s="2">
        <v>10</v>
      </c>
      <c r="AB27" s="2">
        <v>4</v>
      </c>
      <c r="AC27" s="3">
        <v>5</v>
      </c>
      <c r="AD27" s="37">
        <v>13</v>
      </c>
      <c r="AE27" s="9"/>
      <c r="AF27" s="2"/>
      <c r="AG27" s="2">
        <v>0</v>
      </c>
      <c r="AH27" s="2"/>
      <c r="AI27" s="3"/>
      <c r="AJ27" s="10"/>
      <c r="AK27" s="28">
        <v>0</v>
      </c>
      <c r="AL27" s="3">
        <v>0</v>
      </c>
      <c r="AM27" s="3">
        <v>0</v>
      </c>
      <c r="AN27" s="10"/>
      <c r="AO27" s="28">
        <v>0</v>
      </c>
      <c r="AP27" s="28"/>
      <c r="AQ27" s="3"/>
      <c r="AR27" s="10"/>
      <c r="AS27" s="20"/>
      <c r="AT27" s="28"/>
      <c r="AU27" s="3"/>
      <c r="AV27" s="10"/>
      <c r="AW27" s="20">
        <v>0</v>
      </c>
      <c r="AX27" s="28"/>
      <c r="AY27" s="3"/>
      <c r="AZ27" s="10"/>
      <c r="BA27" s="20">
        <v>0</v>
      </c>
      <c r="BB27" s="28"/>
      <c r="BC27" s="3"/>
      <c r="BD27" s="10"/>
      <c r="BE27" s="23"/>
      <c r="BF27" s="28"/>
      <c r="BG27" s="3"/>
      <c r="BH27" s="10"/>
      <c r="BI27" s="20">
        <v>0</v>
      </c>
      <c r="BJ27" s="28"/>
      <c r="BK27" s="3"/>
      <c r="BL27" s="10"/>
    </row>
    <row r="28" spans="2:64" x14ac:dyDescent="0.3">
      <c r="B28" s="62">
        <f t="shared" si="10"/>
        <v>9</v>
      </c>
      <c r="C28" s="47">
        <f t="shared" si="0"/>
        <v>55</v>
      </c>
      <c r="D28" s="47">
        <f t="shared" si="1"/>
        <v>0</v>
      </c>
      <c r="E28" s="47">
        <f t="shared" si="2"/>
        <v>0</v>
      </c>
      <c r="F28" s="47">
        <f t="shared" si="3"/>
        <v>0</v>
      </c>
      <c r="G28" s="47">
        <f t="shared" si="4"/>
        <v>0</v>
      </c>
      <c r="H28" s="47">
        <f t="shared" si="5"/>
        <v>0</v>
      </c>
      <c r="I28" s="47">
        <f t="shared" si="6"/>
        <v>0</v>
      </c>
      <c r="J28" s="47">
        <f t="shared" si="7"/>
        <v>0</v>
      </c>
      <c r="K28" s="63">
        <f t="shared" si="8"/>
        <v>0</v>
      </c>
      <c r="L28" s="55">
        <f t="shared" si="9"/>
        <v>1.5952679566601589</v>
      </c>
      <c r="N28" s="33">
        <v>9</v>
      </c>
      <c r="O28" s="28">
        <v>700</v>
      </c>
      <c r="P28" s="88" t="s">
        <v>63</v>
      </c>
      <c r="Q28" s="88" t="s">
        <v>57</v>
      </c>
      <c r="R28" s="37"/>
      <c r="S28" s="20"/>
      <c r="T28" s="3"/>
      <c r="U28" s="3">
        <v>0</v>
      </c>
      <c r="V28" s="3"/>
      <c r="W28" s="3"/>
      <c r="X28" s="10"/>
      <c r="Y28" s="17">
        <v>0</v>
      </c>
      <c r="Z28" s="2">
        <v>0</v>
      </c>
      <c r="AA28" s="2">
        <v>3</v>
      </c>
      <c r="AB28" s="2">
        <v>3</v>
      </c>
      <c r="AC28" s="3">
        <v>3</v>
      </c>
      <c r="AD28" s="37">
        <v>13</v>
      </c>
      <c r="AE28" s="9"/>
      <c r="AF28" s="2"/>
      <c r="AG28" s="2">
        <v>5</v>
      </c>
      <c r="AH28" s="2">
        <v>12</v>
      </c>
      <c r="AI28" s="3">
        <v>11</v>
      </c>
      <c r="AJ28" s="10">
        <v>30</v>
      </c>
      <c r="AK28" s="28">
        <v>0</v>
      </c>
      <c r="AL28" s="3">
        <v>0</v>
      </c>
      <c r="AM28" s="3">
        <v>0</v>
      </c>
      <c r="AN28" s="10"/>
      <c r="AO28" s="28">
        <v>0</v>
      </c>
      <c r="AP28" s="28"/>
      <c r="AQ28" s="3"/>
      <c r="AR28" s="10"/>
      <c r="AS28" s="20"/>
      <c r="AT28" s="28"/>
      <c r="AU28" s="3"/>
      <c r="AV28" s="10"/>
      <c r="AW28" s="20">
        <v>0</v>
      </c>
      <c r="AX28" s="28"/>
      <c r="AY28" s="3"/>
      <c r="AZ28" s="10"/>
      <c r="BA28" s="20">
        <v>0</v>
      </c>
      <c r="BB28" s="28"/>
      <c r="BC28" s="3"/>
      <c r="BD28" s="10"/>
      <c r="BE28" s="23"/>
      <c r="BF28" s="28"/>
      <c r="BG28" s="3"/>
      <c r="BH28" s="10"/>
      <c r="BI28" s="20">
        <v>0</v>
      </c>
      <c r="BJ28" s="28"/>
      <c r="BK28" s="3"/>
      <c r="BL28" s="10"/>
    </row>
    <row r="29" spans="2:64" x14ac:dyDescent="0.3">
      <c r="B29" s="62">
        <f t="shared" si="10"/>
        <v>40.5</v>
      </c>
      <c r="C29" s="47">
        <f t="shared" si="0"/>
        <v>11</v>
      </c>
      <c r="D29" s="47">
        <f t="shared" si="1"/>
        <v>18</v>
      </c>
      <c r="E29" s="47">
        <f t="shared" si="2"/>
        <v>0</v>
      </c>
      <c r="F29" s="47">
        <f t="shared" si="3"/>
        <v>0</v>
      </c>
      <c r="G29" s="47">
        <f t="shared" si="4"/>
        <v>0</v>
      </c>
      <c r="H29" s="47">
        <f t="shared" si="5"/>
        <v>0</v>
      </c>
      <c r="I29" s="47">
        <f t="shared" si="6"/>
        <v>0</v>
      </c>
      <c r="J29" s="47">
        <f t="shared" si="7"/>
        <v>0</v>
      </c>
      <c r="K29" s="63">
        <f t="shared" si="8"/>
        <v>0</v>
      </c>
      <c r="L29" s="55">
        <f t="shared" si="9"/>
        <v>2.5923104295727581</v>
      </c>
      <c r="N29" s="33">
        <v>10</v>
      </c>
      <c r="O29" s="28">
        <v>701</v>
      </c>
      <c r="P29" s="88" t="s">
        <v>63</v>
      </c>
      <c r="Q29" s="88" t="s">
        <v>58</v>
      </c>
      <c r="R29" s="37"/>
      <c r="S29" s="20"/>
      <c r="T29" s="3"/>
      <c r="U29" s="3">
        <v>3</v>
      </c>
      <c r="V29" s="3">
        <v>11</v>
      </c>
      <c r="W29" s="3">
        <v>6</v>
      </c>
      <c r="X29" s="10">
        <v>13</v>
      </c>
      <c r="Y29" s="17">
        <v>0</v>
      </c>
      <c r="Z29" s="2">
        <v>0</v>
      </c>
      <c r="AA29" s="2">
        <v>9</v>
      </c>
      <c r="AB29" s="2">
        <v>4</v>
      </c>
      <c r="AC29" s="3">
        <v>4.5</v>
      </c>
      <c r="AD29" s="37">
        <v>13</v>
      </c>
      <c r="AE29" s="9"/>
      <c r="AF29" s="2"/>
      <c r="AG29" s="2">
        <v>1</v>
      </c>
      <c r="AH29" s="2">
        <v>13</v>
      </c>
      <c r="AI29" s="3">
        <v>11</v>
      </c>
      <c r="AJ29" s="10">
        <v>25</v>
      </c>
      <c r="AK29" s="28">
        <v>0</v>
      </c>
      <c r="AL29" s="3"/>
      <c r="AM29" s="3"/>
      <c r="AN29" s="10"/>
      <c r="AO29" s="28">
        <v>0</v>
      </c>
      <c r="AP29" s="28"/>
      <c r="AQ29" s="3"/>
      <c r="AR29" s="10"/>
      <c r="AS29" s="20"/>
      <c r="AT29" s="28"/>
      <c r="AU29" s="3"/>
      <c r="AV29" s="10"/>
      <c r="AW29" s="20">
        <v>0</v>
      </c>
      <c r="AX29" s="28"/>
      <c r="AY29" s="3"/>
      <c r="AZ29" s="10"/>
      <c r="BA29" s="20">
        <v>0</v>
      </c>
      <c r="BB29" s="28"/>
      <c r="BC29" s="3"/>
      <c r="BD29" s="10"/>
      <c r="BE29" s="23"/>
      <c r="BF29" s="28"/>
      <c r="BG29" s="3"/>
      <c r="BH29" s="10"/>
      <c r="BI29" s="20">
        <v>0</v>
      </c>
      <c r="BJ29" s="28"/>
      <c r="BK29" s="3"/>
      <c r="BL29" s="10"/>
    </row>
    <row r="30" spans="2:64" x14ac:dyDescent="0.3">
      <c r="B30" s="62">
        <f t="shared" si="10"/>
        <v>31.5</v>
      </c>
      <c r="C30" s="47">
        <f t="shared" si="0"/>
        <v>0</v>
      </c>
      <c r="D30" s="47">
        <f t="shared" si="1"/>
        <v>0</v>
      </c>
      <c r="E30" s="47">
        <f t="shared" si="2"/>
        <v>9</v>
      </c>
      <c r="F30" s="47">
        <f t="shared" si="3"/>
        <v>0</v>
      </c>
      <c r="G30" s="47">
        <f t="shared" si="4"/>
        <v>0</v>
      </c>
      <c r="H30" s="47">
        <f t="shared" si="5"/>
        <v>0</v>
      </c>
      <c r="I30" s="47">
        <f t="shared" si="6"/>
        <v>0</v>
      </c>
      <c r="J30" s="47">
        <f t="shared" si="7"/>
        <v>0</v>
      </c>
      <c r="K30" s="63">
        <f t="shared" si="8"/>
        <v>1E-8</v>
      </c>
      <c r="L30" s="55">
        <f t="shared" si="9"/>
        <v>1.9942843543197808</v>
      </c>
      <c r="N30" s="33">
        <v>11</v>
      </c>
      <c r="O30" s="28">
        <v>702</v>
      </c>
      <c r="P30" s="88" t="s">
        <v>63</v>
      </c>
      <c r="Q30" s="88" t="s">
        <v>59</v>
      </c>
      <c r="R30" s="37"/>
      <c r="S30" s="20"/>
      <c r="T30" s="3"/>
      <c r="U30" s="3">
        <v>0</v>
      </c>
      <c r="V30" s="3"/>
      <c r="W30" s="3"/>
      <c r="X30" s="10"/>
      <c r="Y30" s="17">
        <v>0</v>
      </c>
      <c r="Z30" s="2">
        <v>0</v>
      </c>
      <c r="AA30" s="2">
        <v>7</v>
      </c>
      <c r="AB30" s="2">
        <v>5</v>
      </c>
      <c r="AC30" s="3">
        <v>4.5</v>
      </c>
      <c r="AD30" s="37">
        <v>13</v>
      </c>
      <c r="AE30" s="9"/>
      <c r="AF30" s="2"/>
      <c r="AG30" s="2">
        <v>0</v>
      </c>
      <c r="AH30" s="2"/>
      <c r="AI30" s="3"/>
      <c r="AJ30" s="10"/>
      <c r="AK30" s="28">
        <v>3</v>
      </c>
      <c r="AL30" s="3">
        <v>2</v>
      </c>
      <c r="AM30" s="3">
        <v>3</v>
      </c>
      <c r="AN30" s="10">
        <v>5</v>
      </c>
      <c r="AO30" s="28">
        <v>0</v>
      </c>
      <c r="AP30" s="28"/>
      <c r="AQ30" s="3"/>
      <c r="AR30" s="10"/>
      <c r="AS30" s="20"/>
      <c r="AT30" s="28"/>
      <c r="AU30" s="3"/>
      <c r="AV30" s="10"/>
      <c r="AW30" s="20">
        <v>0</v>
      </c>
      <c r="AX30" s="28"/>
      <c r="AY30" s="3"/>
      <c r="AZ30" s="10"/>
      <c r="BA30" s="20">
        <v>0</v>
      </c>
      <c r="BB30" s="28"/>
      <c r="BC30" s="3"/>
      <c r="BD30" s="10"/>
      <c r="BE30" s="23"/>
      <c r="BF30" s="28"/>
      <c r="BG30" s="3"/>
      <c r="BH30" s="10"/>
      <c r="BI30" s="20">
        <v>1E-3</v>
      </c>
      <c r="BJ30" s="28">
        <v>1E-4</v>
      </c>
      <c r="BK30" s="3">
        <v>1.0000000000000001E-5</v>
      </c>
      <c r="BL30" s="10">
        <v>1E-3</v>
      </c>
    </row>
    <row r="31" spans="2:64" x14ac:dyDescent="0.3">
      <c r="B31" s="62">
        <f t="shared" si="10"/>
        <v>24</v>
      </c>
      <c r="C31" s="47">
        <f t="shared" si="0"/>
        <v>10</v>
      </c>
      <c r="D31" s="47">
        <f t="shared" si="1"/>
        <v>12</v>
      </c>
      <c r="E31" s="47">
        <f t="shared" si="2"/>
        <v>0</v>
      </c>
      <c r="F31" s="47">
        <f t="shared" si="3"/>
        <v>0</v>
      </c>
      <c r="G31" s="47">
        <f t="shared" si="4"/>
        <v>0</v>
      </c>
      <c r="H31" s="47">
        <f t="shared" si="5"/>
        <v>0</v>
      </c>
      <c r="I31" s="47">
        <f t="shared" si="6"/>
        <v>0</v>
      </c>
      <c r="J31" s="47">
        <f t="shared" si="7"/>
        <v>0</v>
      </c>
      <c r="K31" s="63">
        <f t="shared" si="8"/>
        <v>0</v>
      </c>
      <c r="L31" s="55">
        <f t="shared" si="9"/>
        <v>2.3929019349902383</v>
      </c>
      <c r="N31" s="33">
        <v>12</v>
      </c>
      <c r="O31" s="28">
        <v>703</v>
      </c>
      <c r="P31" s="88" t="s">
        <v>63</v>
      </c>
      <c r="Q31" s="88" t="s">
        <v>60</v>
      </c>
      <c r="R31" s="37"/>
      <c r="S31" s="20"/>
      <c r="T31" s="3"/>
      <c r="U31" s="3">
        <v>3</v>
      </c>
      <c r="V31" s="3">
        <v>4</v>
      </c>
      <c r="W31" s="3">
        <v>4</v>
      </c>
      <c r="X31" s="10">
        <v>13</v>
      </c>
      <c r="Y31" s="17">
        <v>0</v>
      </c>
      <c r="Z31" s="2">
        <v>0</v>
      </c>
      <c r="AA31" s="2">
        <v>8</v>
      </c>
      <c r="AB31" s="2">
        <v>1</v>
      </c>
      <c r="AC31" s="3">
        <v>3</v>
      </c>
      <c r="AD31" s="37">
        <v>13</v>
      </c>
      <c r="AE31" s="9"/>
      <c r="AF31" s="2"/>
      <c r="AG31" s="2">
        <v>1</v>
      </c>
      <c r="AH31" s="2">
        <v>14</v>
      </c>
      <c r="AI31" s="3">
        <v>10</v>
      </c>
      <c r="AJ31" s="10">
        <v>30</v>
      </c>
      <c r="AK31" s="28">
        <v>0</v>
      </c>
      <c r="AL31" s="3">
        <v>0</v>
      </c>
      <c r="AM31" s="3">
        <v>0</v>
      </c>
      <c r="AN31" s="10"/>
      <c r="AO31" s="28">
        <v>0</v>
      </c>
      <c r="AP31" s="28"/>
      <c r="AQ31" s="3"/>
      <c r="AR31" s="10"/>
      <c r="AS31" s="20"/>
      <c r="AT31" s="28"/>
      <c r="AU31" s="3"/>
      <c r="AV31" s="10"/>
      <c r="AW31" s="20">
        <v>0</v>
      </c>
      <c r="AX31" s="28"/>
      <c r="AY31" s="3"/>
      <c r="AZ31" s="10"/>
      <c r="BA31" s="20">
        <v>0</v>
      </c>
      <c r="BB31" s="28"/>
      <c r="BC31" s="3"/>
      <c r="BD31" s="10"/>
      <c r="BE31" s="23"/>
      <c r="BF31" s="28"/>
      <c r="BG31" s="3"/>
      <c r="BH31" s="10"/>
      <c r="BI31" s="20">
        <v>0</v>
      </c>
      <c r="BJ31" s="28"/>
      <c r="BK31" s="3"/>
      <c r="BL31" s="10"/>
    </row>
    <row r="32" spans="2:64" x14ac:dyDescent="0.3">
      <c r="B32" s="62">
        <f t="shared" si="10"/>
        <v>15</v>
      </c>
      <c r="C32" s="47">
        <f t="shared" si="0"/>
        <v>0</v>
      </c>
      <c r="D32" s="47">
        <f t="shared" si="1"/>
        <v>33</v>
      </c>
      <c r="E32" s="47">
        <f t="shared" si="2"/>
        <v>0</v>
      </c>
      <c r="F32" s="47">
        <f t="shared" si="3"/>
        <v>0</v>
      </c>
      <c r="G32" s="47">
        <f t="shared" si="4"/>
        <v>0</v>
      </c>
      <c r="H32" s="47">
        <f t="shared" si="5"/>
        <v>0</v>
      </c>
      <c r="I32" s="47">
        <f t="shared" si="6"/>
        <v>0</v>
      </c>
      <c r="J32" s="47">
        <f t="shared" si="7"/>
        <v>0</v>
      </c>
      <c r="K32" s="63">
        <f t="shared" si="8"/>
        <v>0</v>
      </c>
      <c r="L32" s="55">
        <f t="shared" si="9"/>
        <v>2.1934934404077184</v>
      </c>
      <c r="N32" s="33">
        <v>13</v>
      </c>
      <c r="O32" s="28">
        <v>704</v>
      </c>
      <c r="P32" s="88" t="s">
        <v>63</v>
      </c>
      <c r="Q32" s="88" t="s">
        <v>61</v>
      </c>
      <c r="R32" s="37"/>
      <c r="S32" s="20"/>
      <c r="T32" s="3"/>
      <c r="U32" s="3">
        <v>6</v>
      </c>
      <c r="V32" s="3">
        <v>8</v>
      </c>
      <c r="W32" s="3">
        <v>5.5</v>
      </c>
      <c r="X32" s="10">
        <v>13</v>
      </c>
      <c r="Y32" s="17">
        <v>0</v>
      </c>
      <c r="Z32" s="2">
        <v>0</v>
      </c>
      <c r="AA32" s="2">
        <v>5</v>
      </c>
      <c r="AB32" s="2">
        <v>3</v>
      </c>
      <c r="AC32" s="3">
        <v>3</v>
      </c>
      <c r="AD32" s="37">
        <v>13</v>
      </c>
      <c r="AE32" s="9"/>
      <c r="AF32" s="2"/>
      <c r="AG32" s="2">
        <v>0</v>
      </c>
      <c r="AH32" s="2"/>
      <c r="AI32" s="3"/>
      <c r="AJ32" s="10"/>
      <c r="AK32" s="28">
        <v>0</v>
      </c>
      <c r="AL32" s="3">
        <v>0</v>
      </c>
      <c r="AM32" s="3">
        <v>0</v>
      </c>
      <c r="AN32" s="10"/>
      <c r="AO32" s="28">
        <v>0</v>
      </c>
      <c r="AP32" s="28"/>
      <c r="AQ32" s="3"/>
      <c r="AR32" s="10"/>
      <c r="AS32" s="20"/>
      <c r="AT32" s="28"/>
      <c r="AU32" s="3"/>
      <c r="AV32" s="10"/>
      <c r="AW32" s="20">
        <v>0</v>
      </c>
      <c r="AX32" s="28"/>
      <c r="AY32" s="3"/>
      <c r="AZ32" s="10"/>
      <c r="BA32" s="20">
        <v>0</v>
      </c>
      <c r="BB32" s="28"/>
      <c r="BC32" s="3"/>
      <c r="BD32" s="10"/>
      <c r="BE32" s="23"/>
      <c r="BF32" s="28"/>
      <c r="BG32" s="3"/>
      <c r="BH32" s="10"/>
      <c r="BI32" s="20">
        <v>0</v>
      </c>
      <c r="BJ32" s="28"/>
      <c r="BK32" s="3"/>
      <c r="BL32" s="10"/>
    </row>
    <row r="33" spans="2:64" x14ac:dyDescent="0.3">
      <c r="B33" s="62">
        <f t="shared" si="10"/>
        <v>15</v>
      </c>
      <c r="C33" s="47">
        <f t="shared" si="0"/>
        <v>0</v>
      </c>
      <c r="D33" s="47">
        <f t="shared" si="1"/>
        <v>22.5</v>
      </c>
      <c r="E33" s="47">
        <f t="shared" si="2"/>
        <v>0</v>
      </c>
      <c r="F33" s="47">
        <f t="shared" si="3"/>
        <v>0</v>
      </c>
      <c r="G33" s="47">
        <f t="shared" si="4"/>
        <v>0</v>
      </c>
      <c r="H33" s="47">
        <f t="shared" si="5"/>
        <v>0</v>
      </c>
      <c r="I33" s="47">
        <f t="shared" si="6"/>
        <v>0</v>
      </c>
      <c r="J33" s="47">
        <f t="shared" si="7"/>
        <v>0</v>
      </c>
      <c r="K33" s="63">
        <f t="shared" si="8"/>
        <v>0</v>
      </c>
      <c r="L33" s="55">
        <f t="shared" si="9"/>
        <v>1.9940849458251986</v>
      </c>
      <c r="N33" s="33">
        <v>14</v>
      </c>
      <c r="O33" s="28">
        <v>705</v>
      </c>
      <c r="P33" s="88" t="s">
        <v>63</v>
      </c>
      <c r="Q33" s="88" t="s">
        <v>62</v>
      </c>
      <c r="R33" s="37"/>
      <c r="S33" s="20"/>
      <c r="T33" s="3"/>
      <c r="U33" s="3">
        <v>5</v>
      </c>
      <c r="V33" s="3">
        <v>5</v>
      </c>
      <c r="W33" s="3">
        <v>4.5</v>
      </c>
      <c r="X33" s="10">
        <v>13</v>
      </c>
      <c r="Y33" s="17">
        <v>0</v>
      </c>
      <c r="Z33" s="2">
        <v>0</v>
      </c>
      <c r="AA33" s="2">
        <v>5</v>
      </c>
      <c r="AB33" s="2">
        <v>1</v>
      </c>
      <c r="AC33" s="3">
        <v>3</v>
      </c>
      <c r="AD33" s="37">
        <v>13</v>
      </c>
      <c r="AE33" s="9"/>
      <c r="AF33" s="2"/>
      <c r="AG33" s="2">
        <v>0</v>
      </c>
      <c r="AH33" s="2"/>
      <c r="AI33" s="3"/>
      <c r="AJ33" s="10"/>
      <c r="AK33" s="28">
        <v>0</v>
      </c>
      <c r="AL33" s="3">
        <v>0</v>
      </c>
      <c r="AM33" s="3">
        <v>0</v>
      </c>
      <c r="AN33" s="10"/>
      <c r="AO33" s="28">
        <v>0</v>
      </c>
      <c r="AP33" s="28"/>
      <c r="AQ33" s="3"/>
      <c r="AR33" s="10"/>
      <c r="AS33" s="20"/>
      <c r="AT33" s="28"/>
      <c r="AU33" s="3"/>
      <c r="AV33" s="10"/>
      <c r="AW33" s="20">
        <v>0</v>
      </c>
      <c r="AX33" s="28"/>
      <c r="AY33" s="3"/>
      <c r="AZ33" s="10"/>
      <c r="BA33" s="20">
        <v>0</v>
      </c>
      <c r="BB33" s="28"/>
      <c r="BC33" s="3"/>
      <c r="BD33" s="10"/>
      <c r="BE33" s="23"/>
      <c r="BF33" s="28"/>
      <c r="BG33" s="3"/>
      <c r="BH33" s="10"/>
      <c r="BI33" s="20">
        <v>0</v>
      </c>
      <c r="BJ33" s="28"/>
      <c r="BK33" s="3"/>
      <c r="BL33" s="10"/>
    </row>
    <row r="34" spans="2:64" x14ac:dyDescent="0.3">
      <c r="B34" s="62">
        <f t="shared" si="10"/>
        <v>45</v>
      </c>
      <c r="C34" s="47">
        <f t="shared" si="0"/>
        <v>0</v>
      </c>
      <c r="D34" s="47">
        <f t="shared" si="1"/>
        <v>15</v>
      </c>
      <c r="E34" s="47">
        <f t="shared" si="2"/>
        <v>0</v>
      </c>
      <c r="F34" s="47">
        <f t="shared" si="3"/>
        <v>0</v>
      </c>
      <c r="G34" s="47">
        <f t="shared" si="4"/>
        <v>0</v>
      </c>
      <c r="H34" s="47">
        <f t="shared" si="5"/>
        <v>0</v>
      </c>
      <c r="I34" s="47">
        <f t="shared" si="6"/>
        <v>0</v>
      </c>
      <c r="J34" s="47">
        <f t="shared" si="7"/>
        <v>0</v>
      </c>
      <c r="K34" s="63">
        <f t="shared" si="8"/>
        <v>0</v>
      </c>
      <c r="L34" s="55">
        <f t="shared" si="9"/>
        <v>2.3929019349902383</v>
      </c>
      <c r="N34" s="33">
        <v>15</v>
      </c>
      <c r="O34" s="28">
        <v>706</v>
      </c>
      <c r="P34" s="88" t="s">
        <v>63</v>
      </c>
      <c r="Q34" s="88" t="s">
        <v>60</v>
      </c>
      <c r="R34" s="37"/>
      <c r="S34" s="20"/>
      <c r="T34" s="3"/>
      <c r="U34" s="3">
        <v>3</v>
      </c>
      <c r="V34" s="3">
        <v>6</v>
      </c>
      <c r="W34" s="3">
        <v>5</v>
      </c>
      <c r="X34" s="10">
        <v>13</v>
      </c>
      <c r="Y34" s="17">
        <v>0</v>
      </c>
      <c r="Z34" s="2">
        <v>0</v>
      </c>
      <c r="AA34" s="2">
        <v>9</v>
      </c>
      <c r="AB34" s="2">
        <v>5</v>
      </c>
      <c r="AC34" s="3">
        <v>5</v>
      </c>
      <c r="AD34" s="37">
        <v>13</v>
      </c>
      <c r="AE34" s="9"/>
      <c r="AF34" s="2"/>
      <c r="AG34" s="2">
        <v>0</v>
      </c>
      <c r="AH34" s="2"/>
      <c r="AI34" s="3"/>
      <c r="AJ34" s="10"/>
      <c r="AK34" s="28">
        <v>0</v>
      </c>
      <c r="AL34" s="3">
        <v>0</v>
      </c>
      <c r="AM34" s="3">
        <v>0</v>
      </c>
      <c r="AN34" s="10"/>
      <c r="AO34" s="28">
        <v>0</v>
      </c>
      <c r="AP34" s="28"/>
      <c r="AQ34" s="3"/>
      <c r="AR34" s="10"/>
      <c r="AS34" s="20"/>
      <c r="AT34" s="28"/>
      <c r="AU34" s="3"/>
      <c r="AV34" s="10"/>
      <c r="AW34" s="20">
        <v>0</v>
      </c>
      <c r="AX34" s="28"/>
      <c r="AY34" s="3"/>
      <c r="AZ34" s="10"/>
      <c r="BA34" s="20">
        <v>0</v>
      </c>
      <c r="BB34" s="28"/>
      <c r="BC34" s="3"/>
      <c r="BD34" s="10"/>
      <c r="BE34" s="23"/>
      <c r="BF34" s="28"/>
      <c r="BG34" s="3"/>
      <c r="BH34" s="10"/>
      <c r="BI34" s="20">
        <v>0</v>
      </c>
      <c r="BJ34" s="28"/>
      <c r="BK34" s="3"/>
      <c r="BL34" s="10"/>
    </row>
    <row r="35" spans="2:64" ht="15" x14ac:dyDescent="0.25">
      <c r="B35" s="62">
        <f t="shared" si="10"/>
        <v>0</v>
      </c>
      <c r="C35" s="47">
        <f t="shared" si="0"/>
        <v>0</v>
      </c>
      <c r="D35" s="47">
        <f t="shared" si="1"/>
        <v>0</v>
      </c>
      <c r="E35" s="47">
        <f t="shared" si="2"/>
        <v>0</v>
      </c>
      <c r="F35" s="47">
        <f t="shared" si="3"/>
        <v>0</v>
      </c>
      <c r="G35" s="47">
        <f t="shared" si="4"/>
        <v>0</v>
      </c>
      <c r="H35" s="47">
        <f t="shared" si="5"/>
        <v>0</v>
      </c>
      <c r="I35" s="47">
        <f t="shared" si="6"/>
        <v>0</v>
      </c>
      <c r="J35" s="47">
        <f t="shared" si="7"/>
        <v>0</v>
      </c>
      <c r="K35" s="63">
        <f t="shared" si="8"/>
        <v>0</v>
      </c>
      <c r="L35" s="55">
        <f t="shared" si="9"/>
        <v>0</v>
      </c>
      <c r="N35" s="33">
        <v>16</v>
      </c>
      <c r="O35" s="28"/>
      <c r="P35" s="88"/>
      <c r="Q35" s="88"/>
      <c r="R35" s="37"/>
      <c r="S35" s="20"/>
      <c r="T35" s="3"/>
      <c r="U35" s="3"/>
      <c r="V35" s="3"/>
      <c r="W35" s="3"/>
      <c r="X35" s="10"/>
      <c r="Y35" s="17"/>
      <c r="Z35" s="2"/>
      <c r="AA35" s="2"/>
      <c r="AB35" s="2"/>
      <c r="AC35" s="3"/>
      <c r="AD35" s="37"/>
      <c r="AE35" s="9"/>
      <c r="AF35" s="2"/>
      <c r="AG35" s="2"/>
      <c r="AH35" s="2"/>
      <c r="AI35" s="3"/>
      <c r="AJ35" s="10"/>
      <c r="AK35" s="28"/>
      <c r="AL35" s="3"/>
      <c r="AM35" s="3"/>
      <c r="AN35" s="10"/>
      <c r="AO35" s="28"/>
      <c r="AP35" s="28"/>
      <c r="AQ35" s="3"/>
      <c r="AR35" s="10"/>
      <c r="AS35" s="20"/>
      <c r="AT35" s="28"/>
      <c r="AU35" s="3"/>
      <c r="AV35" s="10"/>
      <c r="AW35" s="20"/>
      <c r="AX35" s="28"/>
      <c r="AY35" s="3"/>
      <c r="AZ35" s="10"/>
      <c r="BA35" s="20"/>
      <c r="BB35" s="28"/>
      <c r="BC35" s="3"/>
      <c r="BD35" s="10"/>
      <c r="BE35" s="23"/>
      <c r="BF35" s="28"/>
      <c r="BG35" s="3"/>
      <c r="BH35" s="10"/>
      <c r="BI35" s="20"/>
      <c r="BJ35" s="28"/>
      <c r="BK35" s="3"/>
      <c r="BL35" s="10"/>
    </row>
    <row r="36" spans="2:64" ht="15" x14ac:dyDescent="0.25">
      <c r="B36" s="62">
        <f t="shared" si="10"/>
        <v>0</v>
      </c>
      <c r="C36" s="47">
        <f t="shared" si="0"/>
        <v>0</v>
      </c>
      <c r="D36" s="47">
        <f t="shared" si="1"/>
        <v>0</v>
      </c>
      <c r="E36" s="47">
        <f t="shared" si="2"/>
        <v>0</v>
      </c>
      <c r="F36" s="47">
        <f t="shared" si="3"/>
        <v>0</v>
      </c>
      <c r="G36" s="47">
        <f t="shared" si="4"/>
        <v>0</v>
      </c>
      <c r="H36" s="47">
        <f t="shared" si="5"/>
        <v>0</v>
      </c>
      <c r="I36" s="47">
        <f t="shared" si="6"/>
        <v>0</v>
      </c>
      <c r="J36" s="47">
        <f t="shared" si="7"/>
        <v>0</v>
      </c>
      <c r="K36" s="63">
        <f t="shared" si="8"/>
        <v>0</v>
      </c>
      <c r="L36" s="55">
        <f t="shared" si="9"/>
        <v>0</v>
      </c>
      <c r="N36" s="33">
        <v>17</v>
      </c>
      <c r="O36" s="28"/>
      <c r="P36" s="88"/>
      <c r="Q36" s="88"/>
      <c r="R36" s="37"/>
      <c r="S36" s="20"/>
      <c r="T36" s="3"/>
      <c r="U36" s="3"/>
      <c r="V36" s="3"/>
      <c r="W36" s="3"/>
      <c r="X36" s="10"/>
      <c r="Y36" s="17"/>
      <c r="Z36" s="2"/>
      <c r="AA36" s="2"/>
      <c r="AB36" s="2"/>
      <c r="AC36" s="3"/>
      <c r="AD36" s="37"/>
      <c r="AE36" s="9"/>
      <c r="AF36" s="2"/>
      <c r="AG36" s="2"/>
      <c r="AH36" s="2"/>
      <c r="AI36" s="3"/>
      <c r="AJ36" s="10"/>
      <c r="AK36" s="28"/>
      <c r="AL36" s="3"/>
      <c r="AM36" s="3"/>
      <c r="AN36" s="10"/>
      <c r="AO36" s="28"/>
      <c r="AP36" s="28"/>
      <c r="AQ36" s="3"/>
      <c r="AR36" s="10"/>
      <c r="AS36" s="20"/>
      <c r="AT36" s="28"/>
      <c r="AU36" s="3"/>
      <c r="AV36" s="10"/>
      <c r="AW36" s="20"/>
      <c r="AX36" s="28"/>
      <c r="AY36" s="3"/>
      <c r="AZ36" s="10"/>
      <c r="BA36" s="20"/>
      <c r="BB36" s="28"/>
      <c r="BC36" s="3"/>
      <c r="BD36" s="10"/>
      <c r="BE36" s="23"/>
      <c r="BF36" s="28"/>
      <c r="BG36" s="3"/>
      <c r="BH36" s="10"/>
      <c r="BI36" s="20"/>
      <c r="BJ36" s="28"/>
      <c r="BK36" s="3"/>
      <c r="BL36" s="10"/>
    </row>
    <row r="37" spans="2:64" ht="15" x14ac:dyDescent="0.25">
      <c r="B37" s="62">
        <f t="shared" si="10"/>
        <v>0</v>
      </c>
      <c r="C37" s="47">
        <f t="shared" si="0"/>
        <v>0</v>
      </c>
      <c r="D37" s="47">
        <f t="shared" si="1"/>
        <v>0</v>
      </c>
      <c r="E37" s="47">
        <f t="shared" si="2"/>
        <v>0</v>
      </c>
      <c r="F37" s="47">
        <f t="shared" si="3"/>
        <v>0</v>
      </c>
      <c r="G37" s="47">
        <f t="shared" si="4"/>
        <v>0</v>
      </c>
      <c r="H37" s="47">
        <f t="shared" si="5"/>
        <v>0</v>
      </c>
      <c r="I37" s="47">
        <f t="shared" si="6"/>
        <v>0</v>
      </c>
      <c r="J37" s="47">
        <f t="shared" si="7"/>
        <v>0</v>
      </c>
      <c r="K37" s="63">
        <f t="shared" si="8"/>
        <v>0</v>
      </c>
      <c r="L37" s="55">
        <f t="shared" si="9"/>
        <v>0</v>
      </c>
      <c r="N37" s="33">
        <v>18</v>
      </c>
      <c r="O37" s="28"/>
      <c r="P37" s="88"/>
      <c r="Q37" s="88"/>
      <c r="R37" s="37"/>
      <c r="S37" s="20"/>
      <c r="T37" s="3"/>
      <c r="U37" s="3"/>
      <c r="V37" s="3"/>
      <c r="W37" s="3"/>
      <c r="X37" s="10"/>
      <c r="Y37" s="17"/>
      <c r="Z37" s="2"/>
      <c r="AA37" s="2"/>
      <c r="AB37" s="2"/>
      <c r="AC37" s="3"/>
      <c r="AD37" s="37"/>
      <c r="AE37" s="9"/>
      <c r="AF37" s="2"/>
      <c r="AG37" s="2"/>
      <c r="AH37" s="2"/>
      <c r="AI37" s="3"/>
      <c r="AJ37" s="10"/>
      <c r="AK37" s="28"/>
      <c r="AL37" s="3"/>
      <c r="AM37" s="3"/>
      <c r="AN37" s="10"/>
      <c r="AO37" s="28"/>
      <c r="AP37" s="28"/>
      <c r="AQ37" s="3"/>
      <c r="AR37" s="10"/>
      <c r="AS37" s="20"/>
      <c r="AT37" s="28"/>
      <c r="AU37" s="3"/>
      <c r="AV37" s="10"/>
      <c r="AW37" s="20"/>
      <c r="AX37" s="28"/>
      <c r="AY37" s="3"/>
      <c r="AZ37" s="10"/>
      <c r="BA37" s="20"/>
      <c r="BB37" s="28"/>
      <c r="BC37" s="3"/>
      <c r="BD37" s="10"/>
      <c r="BE37" s="23"/>
      <c r="BF37" s="28"/>
      <c r="BG37" s="3"/>
      <c r="BH37" s="10"/>
      <c r="BI37" s="20"/>
      <c r="BJ37" s="28"/>
      <c r="BK37" s="3"/>
      <c r="BL37" s="10"/>
    </row>
    <row r="38" spans="2:64" ht="15" x14ac:dyDescent="0.25">
      <c r="B38" s="62">
        <f t="shared" si="10"/>
        <v>0</v>
      </c>
      <c r="C38" s="47">
        <f t="shared" si="0"/>
        <v>0</v>
      </c>
      <c r="D38" s="47">
        <f t="shared" si="1"/>
        <v>0</v>
      </c>
      <c r="E38" s="47">
        <f t="shared" si="2"/>
        <v>0</v>
      </c>
      <c r="F38" s="47">
        <f t="shared" si="3"/>
        <v>0</v>
      </c>
      <c r="G38" s="47">
        <f t="shared" si="4"/>
        <v>0</v>
      </c>
      <c r="H38" s="47">
        <f t="shared" si="5"/>
        <v>0</v>
      </c>
      <c r="I38" s="47">
        <f t="shared" si="6"/>
        <v>0</v>
      </c>
      <c r="J38" s="47">
        <f t="shared" si="7"/>
        <v>0</v>
      </c>
      <c r="K38" s="63">
        <f t="shared" si="8"/>
        <v>0</v>
      </c>
      <c r="L38" s="55">
        <f t="shared" si="9"/>
        <v>0</v>
      </c>
      <c r="N38" s="33">
        <v>19</v>
      </c>
      <c r="O38" s="28"/>
      <c r="P38" s="88"/>
      <c r="Q38" s="88"/>
      <c r="R38" s="37"/>
      <c r="S38" s="20"/>
      <c r="T38" s="3"/>
      <c r="U38" s="3"/>
      <c r="V38" s="3"/>
      <c r="W38" s="3"/>
      <c r="X38" s="10"/>
      <c r="Y38" s="17"/>
      <c r="Z38" s="2"/>
      <c r="AA38" s="2"/>
      <c r="AB38" s="2"/>
      <c r="AC38" s="3"/>
      <c r="AD38" s="37"/>
      <c r="AE38" s="9"/>
      <c r="AF38" s="2"/>
      <c r="AG38" s="2"/>
      <c r="AH38" s="2"/>
      <c r="AI38" s="3"/>
      <c r="AJ38" s="10"/>
      <c r="AK38" s="28"/>
      <c r="AL38" s="3"/>
      <c r="AM38" s="3"/>
      <c r="AN38" s="10"/>
      <c r="AO38" s="28"/>
      <c r="AP38" s="28"/>
      <c r="AQ38" s="3"/>
      <c r="AR38" s="10"/>
      <c r="AS38" s="20"/>
      <c r="AT38" s="28"/>
      <c r="AU38" s="3"/>
      <c r="AV38" s="10"/>
      <c r="AW38" s="20"/>
      <c r="AX38" s="28"/>
      <c r="AY38" s="3"/>
      <c r="AZ38" s="10"/>
      <c r="BA38" s="20"/>
      <c r="BB38" s="28"/>
      <c r="BC38" s="3"/>
      <c r="BD38" s="10"/>
      <c r="BE38" s="23"/>
      <c r="BF38" s="28"/>
      <c r="BG38" s="3"/>
      <c r="BH38" s="10"/>
      <c r="BI38" s="20"/>
      <c r="BJ38" s="28"/>
      <c r="BK38" s="3"/>
      <c r="BL38" s="10"/>
    </row>
    <row r="39" spans="2:64" ht="15" x14ac:dyDescent="0.25">
      <c r="B39" s="62">
        <f t="shared" si="10"/>
        <v>0</v>
      </c>
      <c r="C39" s="47">
        <f t="shared" si="0"/>
        <v>0</v>
      </c>
      <c r="D39" s="47">
        <f t="shared" si="1"/>
        <v>0</v>
      </c>
      <c r="E39" s="47">
        <f t="shared" si="2"/>
        <v>0</v>
      </c>
      <c r="F39" s="47">
        <f t="shared" si="3"/>
        <v>0</v>
      </c>
      <c r="G39" s="47">
        <f t="shared" si="4"/>
        <v>0</v>
      </c>
      <c r="H39" s="47">
        <f t="shared" si="5"/>
        <v>0</v>
      </c>
      <c r="I39" s="47">
        <f t="shared" si="6"/>
        <v>0</v>
      </c>
      <c r="J39" s="47">
        <f t="shared" si="7"/>
        <v>0</v>
      </c>
      <c r="K39" s="63">
        <f t="shared" si="8"/>
        <v>0</v>
      </c>
      <c r="L39" s="55">
        <f t="shared" si="9"/>
        <v>0</v>
      </c>
      <c r="N39" s="33">
        <v>20</v>
      </c>
      <c r="O39" s="28"/>
      <c r="P39" s="88"/>
      <c r="Q39" s="88"/>
      <c r="R39" s="37"/>
      <c r="S39" s="20"/>
      <c r="T39" s="3"/>
      <c r="U39" s="3"/>
      <c r="V39" s="3"/>
      <c r="W39" s="3"/>
      <c r="X39" s="10"/>
      <c r="Y39" s="17"/>
      <c r="Z39" s="2"/>
      <c r="AA39" s="2"/>
      <c r="AB39" s="2"/>
      <c r="AC39" s="3"/>
      <c r="AD39" s="37"/>
      <c r="AE39" s="9"/>
      <c r="AF39" s="2"/>
      <c r="AG39" s="2"/>
      <c r="AH39" s="2"/>
      <c r="AI39" s="3"/>
      <c r="AJ39" s="10"/>
      <c r="AK39" s="28"/>
      <c r="AL39" s="3"/>
      <c r="AM39" s="3"/>
      <c r="AN39" s="10"/>
      <c r="AO39" s="28"/>
      <c r="AP39" s="28"/>
      <c r="AQ39" s="3"/>
      <c r="AR39" s="10"/>
      <c r="AS39" s="20"/>
      <c r="AT39" s="28"/>
      <c r="AU39" s="3"/>
      <c r="AV39" s="10"/>
      <c r="AW39" s="20"/>
      <c r="AX39" s="28"/>
      <c r="AY39" s="3"/>
      <c r="AZ39" s="10"/>
      <c r="BA39" s="20"/>
      <c r="BB39" s="28"/>
      <c r="BC39" s="3"/>
      <c r="BD39" s="10"/>
      <c r="BE39" s="23"/>
      <c r="BF39" s="28"/>
      <c r="BG39" s="3"/>
      <c r="BH39" s="10"/>
      <c r="BI39" s="20"/>
      <c r="BJ39" s="28"/>
      <c r="BK39" s="3"/>
      <c r="BL39" s="10"/>
    </row>
    <row r="40" spans="2:64" ht="15" x14ac:dyDescent="0.25">
      <c r="B40" s="62">
        <f t="shared" si="10"/>
        <v>0</v>
      </c>
      <c r="C40" s="47">
        <f t="shared" si="0"/>
        <v>0</v>
      </c>
      <c r="D40" s="47">
        <f t="shared" si="1"/>
        <v>0</v>
      </c>
      <c r="E40" s="47">
        <f t="shared" si="2"/>
        <v>0</v>
      </c>
      <c r="F40" s="47">
        <f t="shared" si="3"/>
        <v>0</v>
      </c>
      <c r="G40" s="47">
        <f t="shared" si="4"/>
        <v>0</v>
      </c>
      <c r="H40" s="47">
        <f t="shared" si="5"/>
        <v>0</v>
      </c>
      <c r="I40" s="47">
        <f t="shared" si="6"/>
        <v>0</v>
      </c>
      <c r="J40" s="47">
        <f t="shared" si="7"/>
        <v>0</v>
      </c>
      <c r="K40" s="63">
        <f t="shared" si="8"/>
        <v>0</v>
      </c>
      <c r="L40" s="55">
        <f t="shared" si="9"/>
        <v>0</v>
      </c>
      <c r="N40" s="33">
        <v>21</v>
      </c>
      <c r="O40" s="28"/>
      <c r="P40" s="88"/>
      <c r="Q40" s="88"/>
      <c r="R40" s="37"/>
      <c r="S40" s="20"/>
      <c r="T40" s="3"/>
      <c r="U40" s="3"/>
      <c r="V40" s="3"/>
      <c r="W40" s="3"/>
      <c r="X40" s="10"/>
      <c r="Y40" s="17"/>
      <c r="Z40" s="2"/>
      <c r="AA40" s="2"/>
      <c r="AB40" s="2"/>
      <c r="AC40" s="3"/>
      <c r="AD40" s="37"/>
      <c r="AE40" s="9"/>
      <c r="AF40" s="2"/>
      <c r="AG40" s="2"/>
      <c r="AH40" s="2"/>
      <c r="AI40" s="3"/>
      <c r="AJ40" s="10"/>
      <c r="AK40" s="28"/>
      <c r="AL40" s="3"/>
      <c r="AM40" s="3"/>
      <c r="AN40" s="10"/>
      <c r="AO40" s="28"/>
      <c r="AP40" s="28"/>
      <c r="AQ40" s="3"/>
      <c r="AR40" s="10"/>
      <c r="AS40" s="20"/>
      <c r="AT40" s="28"/>
      <c r="AU40" s="3"/>
      <c r="AV40" s="10"/>
      <c r="AW40" s="20"/>
      <c r="AX40" s="28"/>
      <c r="AY40" s="3"/>
      <c r="AZ40" s="10"/>
      <c r="BA40" s="20"/>
      <c r="BB40" s="28"/>
      <c r="BC40" s="3"/>
      <c r="BD40" s="10"/>
      <c r="BE40" s="23"/>
      <c r="BF40" s="28"/>
      <c r="BG40" s="3"/>
      <c r="BH40" s="10"/>
      <c r="BI40" s="20"/>
      <c r="BJ40" s="28"/>
      <c r="BK40" s="3"/>
      <c r="BL40" s="10"/>
    </row>
    <row r="41" spans="2:64" ht="15" x14ac:dyDescent="0.25">
      <c r="B41" s="62">
        <f t="shared" si="10"/>
        <v>0</v>
      </c>
      <c r="C41" s="47">
        <f t="shared" si="0"/>
        <v>0</v>
      </c>
      <c r="D41" s="47">
        <f t="shared" si="1"/>
        <v>0</v>
      </c>
      <c r="E41" s="47">
        <f t="shared" si="2"/>
        <v>0</v>
      </c>
      <c r="F41" s="47">
        <f t="shared" si="3"/>
        <v>0</v>
      </c>
      <c r="G41" s="47">
        <f t="shared" si="4"/>
        <v>0</v>
      </c>
      <c r="H41" s="47">
        <f t="shared" si="5"/>
        <v>0</v>
      </c>
      <c r="I41" s="47">
        <f t="shared" si="6"/>
        <v>0</v>
      </c>
      <c r="J41" s="47">
        <f t="shared" si="7"/>
        <v>0</v>
      </c>
      <c r="K41" s="63">
        <f t="shared" si="8"/>
        <v>0</v>
      </c>
      <c r="L41" s="55">
        <f t="shared" si="9"/>
        <v>0</v>
      </c>
      <c r="N41" s="33">
        <v>22</v>
      </c>
      <c r="O41" s="28"/>
      <c r="P41" s="88"/>
      <c r="Q41" s="88"/>
      <c r="R41" s="37"/>
      <c r="S41" s="20"/>
      <c r="T41" s="3"/>
      <c r="U41" s="3"/>
      <c r="V41" s="3"/>
      <c r="W41" s="3"/>
      <c r="X41" s="10"/>
      <c r="Y41" s="17"/>
      <c r="Z41" s="2"/>
      <c r="AA41" s="2"/>
      <c r="AB41" s="2"/>
      <c r="AC41" s="3"/>
      <c r="AD41" s="37"/>
      <c r="AE41" s="9"/>
      <c r="AF41" s="2"/>
      <c r="AG41" s="2"/>
      <c r="AH41" s="2"/>
      <c r="AI41" s="3"/>
      <c r="AJ41" s="10"/>
      <c r="AK41" s="28"/>
      <c r="AL41" s="3"/>
      <c r="AM41" s="3"/>
      <c r="AN41" s="10"/>
      <c r="AO41" s="28"/>
      <c r="AP41" s="28"/>
      <c r="AQ41" s="3"/>
      <c r="AR41" s="10"/>
      <c r="AS41" s="20"/>
      <c r="AT41" s="28"/>
      <c r="AU41" s="3"/>
      <c r="AV41" s="10"/>
      <c r="AW41" s="20"/>
      <c r="AX41" s="28"/>
      <c r="AY41" s="3"/>
      <c r="AZ41" s="10"/>
      <c r="BA41" s="20"/>
      <c r="BB41" s="28"/>
      <c r="BC41" s="3"/>
      <c r="BD41" s="10"/>
      <c r="BE41" s="23"/>
      <c r="BF41" s="28"/>
      <c r="BG41" s="3"/>
      <c r="BH41" s="10"/>
      <c r="BI41" s="20"/>
      <c r="BJ41" s="28"/>
      <c r="BK41" s="3"/>
      <c r="BL41" s="10"/>
    </row>
    <row r="42" spans="2:64" ht="15" x14ac:dyDescent="0.25">
      <c r="B42" s="62">
        <f t="shared" si="10"/>
        <v>0</v>
      </c>
      <c r="C42" s="47">
        <f t="shared" si="0"/>
        <v>0</v>
      </c>
      <c r="D42" s="47">
        <f t="shared" si="1"/>
        <v>0</v>
      </c>
      <c r="E42" s="47">
        <f t="shared" si="2"/>
        <v>0</v>
      </c>
      <c r="F42" s="47">
        <f t="shared" si="3"/>
        <v>0</v>
      </c>
      <c r="G42" s="47">
        <f t="shared" si="4"/>
        <v>0</v>
      </c>
      <c r="H42" s="47">
        <f t="shared" si="5"/>
        <v>0</v>
      </c>
      <c r="I42" s="47">
        <f t="shared" si="6"/>
        <v>0</v>
      </c>
      <c r="J42" s="47">
        <f t="shared" si="7"/>
        <v>0</v>
      </c>
      <c r="K42" s="63">
        <f t="shared" si="8"/>
        <v>0</v>
      </c>
      <c r="L42" s="55">
        <f t="shared" si="9"/>
        <v>0</v>
      </c>
      <c r="N42" s="33">
        <v>23</v>
      </c>
      <c r="O42" s="28"/>
      <c r="P42" s="88"/>
      <c r="Q42" s="88"/>
      <c r="R42" s="37"/>
      <c r="S42" s="20"/>
      <c r="T42" s="3"/>
      <c r="U42" s="3"/>
      <c r="V42" s="3"/>
      <c r="W42" s="3"/>
      <c r="X42" s="10"/>
      <c r="Y42" s="17"/>
      <c r="Z42" s="2"/>
      <c r="AA42" s="2"/>
      <c r="AB42" s="2"/>
      <c r="AC42" s="3"/>
      <c r="AD42" s="37"/>
      <c r="AE42" s="9"/>
      <c r="AF42" s="2"/>
      <c r="AG42" s="2"/>
      <c r="AH42" s="2"/>
      <c r="AI42" s="3"/>
      <c r="AJ42" s="10"/>
      <c r="AK42" s="28"/>
      <c r="AL42" s="3"/>
      <c r="AM42" s="3"/>
      <c r="AN42" s="10"/>
      <c r="AO42" s="28"/>
      <c r="AP42" s="28"/>
      <c r="AQ42" s="3"/>
      <c r="AR42" s="10"/>
      <c r="AS42" s="20"/>
      <c r="AT42" s="28"/>
      <c r="AU42" s="3"/>
      <c r="AV42" s="10"/>
      <c r="AW42" s="20"/>
      <c r="AX42" s="28"/>
      <c r="AY42" s="3"/>
      <c r="AZ42" s="10"/>
      <c r="BA42" s="20"/>
      <c r="BB42" s="28"/>
      <c r="BC42" s="3"/>
      <c r="BD42" s="10"/>
      <c r="BE42" s="23"/>
      <c r="BF42" s="28"/>
      <c r="BG42" s="3"/>
      <c r="BH42" s="10"/>
      <c r="BI42" s="20"/>
      <c r="BJ42" s="28"/>
      <c r="BK42" s="3"/>
      <c r="BL42" s="10"/>
    </row>
    <row r="43" spans="2:64" x14ac:dyDescent="0.3">
      <c r="B43" s="62">
        <f t="shared" si="10"/>
        <v>0</v>
      </c>
      <c r="C43" s="47">
        <f t="shared" si="0"/>
        <v>0</v>
      </c>
      <c r="D43" s="47">
        <f t="shared" si="1"/>
        <v>0</v>
      </c>
      <c r="E43" s="47">
        <f t="shared" si="2"/>
        <v>0</v>
      </c>
      <c r="F43" s="47">
        <f t="shared" si="3"/>
        <v>0</v>
      </c>
      <c r="G43" s="47">
        <f t="shared" si="4"/>
        <v>0</v>
      </c>
      <c r="H43" s="47">
        <f t="shared" si="5"/>
        <v>0</v>
      </c>
      <c r="I43" s="47">
        <f t="shared" si="6"/>
        <v>0</v>
      </c>
      <c r="J43" s="47">
        <f t="shared" si="7"/>
        <v>0</v>
      </c>
      <c r="K43" s="63">
        <f t="shared" si="8"/>
        <v>0</v>
      </c>
      <c r="L43" s="55">
        <f t="shared" si="9"/>
        <v>0</v>
      </c>
      <c r="N43" s="33">
        <v>24</v>
      </c>
      <c r="O43" s="28"/>
      <c r="P43" s="88"/>
      <c r="Q43" s="88"/>
      <c r="R43" s="37"/>
      <c r="S43" s="20"/>
      <c r="T43" s="3"/>
      <c r="U43" s="3"/>
      <c r="V43" s="3"/>
      <c r="W43" s="3"/>
      <c r="X43" s="10"/>
      <c r="Y43" s="17"/>
      <c r="Z43" s="2"/>
      <c r="AA43" s="2"/>
      <c r="AB43" s="2"/>
      <c r="AC43" s="3"/>
      <c r="AD43" s="37"/>
      <c r="AE43" s="9"/>
      <c r="AF43" s="2"/>
      <c r="AG43" s="2"/>
      <c r="AH43" s="2"/>
      <c r="AI43" s="3"/>
      <c r="AJ43" s="10"/>
      <c r="AK43" s="28"/>
      <c r="AL43" s="3"/>
      <c r="AM43" s="3"/>
      <c r="AN43" s="10"/>
      <c r="AO43" s="28"/>
      <c r="AP43" s="28"/>
      <c r="AQ43" s="3"/>
      <c r="AR43" s="10"/>
      <c r="AS43" s="20"/>
      <c r="AT43" s="28"/>
      <c r="AU43" s="3"/>
      <c r="AV43" s="10"/>
      <c r="AW43" s="20"/>
      <c r="AX43" s="28"/>
      <c r="AY43" s="3"/>
      <c r="AZ43" s="10"/>
      <c r="BA43" s="20"/>
      <c r="BB43" s="28"/>
      <c r="BC43" s="3"/>
      <c r="BD43" s="10"/>
      <c r="BE43" s="23"/>
      <c r="BF43" s="28"/>
      <c r="BG43" s="3"/>
      <c r="BH43" s="10"/>
      <c r="BI43" s="20"/>
      <c r="BJ43" s="28"/>
      <c r="BK43" s="3"/>
      <c r="BL43" s="10"/>
    </row>
    <row r="44" spans="2:64" x14ac:dyDescent="0.3">
      <c r="B44" s="62">
        <f t="shared" si="10"/>
        <v>0</v>
      </c>
      <c r="C44" s="47">
        <f t="shared" si="0"/>
        <v>0</v>
      </c>
      <c r="D44" s="47">
        <f t="shared" si="1"/>
        <v>0</v>
      </c>
      <c r="E44" s="47">
        <f t="shared" si="2"/>
        <v>0</v>
      </c>
      <c r="F44" s="47">
        <f t="shared" si="3"/>
        <v>0</v>
      </c>
      <c r="G44" s="47">
        <f t="shared" si="4"/>
        <v>0</v>
      </c>
      <c r="H44" s="47">
        <f t="shared" si="5"/>
        <v>0</v>
      </c>
      <c r="I44" s="47">
        <f t="shared" si="6"/>
        <v>0</v>
      </c>
      <c r="J44" s="47">
        <f t="shared" si="7"/>
        <v>0</v>
      </c>
      <c r="K44" s="63">
        <f t="shared" si="8"/>
        <v>0</v>
      </c>
      <c r="L44" s="55">
        <f t="shared" si="9"/>
        <v>0</v>
      </c>
      <c r="N44" s="33">
        <v>25</v>
      </c>
      <c r="O44" s="28"/>
      <c r="P44" s="88"/>
      <c r="Q44" s="88"/>
      <c r="R44" s="37"/>
      <c r="S44" s="20"/>
      <c r="T44" s="3"/>
      <c r="U44" s="3"/>
      <c r="V44" s="3"/>
      <c r="W44" s="3"/>
      <c r="X44" s="10"/>
      <c r="Y44" s="17"/>
      <c r="Z44" s="2"/>
      <c r="AA44" s="2"/>
      <c r="AB44" s="2"/>
      <c r="AC44" s="3"/>
      <c r="AD44" s="37"/>
      <c r="AE44" s="9"/>
      <c r="AF44" s="2"/>
      <c r="AG44" s="2"/>
      <c r="AH44" s="2"/>
      <c r="AI44" s="3"/>
      <c r="AJ44" s="10"/>
      <c r="AK44" s="28"/>
      <c r="AL44" s="3"/>
      <c r="AM44" s="3"/>
      <c r="AN44" s="10"/>
      <c r="AO44" s="28"/>
      <c r="AP44" s="28"/>
      <c r="AQ44" s="3"/>
      <c r="AR44" s="10"/>
      <c r="AS44" s="20"/>
      <c r="AT44" s="28"/>
      <c r="AU44" s="3"/>
      <c r="AV44" s="10"/>
      <c r="AW44" s="20"/>
      <c r="AX44" s="28"/>
      <c r="AY44" s="3"/>
      <c r="AZ44" s="10"/>
      <c r="BA44" s="20"/>
      <c r="BB44" s="28"/>
      <c r="BC44" s="3"/>
      <c r="BD44" s="10"/>
      <c r="BE44" s="23"/>
      <c r="BF44" s="28"/>
      <c r="BG44" s="3"/>
      <c r="BH44" s="10"/>
      <c r="BI44" s="20"/>
      <c r="BJ44" s="28"/>
      <c r="BK44" s="3"/>
      <c r="BL44" s="10"/>
    </row>
    <row r="45" spans="2:64" x14ac:dyDescent="0.3">
      <c r="B45" s="62">
        <f t="shared" si="10"/>
        <v>0</v>
      </c>
      <c r="C45" s="47">
        <f t="shared" si="0"/>
        <v>0</v>
      </c>
      <c r="D45" s="47">
        <f t="shared" si="1"/>
        <v>0</v>
      </c>
      <c r="E45" s="47">
        <f t="shared" si="2"/>
        <v>0</v>
      </c>
      <c r="F45" s="47">
        <f t="shared" si="3"/>
        <v>0</v>
      </c>
      <c r="G45" s="47">
        <f t="shared" si="4"/>
        <v>0</v>
      </c>
      <c r="H45" s="47">
        <f t="shared" si="5"/>
        <v>0</v>
      </c>
      <c r="I45" s="47">
        <f t="shared" si="6"/>
        <v>0</v>
      </c>
      <c r="J45" s="47">
        <f t="shared" si="7"/>
        <v>0</v>
      </c>
      <c r="K45" s="63">
        <f t="shared" si="8"/>
        <v>0</v>
      </c>
      <c r="L45" s="55">
        <f t="shared" si="9"/>
        <v>0</v>
      </c>
      <c r="N45" s="33">
        <v>26</v>
      </c>
      <c r="O45" s="28"/>
      <c r="P45" s="88"/>
      <c r="Q45" s="88"/>
      <c r="R45" s="37"/>
      <c r="S45" s="20"/>
      <c r="T45" s="3"/>
      <c r="U45" s="3"/>
      <c r="V45" s="3"/>
      <c r="W45" s="3"/>
      <c r="X45" s="10"/>
      <c r="Y45" s="17"/>
      <c r="Z45" s="2"/>
      <c r="AA45" s="2"/>
      <c r="AB45" s="2"/>
      <c r="AC45" s="3"/>
      <c r="AD45" s="37"/>
      <c r="AE45" s="9"/>
      <c r="AF45" s="2"/>
      <c r="AG45" s="2"/>
      <c r="AH45" s="2"/>
      <c r="AI45" s="3"/>
      <c r="AJ45" s="10"/>
      <c r="AK45" s="28"/>
      <c r="AL45" s="3"/>
      <c r="AM45" s="3"/>
      <c r="AN45" s="10"/>
      <c r="AO45" s="28"/>
      <c r="AP45" s="28"/>
      <c r="AQ45" s="3"/>
      <c r="AR45" s="10"/>
      <c r="AS45" s="20"/>
      <c r="AT45" s="28"/>
      <c r="AU45" s="3"/>
      <c r="AV45" s="10"/>
      <c r="AW45" s="20"/>
      <c r="AX45" s="28"/>
      <c r="AY45" s="3"/>
      <c r="AZ45" s="10"/>
      <c r="BA45" s="20"/>
      <c r="BB45" s="28"/>
      <c r="BC45" s="3"/>
      <c r="BD45" s="10"/>
      <c r="BE45" s="23"/>
      <c r="BF45" s="28"/>
      <c r="BG45" s="3"/>
      <c r="BH45" s="10"/>
      <c r="BI45" s="20"/>
      <c r="BJ45" s="28"/>
      <c r="BK45" s="3"/>
      <c r="BL45" s="10"/>
    </row>
    <row r="46" spans="2:64" x14ac:dyDescent="0.3">
      <c r="B46" s="62">
        <f t="shared" si="10"/>
        <v>0</v>
      </c>
      <c r="C46" s="47">
        <f t="shared" si="0"/>
        <v>0</v>
      </c>
      <c r="D46" s="47">
        <f t="shared" si="1"/>
        <v>0</v>
      </c>
      <c r="E46" s="47">
        <f t="shared" si="2"/>
        <v>0</v>
      </c>
      <c r="F46" s="47">
        <f t="shared" si="3"/>
        <v>0</v>
      </c>
      <c r="G46" s="47">
        <f t="shared" si="4"/>
        <v>0</v>
      </c>
      <c r="H46" s="47">
        <f t="shared" si="5"/>
        <v>0</v>
      </c>
      <c r="I46" s="47">
        <f t="shared" si="6"/>
        <v>0</v>
      </c>
      <c r="J46" s="47">
        <f t="shared" si="7"/>
        <v>0</v>
      </c>
      <c r="K46" s="63">
        <f t="shared" si="8"/>
        <v>0</v>
      </c>
      <c r="L46" s="55">
        <f t="shared" si="9"/>
        <v>0</v>
      </c>
      <c r="N46" s="33">
        <v>27</v>
      </c>
      <c r="O46" s="28"/>
      <c r="P46" s="88"/>
      <c r="Q46" s="88"/>
      <c r="R46" s="37"/>
      <c r="S46" s="20"/>
      <c r="T46" s="3"/>
      <c r="U46" s="3"/>
      <c r="V46" s="3"/>
      <c r="W46" s="3"/>
      <c r="X46" s="10"/>
      <c r="Y46" s="17"/>
      <c r="Z46" s="2"/>
      <c r="AA46" s="2"/>
      <c r="AB46" s="2"/>
      <c r="AC46" s="3"/>
      <c r="AD46" s="37"/>
      <c r="AE46" s="9"/>
      <c r="AF46" s="2"/>
      <c r="AG46" s="2"/>
      <c r="AH46" s="2"/>
      <c r="AI46" s="3"/>
      <c r="AJ46" s="10"/>
      <c r="AK46" s="28"/>
      <c r="AL46" s="3"/>
      <c r="AM46" s="3"/>
      <c r="AN46" s="10"/>
      <c r="AO46" s="28"/>
      <c r="AP46" s="28"/>
      <c r="AQ46" s="3"/>
      <c r="AR46" s="10"/>
      <c r="AS46" s="20"/>
      <c r="AT46" s="28"/>
      <c r="AU46" s="3"/>
      <c r="AV46" s="10"/>
      <c r="AW46" s="20"/>
      <c r="AX46" s="28"/>
      <c r="AY46" s="3"/>
      <c r="AZ46" s="10"/>
      <c r="BA46" s="20"/>
      <c r="BB46" s="28"/>
      <c r="BC46" s="3"/>
      <c r="BD46" s="10"/>
      <c r="BE46" s="23"/>
      <c r="BF46" s="28"/>
      <c r="BG46" s="3"/>
      <c r="BH46" s="10"/>
      <c r="BI46" s="20"/>
      <c r="BJ46" s="28"/>
      <c r="BK46" s="3"/>
      <c r="BL46" s="10"/>
    </row>
    <row r="47" spans="2:64" x14ac:dyDescent="0.3">
      <c r="B47" s="62">
        <f t="shared" si="10"/>
        <v>0</v>
      </c>
      <c r="C47" s="47">
        <f t="shared" si="0"/>
        <v>0</v>
      </c>
      <c r="D47" s="47">
        <f t="shared" si="1"/>
        <v>0</v>
      </c>
      <c r="E47" s="47">
        <f t="shared" si="2"/>
        <v>0</v>
      </c>
      <c r="F47" s="47">
        <f t="shared" si="3"/>
        <v>0</v>
      </c>
      <c r="G47" s="47">
        <f t="shared" si="4"/>
        <v>0</v>
      </c>
      <c r="H47" s="47">
        <f t="shared" si="5"/>
        <v>0</v>
      </c>
      <c r="I47" s="47">
        <f t="shared" si="6"/>
        <v>0</v>
      </c>
      <c r="J47" s="47">
        <f t="shared" si="7"/>
        <v>0</v>
      </c>
      <c r="K47" s="63">
        <f t="shared" si="8"/>
        <v>0</v>
      </c>
      <c r="L47" s="55">
        <f t="shared" si="9"/>
        <v>0</v>
      </c>
      <c r="N47" s="33">
        <v>28</v>
      </c>
      <c r="O47" s="28"/>
      <c r="P47" s="88"/>
      <c r="Q47" s="88"/>
      <c r="R47" s="37"/>
      <c r="S47" s="20"/>
      <c r="T47" s="3"/>
      <c r="U47" s="3"/>
      <c r="V47" s="3"/>
      <c r="W47" s="3"/>
      <c r="X47" s="10"/>
      <c r="Y47" s="17"/>
      <c r="Z47" s="2"/>
      <c r="AA47" s="2"/>
      <c r="AB47" s="2"/>
      <c r="AC47" s="3"/>
      <c r="AD47" s="37"/>
      <c r="AE47" s="9"/>
      <c r="AF47" s="2"/>
      <c r="AG47" s="2"/>
      <c r="AH47" s="2"/>
      <c r="AI47" s="3"/>
      <c r="AJ47" s="10"/>
      <c r="AK47" s="28"/>
      <c r="AL47" s="3"/>
      <c r="AM47" s="3"/>
      <c r="AN47" s="10"/>
      <c r="AO47" s="28"/>
      <c r="AP47" s="28"/>
      <c r="AQ47" s="3"/>
      <c r="AR47" s="10"/>
      <c r="AS47" s="20"/>
      <c r="AT47" s="28"/>
      <c r="AU47" s="3"/>
      <c r="AV47" s="10"/>
      <c r="AW47" s="20"/>
      <c r="AX47" s="28"/>
      <c r="AY47" s="3"/>
      <c r="AZ47" s="10"/>
      <c r="BA47" s="20"/>
      <c r="BB47" s="28"/>
      <c r="BC47" s="3"/>
      <c r="BD47" s="10"/>
      <c r="BE47" s="23"/>
      <c r="BF47" s="28"/>
      <c r="BG47" s="3"/>
      <c r="BH47" s="10"/>
      <c r="BI47" s="20"/>
      <c r="BJ47" s="28"/>
      <c r="BK47" s="3"/>
      <c r="BL47" s="10"/>
    </row>
    <row r="48" spans="2:64" x14ac:dyDescent="0.3">
      <c r="B48" s="62">
        <f t="shared" si="10"/>
        <v>0</v>
      </c>
      <c r="C48" s="47">
        <f t="shared" si="0"/>
        <v>0</v>
      </c>
      <c r="D48" s="47">
        <f t="shared" si="1"/>
        <v>0</v>
      </c>
      <c r="E48" s="47">
        <f t="shared" si="2"/>
        <v>0</v>
      </c>
      <c r="F48" s="47">
        <f t="shared" si="3"/>
        <v>0</v>
      </c>
      <c r="G48" s="47">
        <f t="shared" si="4"/>
        <v>0</v>
      </c>
      <c r="H48" s="47">
        <f t="shared" si="5"/>
        <v>0</v>
      </c>
      <c r="I48" s="47">
        <f t="shared" si="6"/>
        <v>0</v>
      </c>
      <c r="J48" s="47">
        <f t="shared" si="7"/>
        <v>0</v>
      </c>
      <c r="K48" s="63">
        <f t="shared" si="8"/>
        <v>0</v>
      </c>
      <c r="L48" s="55">
        <f t="shared" si="9"/>
        <v>0</v>
      </c>
      <c r="N48" s="33">
        <v>29</v>
      </c>
      <c r="O48" s="28"/>
      <c r="P48" s="88"/>
      <c r="Q48" s="88"/>
      <c r="R48" s="37"/>
      <c r="S48" s="20"/>
      <c r="T48" s="3"/>
      <c r="U48" s="3"/>
      <c r="V48" s="3"/>
      <c r="W48" s="3"/>
      <c r="X48" s="10"/>
      <c r="Y48" s="17"/>
      <c r="Z48" s="2"/>
      <c r="AA48" s="2"/>
      <c r="AB48" s="2"/>
      <c r="AC48" s="3"/>
      <c r="AD48" s="37"/>
      <c r="AE48" s="9"/>
      <c r="AF48" s="2"/>
      <c r="AG48" s="2"/>
      <c r="AH48" s="2"/>
      <c r="AI48" s="3"/>
      <c r="AJ48" s="10"/>
      <c r="AK48" s="28"/>
      <c r="AL48" s="3"/>
      <c r="AM48" s="3"/>
      <c r="AN48" s="10"/>
      <c r="AO48" s="28"/>
      <c r="AP48" s="28"/>
      <c r="AQ48" s="3"/>
      <c r="AR48" s="10"/>
      <c r="AS48" s="20"/>
      <c r="AT48" s="28"/>
      <c r="AU48" s="3"/>
      <c r="AV48" s="10"/>
      <c r="AW48" s="20"/>
      <c r="AX48" s="28"/>
      <c r="AY48" s="3"/>
      <c r="AZ48" s="10"/>
      <c r="BA48" s="20"/>
      <c r="BB48" s="28"/>
      <c r="BC48" s="3"/>
      <c r="BD48" s="10"/>
      <c r="BE48" s="23"/>
      <c r="BF48" s="28"/>
      <c r="BG48" s="3"/>
      <c r="BH48" s="10"/>
      <c r="BI48" s="20"/>
      <c r="BJ48" s="28"/>
      <c r="BK48" s="3"/>
      <c r="BL48" s="10"/>
    </row>
    <row r="49" spans="2:64" x14ac:dyDescent="0.3">
      <c r="B49" s="62">
        <f t="shared" si="10"/>
        <v>0</v>
      </c>
      <c r="C49" s="47">
        <f t="shared" si="0"/>
        <v>0</v>
      </c>
      <c r="D49" s="47">
        <f t="shared" si="1"/>
        <v>0</v>
      </c>
      <c r="E49" s="47">
        <f t="shared" si="2"/>
        <v>0</v>
      </c>
      <c r="F49" s="47">
        <f t="shared" si="3"/>
        <v>0</v>
      </c>
      <c r="G49" s="47">
        <f t="shared" si="4"/>
        <v>0</v>
      </c>
      <c r="H49" s="47">
        <f t="shared" si="5"/>
        <v>0</v>
      </c>
      <c r="I49" s="47">
        <f t="shared" si="6"/>
        <v>0</v>
      </c>
      <c r="J49" s="47">
        <f t="shared" si="7"/>
        <v>0</v>
      </c>
      <c r="K49" s="63">
        <f t="shared" si="8"/>
        <v>0</v>
      </c>
      <c r="L49" s="55">
        <f t="shared" si="9"/>
        <v>0</v>
      </c>
      <c r="N49" s="33">
        <v>30</v>
      </c>
      <c r="O49" s="28"/>
      <c r="P49" s="88"/>
      <c r="Q49" s="88"/>
      <c r="R49" s="37"/>
      <c r="S49" s="20"/>
      <c r="T49" s="3"/>
      <c r="U49" s="3"/>
      <c r="V49" s="3"/>
      <c r="W49" s="3"/>
      <c r="X49" s="10"/>
      <c r="Y49" s="17"/>
      <c r="Z49" s="2"/>
      <c r="AA49" s="2"/>
      <c r="AB49" s="2"/>
      <c r="AC49" s="3"/>
      <c r="AD49" s="37"/>
      <c r="AE49" s="9"/>
      <c r="AF49" s="2"/>
      <c r="AG49" s="2"/>
      <c r="AH49" s="2"/>
      <c r="AI49" s="3"/>
      <c r="AJ49" s="10"/>
      <c r="AK49" s="28"/>
      <c r="AL49" s="3"/>
      <c r="AM49" s="3"/>
      <c r="AN49" s="10"/>
      <c r="AO49" s="28"/>
      <c r="AP49" s="28"/>
      <c r="AQ49" s="3"/>
      <c r="AR49" s="10"/>
      <c r="AS49" s="20"/>
      <c r="AT49" s="28"/>
      <c r="AU49" s="3"/>
      <c r="AV49" s="10"/>
      <c r="AW49" s="20"/>
      <c r="AX49" s="28"/>
      <c r="AY49" s="3"/>
      <c r="AZ49" s="10"/>
      <c r="BA49" s="20"/>
      <c r="BB49" s="28"/>
      <c r="BC49" s="3"/>
      <c r="BD49" s="10"/>
      <c r="BE49" s="23"/>
      <c r="BF49" s="28"/>
      <c r="BG49" s="3"/>
      <c r="BH49" s="10"/>
      <c r="BI49" s="20"/>
      <c r="BJ49" s="28"/>
      <c r="BK49" s="3"/>
      <c r="BL49" s="10"/>
    </row>
    <row r="50" spans="2:64" x14ac:dyDescent="0.3">
      <c r="B50" s="62">
        <f t="shared" si="10"/>
        <v>0</v>
      </c>
      <c r="C50" s="47">
        <f t="shared" si="0"/>
        <v>0</v>
      </c>
      <c r="D50" s="47">
        <f t="shared" si="1"/>
        <v>0</v>
      </c>
      <c r="E50" s="47">
        <f t="shared" si="2"/>
        <v>0</v>
      </c>
      <c r="F50" s="47">
        <f t="shared" si="3"/>
        <v>0</v>
      </c>
      <c r="G50" s="47">
        <f t="shared" si="4"/>
        <v>0</v>
      </c>
      <c r="H50" s="47">
        <f t="shared" si="5"/>
        <v>0</v>
      </c>
      <c r="I50" s="47">
        <f t="shared" si="6"/>
        <v>0</v>
      </c>
      <c r="J50" s="47">
        <f t="shared" si="7"/>
        <v>0</v>
      </c>
      <c r="K50" s="63">
        <f t="shared" si="8"/>
        <v>0</v>
      </c>
      <c r="L50" s="55">
        <f t="shared" si="9"/>
        <v>0</v>
      </c>
      <c r="N50" s="33">
        <v>31</v>
      </c>
      <c r="O50" s="28"/>
      <c r="P50" s="88"/>
      <c r="Q50" s="88"/>
      <c r="R50" s="37"/>
      <c r="S50" s="20"/>
      <c r="T50" s="3"/>
      <c r="U50" s="3"/>
      <c r="V50" s="3"/>
      <c r="W50" s="3"/>
      <c r="X50" s="10"/>
      <c r="Y50" s="17"/>
      <c r="Z50" s="2"/>
      <c r="AA50" s="2"/>
      <c r="AB50" s="2"/>
      <c r="AC50" s="3"/>
      <c r="AD50" s="37"/>
      <c r="AE50" s="9"/>
      <c r="AF50" s="2"/>
      <c r="AG50" s="2"/>
      <c r="AH50" s="2"/>
      <c r="AI50" s="3"/>
      <c r="AJ50" s="10"/>
      <c r="AK50" s="28"/>
      <c r="AL50" s="3"/>
      <c r="AM50" s="3"/>
      <c r="AN50" s="10"/>
      <c r="AO50" s="28"/>
      <c r="AP50" s="28"/>
      <c r="AQ50" s="3"/>
      <c r="AR50" s="10"/>
      <c r="AS50" s="20"/>
      <c r="AT50" s="28"/>
      <c r="AU50" s="3"/>
      <c r="AV50" s="10"/>
      <c r="AW50" s="20"/>
      <c r="AX50" s="28"/>
      <c r="AY50" s="3"/>
      <c r="AZ50" s="10"/>
      <c r="BA50" s="20"/>
      <c r="BB50" s="28"/>
      <c r="BC50" s="3"/>
      <c r="BD50" s="10"/>
      <c r="BE50" s="23"/>
      <c r="BF50" s="28"/>
      <c r="BG50" s="3"/>
      <c r="BH50" s="10"/>
      <c r="BI50" s="20"/>
      <c r="BJ50" s="28"/>
      <c r="BK50" s="3"/>
      <c r="BL50" s="10"/>
    </row>
    <row r="51" spans="2:64" ht="15" thickBot="1" x14ac:dyDescent="0.35">
      <c r="B51" s="64">
        <f t="shared" si="10"/>
        <v>0</v>
      </c>
      <c r="C51" s="65">
        <f t="shared" si="0"/>
        <v>0</v>
      </c>
      <c r="D51" s="65">
        <f t="shared" si="1"/>
        <v>0</v>
      </c>
      <c r="E51" s="65">
        <f t="shared" si="2"/>
        <v>0</v>
      </c>
      <c r="F51" s="65">
        <f t="shared" si="3"/>
        <v>0</v>
      </c>
      <c r="G51" s="65">
        <f t="shared" si="4"/>
        <v>0</v>
      </c>
      <c r="H51" s="65">
        <f t="shared" si="5"/>
        <v>0</v>
      </c>
      <c r="I51" s="65">
        <f t="shared" si="6"/>
        <v>0</v>
      </c>
      <c r="J51" s="65">
        <f t="shared" si="7"/>
        <v>0</v>
      </c>
      <c r="K51" s="66">
        <f t="shared" si="8"/>
        <v>0</v>
      </c>
      <c r="L51" s="55">
        <f t="shared" si="9"/>
        <v>0</v>
      </c>
      <c r="N51" s="33">
        <v>32</v>
      </c>
      <c r="O51" s="28"/>
      <c r="P51" s="88"/>
      <c r="Q51" s="88"/>
      <c r="R51" s="37"/>
      <c r="S51" s="20"/>
      <c r="T51" s="3"/>
      <c r="U51" s="3"/>
      <c r="V51" s="3"/>
      <c r="W51" s="3"/>
      <c r="X51" s="10"/>
      <c r="Y51" s="17"/>
      <c r="Z51" s="2"/>
      <c r="AA51" s="2"/>
      <c r="AB51" s="2"/>
      <c r="AC51" s="3"/>
      <c r="AD51" s="37"/>
      <c r="AE51" s="9"/>
      <c r="AF51" s="2"/>
      <c r="AG51" s="2"/>
      <c r="AH51" s="2"/>
      <c r="AI51" s="3"/>
      <c r="AJ51" s="10"/>
      <c r="AK51" s="28"/>
      <c r="AL51" s="3"/>
      <c r="AM51" s="3"/>
      <c r="AN51" s="10"/>
      <c r="AO51" s="28"/>
      <c r="AP51" s="28"/>
      <c r="AQ51" s="3"/>
      <c r="AR51" s="10"/>
      <c r="AS51" s="20"/>
      <c r="AT51" s="28"/>
      <c r="AU51" s="3"/>
      <c r="AV51" s="10"/>
      <c r="AW51" s="20"/>
      <c r="AX51" s="28"/>
      <c r="AY51" s="3"/>
      <c r="AZ51" s="10"/>
      <c r="BA51" s="20"/>
      <c r="BB51" s="28"/>
      <c r="BC51" s="3"/>
      <c r="BD51" s="10"/>
      <c r="BE51" s="23"/>
      <c r="BF51" s="28"/>
      <c r="BG51" s="3"/>
      <c r="BH51" s="10"/>
      <c r="BI51" s="20"/>
      <c r="BJ51" s="28"/>
      <c r="BK51" s="3"/>
      <c r="BL51" s="10"/>
    </row>
    <row r="52" spans="2:64" x14ac:dyDescent="0.3">
      <c r="N52" s="34" t="s">
        <v>25</v>
      </c>
      <c r="O52" s="29"/>
      <c r="P52" s="89"/>
      <c r="Q52" s="89"/>
      <c r="R52" s="38"/>
      <c r="S52" s="18">
        <f>AVERAGE(S20:S51)</f>
        <v>9.9999999999999995E-7</v>
      </c>
      <c r="T52" s="4">
        <f>AVERAGE(T20:T51)</f>
        <v>9.9999999999999995E-7</v>
      </c>
      <c r="U52" s="4">
        <f>AVERAGE(U20:U51)</f>
        <v>2.2000000000000002</v>
      </c>
      <c r="V52" s="4">
        <f>AVERAGE(V20:V51)</f>
        <v>7.9</v>
      </c>
      <c r="W52" s="4">
        <f>(SUM(D20:D51)+SUM(T20:T51)+SUM(S20:S51)*0.35)/SUM(S20:U51)</f>
        <v>5.1212118517447358</v>
      </c>
      <c r="X52" s="48">
        <f>AVERAGE(X20:X51)</f>
        <v>12.8</v>
      </c>
      <c r="Y52" s="58">
        <f>AVERAGE(Y20:Y51)</f>
        <v>0</v>
      </c>
      <c r="Z52" s="56">
        <f>AVERAGE(Z20:Z51)</f>
        <v>6.6666666666666666E-2</v>
      </c>
      <c r="AA52" s="56">
        <f>AVERAGE(AA20:AA51)</f>
        <v>6.2666666666666666</v>
      </c>
      <c r="AB52" s="56">
        <f>AVERAGE(AB20:AB51)</f>
        <v>4.0666666666666664</v>
      </c>
      <c r="AC52" s="56">
        <f>(SUM(B20:B51)+SUM(Z20:Z51)+SUM(Y20:Y51)*0.35)/SUM(Y20:AA51)</f>
        <v>4.2757894736842106</v>
      </c>
      <c r="AD52" s="76">
        <f>AVERAGE(AD20:AD51)</f>
        <v>13</v>
      </c>
      <c r="AE52" s="79">
        <f>AVERAGE(AE20:AE51)</f>
        <v>9.9999999999999995E-7</v>
      </c>
      <c r="AF52" s="56">
        <f>AVERAGE(AF20:AF51)</f>
        <v>9.9999999999999995E-7</v>
      </c>
      <c r="AG52" s="56">
        <f>AVERAGE(AG20:AG51)</f>
        <v>0.46666673333333336</v>
      </c>
      <c r="AH52" s="56">
        <f>AVERAGE(AH20:AH51)</f>
        <v>13</v>
      </c>
      <c r="AI52" s="56">
        <f>(SUM(C20:C51)+SUM(AF20:AF51)+SUM(AE20:AE51)*0.35)/SUM(AE20:AG51)</f>
        <v>10.857138396940686</v>
      </c>
      <c r="AJ52" s="57">
        <f>AVERAGE(AJ20:AJ51)</f>
        <v>28.333333333333332</v>
      </c>
      <c r="AK52" s="58">
        <f>AVERAGE(AK20:AK51)</f>
        <v>0.8</v>
      </c>
      <c r="AL52" s="56">
        <f>AVERAGE(AL20:AL51)</f>
        <v>0.58333333333333337</v>
      </c>
      <c r="AM52" s="56">
        <f>SUM(E20:E51)/SUM(AK20:AK51)</f>
        <v>3.2083333333333335</v>
      </c>
      <c r="AN52" s="57">
        <f>AVERAGE(AN20:AN51)</f>
        <v>5</v>
      </c>
      <c r="AO52" s="58">
        <f>AVERAGE(AO20:AO51)</f>
        <v>6.6666666666666668E-8</v>
      </c>
      <c r="AP52" s="56">
        <f>AVERAGE(AP20:AP51)</f>
        <v>9.9999999999999995E-7</v>
      </c>
      <c r="AQ52" s="56">
        <f>SUM(F20:F51)/SUM(AO20:AO51)</f>
        <v>9.9999999999999995E-7</v>
      </c>
      <c r="AR52" s="57">
        <f>AVERAGE(AR20:AR51)</f>
        <v>9.9999999999999995E-7</v>
      </c>
      <c r="AS52" s="58">
        <f>AVERAGE(AS20:AS51)</f>
        <v>9.9999999999999995E-7</v>
      </c>
      <c r="AT52" s="56">
        <f>AVERAGE(AT20:AT51)</f>
        <v>9.9999999999999995E-7</v>
      </c>
      <c r="AU52" s="56">
        <f>SUM(G20:G51)/SUM(AS20:AS51)</f>
        <v>9.9999999999999995E-7</v>
      </c>
      <c r="AV52" s="57">
        <f>AVERAGE(AV20:AV51)</f>
        <v>9.9999999999999995E-7</v>
      </c>
      <c r="AW52" s="58">
        <f>AVERAGE(AW20:AW51)</f>
        <v>6.6666666666666668E-8</v>
      </c>
      <c r="AX52" s="56">
        <f>AVERAGE(AX20:AX51)</f>
        <v>9.9999999999999995E-7</v>
      </c>
      <c r="AY52" s="56">
        <f>SUM(H20:H51)/SUM(AW20:AW51)</f>
        <v>9.9999999999999995E-7</v>
      </c>
      <c r="AZ52" s="57">
        <f>AVERAGE(AZ20:AZ51)</f>
        <v>9.9999999999999995E-7</v>
      </c>
      <c r="BA52" s="58">
        <f>AVERAGE(BA20:BA51)</f>
        <v>6.6666666666666668E-8</v>
      </c>
      <c r="BB52" s="56">
        <f>AVERAGE(BB20:BB51)</f>
        <v>1E-4</v>
      </c>
      <c r="BC52" s="56">
        <f>SUM(I20:I51)/SUM(BA20:BA51)</f>
        <v>1E-4</v>
      </c>
      <c r="BD52" s="57">
        <f>AVERAGE(BD20:BD51)</f>
        <v>1E-3</v>
      </c>
      <c r="BE52" s="58">
        <f>AVERAGE(BE20:BE51)</f>
        <v>9.9999999999999995E-7</v>
      </c>
      <c r="BF52" s="56">
        <f>AVERAGE(BF20:BF51)</f>
        <v>9.9999999999999995E-7</v>
      </c>
      <c r="BG52" s="56">
        <f>SUM(J20:J51)/SUM(BE20:BE51)</f>
        <v>9.9999999999999995E-7</v>
      </c>
      <c r="BH52" s="57">
        <f>AVERAGE(BH20:BH51)</f>
        <v>9.9999999999999995E-7</v>
      </c>
      <c r="BI52" s="58">
        <f>AVERAGE(BI20:BI51)</f>
        <v>6.666666666666667E-5</v>
      </c>
      <c r="BJ52" s="56">
        <f>AVERAGE(BJ20:BJ51)</f>
        <v>1E-4</v>
      </c>
      <c r="BK52" s="56">
        <f>SUM(K20:K51)/SUM(BI20:BI51)</f>
        <v>1.0000000000000001E-5</v>
      </c>
      <c r="BL52" s="57">
        <f>AVERAGE(BL20:BL51)</f>
        <v>1E-3</v>
      </c>
    </row>
    <row r="53" spans="2:64" x14ac:dyDescent="0.3">
      <c r="N53" s="34" t="s">
        <v>30</v>
      </c>
      <c r="O53" s="29"/>
      <c r="P53" s="89"/>
      <c r="Q53" s="89"/>
      <c r="R53" s="38"/>
      <c r="S53" s="18"/>
      <c r="T53" s="4"/>
      <c r="U53" s="4"/>
      <c r="V53" s="4"/>
      <c r="W53" s="5">
        <f>SUM(D20:D51)/SUM(U20:U51)</f>
        <v>5.1212121212121211</v>
      </c>
      <c r="X53" s="38"/>
      <c r="Y53" s="58"/>
      <c r="Z53" s="56"/>
      <c r="AA53" s="56"/>
      <c r="AB53" s="56"/>
      <c r="AC53" s="77">
        <f>SUM(B20:B51)/SUM(AA20:AA51)</f>
        <v>4.3106382978723401</v>
      </c>
      <c r="AD53" s="78"/>
      <c r="AE53" s="79"/>
      <c r="AF53" s="56"/>
      <c r="AG53" s="56"/>
      <c r="AH53" s="56"/>
      <c r="AI53" s="77">
        <f>SUM(C20:C51)/SUM(AG20:AG51)</f>
        <v>10.857141306122671</v>
      </c>
      <c r="AJ53" s="80"/>
      <c r="AK53" s="29"/>
      <c r="AL53" s="5"/>
      <c r="AM53" s="5"/>
      <c r="AN53" s="12"/>
      <c r="AO53" s="29"/>
      <c r="AP53" s="29"/>
      <c r="AQ53" s="5"/>
      <c r="AR53" s="12"/>
      <c r="AS53" s="21"/>
      <c r="AT53" s="29"/>
      <c r="AU53" s="5"/>
      <c r="AV53" s="12"/>
      <c r="AW53" s="21"/>
      <c r="AX53" s="29"/>
      <c r="AY53" s="5"/>
      <c r="AZ53" s="12"/>
      <c r="BA53" s="21"/>
      <c r="BB53" s="29"/>
      <c r="BC53" s="5"/>
      <c r="BD53" s="12"/>
      <c r="BE53" s="21"/>
      <c r="BF53" s="29"/>
      <c r="BG53" s="5"/>
      <c r="BH53" s="12"/>
      <c r="BI53" s="21"/>
      <c r="BJ53" s="29"/>
      <c r="BK53" s="5"/>
      <c r="BL53" s="12"/>
    </row>
    <row r="54" spans="2:64" x14ac:dyDescent="0.3">
      <c r="N54" s="34" t="s">
        <v>11</v>
      </c>
      <c r="O54" s="29"/>
      <c r="P54" s="89"/>
      <c r="Q54" s="89"/>
      <c r="R54" s="38"/>
      <c r="S54" s="21"/>
      <c r="T54" s="5"/>
      <c r="U54" s="5"/>
      <c r="V54" s="5"/>
      <c r="W54" s="5"/>
      <c r="X54" s="12"/>
      <c r="Y54" s="18"/>
      <c r="Z54" s="4"/>
      <c r="AA54" s="4"/>
      <c r="AB54" s="4"/>
      <c r="AC54" s="5"/>
      <c r="AD54" s="38"/>
      <c r="AE54" s="11"/>
      <c r="AF54" s="4"/>
      <c r="AG54" s="4"/>
      <c r="AH54" s="4"/>
      <c r="AI54" s="5"/>
      <c r="AJ54" s="12"/>
      <c r="AK54" s="29"/>
      <c r="AL54" s="5"/>
      <c r="AM54" s="5"/>
      <c r="AN54" s="12"/>
      <c r="AO54" s="29"/>
      <c r="AP54" s="29"/>
      <c r="AQ54" s="5"/>
      <c r="AR54" s="12"/>
      <c r="AS54" s="21"/>
      <c r="AT54" s="29"/>
      <c r="AU54" s="5"/>
      <c r="AV54" s="12"/>
      <c r="AW54" s="21"/>
      <c r="AX54" s="29"/>
      <c r="AY54" s="5"/>
      <c r="AZ54" s="12"/>
      <c r="BA54" s="21"/>
      <c r="BB54" s="29"/>
      <c r="BC54" s="5"/>
      <c r="BD54" s="12"/>
      <c r="BE54" s="21"/>
      <c r="BF54" s="29"/>
      <c r="BG54" s="5"/>
      <c r="BH54" s="12"/>
      <c r="BI54" s="21"/>
      <c r="BJ54" s="29"/>
      <c r="BK54" s="5"/>
      <c r="BL54" s="12"/>
    </row>
    <row r="55" spans="2:64" ht="15" thickBot="1" x14ac:dyDescent="0.35">
      <c r="N55" s="35" t="s">
        <v>12</v>
      </c>
      <c r="O55" s="30"/>
      <c r="P55" s="90"/>
      <c r="Q55" s="90"/>
      <c r="R55" s="39"/>
      <c r="S55" s="22"/>
      <c r="T55" s="15"/>
      <c r="U55" s="15"/>
      <c r="V55" s="15"/>
      <c r="W55" s="15"/>
      <c r="X55" s="16"/>
      <c r="Y55" s="19"/>
      <c r="Z55" s="14"/>
      <c r="AA55" s="14"/>
      <c r="AB55" s="14"/>
      <c r="AC55" s="15"/>
      <c r="AD55" s="39"/>
      <c r="AE55" s="13"/>
      <c r="AF55" s="14"/>
      <c r="AG55" s="14"/>
      <c r="AH55" s="14"/>
      <c r="AI55" s="15"/>
      <c r="AJ55" s="16"/>
      <c r="AK55" s="30"/>
      <c r="AL55" s="15"/>
      <c r="AM55" s="15"/>
      <c r="AN55" s="16"/>
      <c r="AO55" s="30"/>
      <c r="AP55" s="30"/>
      <c r="AQ55" s="15"/>
      <c r="AR55" s="16"/>
      <c r="AS55" s="22"/>
      <c r="AT55" s="30"/>
      <c r="AU55" s="15"/>
      <c r="AV55" s="16"/>
      <c r="AW55" s="22"/>
      <c r="AX55" s="30"/>
      <c r="AY55" s="15"/>
      <c r="AZ55" s="16"/>
      <c r="BA55" s="22"/>
      <c r="BB55" s="30"/>
      <c r="BC55" s="15"/>
      <c r="BD55" s="16"/>
      <c r="BE55" s="22"/>
      <c r="BF55" s="30"/>
      <c r="BG55" s="15"/>
      <c r="BH55" s="16"/>
      <c r="BI55" s="22"/>
      <c r="BJ55" s="30"/>
      <c r="BK55" s="15"/>
      <c r="BL55" s="16"/>
    </row>
    <row r="60" spans="2:64" ht="15" thickBot="1" x14ac:dyDescent="0.35">
      <c r="U60" t="str">
        <f>T13</f>
        <v>после</v>
      </c>
      <c r="V60" t="s">
        <v>33</v>
      </c>
    </row>
    <row r="61" spans="2:64" ht="15" thickBot="1" x14ac:dyDescent="0.35">
      <c r="B61" s="59" t="s">
        <v>44</v>
      </c>
      <c r="C61" s="60"/>
      <c r="D61" s="61"/>
      <c r="E61" s="47"/>
      <c r="F61" s="47"/>
      <c r="I61" s="47"/>
      <c r="J61" s="47"/>
      <c r="K61" s="47"/>
      <c r="O61" t="s">
        <v>161</v>
      </c>
    </row>
    <row r="62" spans="2:64" ht="15" thickBot="1" x14ac:dyDescent="0.35">
      <c r="B62" s="73" t="str">
        <f>V62</f>
        <v>D, см</v>
      </c>
      <c r="C62" s="74" t="str">
        <f>W62</f>
        <v>h, м</v>
      </c>
      <c r="D62" s="75" t="str">
        <f>X62</f>
        <v>A, лет</v>
      </c>
      <c r="E62" s="47"/>
      <c r="F62" s="47"/>
      <c r="I62" s="47"/>
      <c r="J62" s="47"/>
      <c r="K62" s="47"/>
      <c r="O62" s="115"/>
      <c r="P62" s="116"/>
      <c r="Q62" s="116"/>
      <c r="R62" s="116"/>
      <c r="S62" s="116"/>
      <c r="T62" s="116"/>
      <c r="U62" s="116" t="s">
        <v>24</v>
      </c>
      <c r="V62" s="116" t="str">
        <f>AB19</f>
        <v>D, см</v>
      </c>
      <c r="W62" s="116" t="str">
        <f>AC19</f>
        <v>h, м</v>
      </c>
      <c r="X62" s="117" t="str">
        <f>AD19</f>
        <v>A, лет</v>
      </c>
    </row>
    <row r="63" spans="2:64" x14ac:dyDescent="0.3">
      <c r="B63" s="81">
        <f>V63*U63</f>
        <v>3.4657227864984095</v>
      </c>
      <c r="C63" s="82">
        <f>W63*U63</f>
        <v>2.2466709631743602</v>
      </c>
      <c r="D63" s="83">
        <f>X63*U63</f>
        <v>5.6153483123012204</v>
      </c>
      <c r="E63" s="47"/>
      <c r="F63" s="85"/>
      <c r="H63" s="47"/>
      <c r="I63" s="47"/>
      <c r="J63" s="47"/>
      <c r="K63" s="47"/>
      <c r="O63" s="138">
        <f t="shared" ref="O63:O72" si="11">U63/$U$75*10</f>
        <v>2.2448832931814784</v>
      </c>
      <c r="P63" s="139"/>
      <c r="Q63" s="139"/>
      <c r="R63" s="47" t="str">
        <f>S18</f>
        <v>Сосна</v>
      </c>
      <c r="S63" s="47"/>
      <c r="T63" s="47"/>
      <c r="U63" s="123">
        <f>SUM(S52:U52)/(AE16*AE16*3.15/10000*1000)</f>
        <v>0.43869908689853282</v>
      </c>
      <c r="V63" s="139">
        <f>V52</f>
        <v>7.9</v>
      </c>
      <c r="W63" s="139">
        <f>W52</f>
        <v>5.1212118517447358</v>
      </c>
      <c r="X63" s="140">
        <f>X52</f>
        <v>12.8</v>
      </c>
      <c r="Y63" s="55"/>
    </row>
    <row r="64" spans="2:64" x14ac:dyDescent="0.3">
      <c r="B64" s="81">
        <f t="shared" ref="B64:B72" si="12">V64*U64</f>
        <v>5.1358765604697885</v>
      </c>
      <c r="C64" s="82">
        <f t="shared" ref="C64:C72" si="13">W64*U64</f>
        <v>5.3999820332946369</v>
      </c>
      <c r="D64" s="83">
        <f t="shared" ref="D64:D72" si="14">X64*U64</f>
        <v>16.4179660539608</v>
      </c>
      <c r="E64" s="47"/>
      <c r="F64" s="85"/>
      <c r="H64" s="47"/>
      <c r="I64" s="47"/>
      <c r="J64" s="47"/>
      <c r="K64" s="47"/>
      <c r="O64" s="138">
        <f t="shared" si="11"/>
        <v>6.4625369386706755</v>
      </c>
      <c r="P64" s="139"/>
      <c r="Q64" s="139"/>
      <c r="R64" s="47" t="str">
        <f>Y18</f>
        <v>Ель из подроста</v>
      </c>
      <c r="S64" s="47"/>
      <c r="T64" s="47"/>
      <c r="U64" s="123">
        <f>SUM(Y52:AA52)/(AE16*AE16*3.15/10000*1000)</f>
        <v>1.2629204656892923</v>
      </c>
      <c r="V64" s="139">
        <f>AB52</f>
        <v>4.0666666666666664</v>
      </c>
      <c r="W64" s="139">
        <f>AC52</f>
        <v>4.2757894736842106</v>
      </c>
      <c r="X64" s="140">
        <f>AD52</f>
        <v>13</v>
      </c>
      <c r="Y64" s="55"/>
    </row>
    <row r="65" spans="2:25" x14ac:dyDescent="0.3">
      <c r="B65" s="81">
        <f t="shared" si="12"/>
        <v>1.2097502245755083</v>
      </c>
      <c r="C65" s="82">
        <f t="shared" si="13"/>
        <v>1.0103404318420284</v>
      </c>
      <c r="D65" s="83">
        <f t="shared" si="14"/>
        <v>2.6366351048440566</v>
      </c>
      <c r="E65" s="47"/>
      <c r="F65" s="47"/>
      <c r="G65" s="47"/>
      <c r="H65" s="47"/>
      <c r="I65" s="47"/>
      <c r="J65" s="47"/>
      <c r="K65" s="47"/>
      <c r="O65" s="138">
        <f t="shared" si="11"/>
        <v>0.47618904115094562</v>
      </c>
      <c r="P65" s="139"/>
      <c r="Q65" s="139"/>
      <c r="R65" s="47" t="str">
        <f>AE18</f>
        <v>ЕЛЬ лесные культуры</v>
      </c>
      <c r="S65" s="47"/>
      <c r="T65" s="47"/>
      <c r="U65" s="123">
        <f>SUM(AE52:AG52)/(AE16*AE16*3.15/10000*1000)</f>
        <v>9.3057709582731407E-2</v>
      </c>
      <c r="V65" s="139">
        <f>AH52</f>
        <v>13</v>
      </c>
      <c r="W65" s="139">
        <f>AI52</f>
        <v>10.857138396940686</v>
      </c>
      <c r="X65" s="140">
        <f>AJ52</f>
        <v>28.333333333333332</v>
      </c>
      <c r="Y65" s="55"/>
    </row>
    <row r="66" spans="2:25" x14ac:dyDescent="0.3">
      <c r="B66" s="81">
        <f t="shared" si="12"/>
        <v>9.3057297471842604E-2</v>
      </c>
      <c r="C66" s="82">
        <f t="shared" si="13"/>
        <v>0.51181513609513429</v>
      </c>
      <c r="D66" s="83">
        <f t="shared" si="14"/>
        <v>0.79763397833007943</v>
      </c>
      <c r="E66" s="47"/>
      <c r="F66" s="47"/>
      <c r="G66" s="47"/>
      <c r="H66" s="47"/>
      <c r="I66" s="47"/>
      <c r="J66" s="47"/>
      <c r="K66" s="47"/>
      <c r="O66" s="138">
        <f t="shared" si="11"/>
        <v>0.81632045541103271</v>
      </c>
      <c r="P66" s="139"/>
      <c r="Q66" s="139"/>
      <c r="R66" s="47" t="str">
        <f>AK18</f>
        <v>Берёза</v>
      </c>
      <c r="S66" s="47"/>
      <c r="T66" s="47"/>
      <c r="U66" s="123">
        <f>AK52/(AE16*AE16*3.15/10000*1000)</f>
        <v>0.15952679566601588</v>
      </c>
      <c r="V66" s="139">
        <f>AL52</f>
        <v>0.58333333333333337</v>
      </c>
      <c r="W66" s="139">
        <f>AM52</f>
        <v>3.2083333333333335</v>
      </c>
      <c r="X66" s="140">
        <f>AN52</f>
        <v>5</v>
      </c>
      <c r="Y66" s="55"/>
    </row>
    <row r="67" spans="2:25" x14ac:dyDescent="0.3">
      <c r="B67" s="81">
        <f t="shared" si="12"/>
        <v>1.3293899638834656E-14</v>
      </c>
      <c r="C67" s="82">
        <f t="shared" si="13"/>
        <v>1.3293899638834656E-14</v>
      </c>
      <c r="D67" s="83">
        <f t="shared" si="14"/>
        <v>1.3293899638834656E-14</v>
      </c>
      <c r="E67" s="47"/>
      <c r="F67" s="47"/>
      <c r="G67" s="47"/>
      <c r="H67" s="47"/>
      <c r="I67" s="47"/>
      <c r="J67" s="47"/>
      <c r="K67" s="47"/>
      <c r="O67" s="138">
        <f t="shared" si="11"/>
        <v>6.8026704617586058E-8</v>
      </c>
      <c r="P67" s="139"/>
      <c r="Q67" s="139"/>
      <c r="R67" s="47" t="str">
        <f>AO18</f>
        <v>Осина</v>
      </c>
      <c r="S67" s="47"/>
      <c r="T67" s="47"/>
      <c r="U67" s="123">
        <f>AO52/(AE16*AE16*3.15/10000*1000)</f>
        <v>1.3293899638834657E-8</v>
      </c>
      <c r="V67" s="139">
        <f>AP52</f>
        <v>9.9999999999999995E-7</v>
      </c>
      <c r="W67" s="139">
        <f>AQ52</f>
        <v>9.9999999999999995E-7</v>
      </c>
      <c r="X67" s="140">
        <f>AR52</f>
        <v>9.9999999999999995E-7</v>
      </c>
      <c r="Y67" s="55"/>
    </row>
    <row r="68" spans="2:25" x14ac:dyDescent="0.3">
      <c r="B68" s="81">
        <f t="shared" si="12"/>
        <v>1.9940849458251982E-13</v>
      </c>
      <c r="C68" s="82">
        <f t="shared" si="13"/>
        <v>1.9940849458251982E-13</v>
      </c>
      <c r="D68" s="83">
        <f t="shared" si="14"/>
        <v>1.9940849458251982E-13</v>
      </c>
      <c r="E68" s="47"/>
      <c r="F68" s="47"/>
      <c r="G68" s="47"/>
      <c r="H68" s="47"/>
      <c r="I68" s="47"/>
      <c r="J68" s="47"/>
      <c r="K68" s="47"/>
      <c r="O68" s="138">
        <f t="shared" si="11"/>
        <v>1.0204005692637907E-6</v>
      </c>
      <c r="P68" s="139"/>
      <c r="Q68" s="139"/>
      <c r="R68" s="47" t="str">
        <f>AS18</f>
        <v>Ольха серая</v>
      </c>
      <c r="S68" s="47"/>
      <c r="T68" s="47"/>
      <c r="U68" s="123">
        <f>AS52/(AE16*AE16*3.15/10000*1000)</f>
        <v>1.9940849458251983E-7</v>
      </c>
      <c r="V68" s="139">
        <f>AT52</f>
        <v>9.9999999999999995E-7</v>
      </c>
      <c r="W68" s="139">
        <f>AU52</f>
        <v>9.9999999999999995E-7</v>
      </c>
      <c r="X68" s="140">
        <f>AV52</f>
        <v>9.9999999999999995E-7</v>
      </c>
      <c r="Y68" s="55"/>
    </row>
    <row r="69" spans="2:25" x14ac:dyDescent="0.3">
      <c r="B69" s="81">
        <f t="shared" si="12"/>
        <v>1.3293899638834656E-14</v>
      </c>
      <c r="C69" s="82">
        <f t="shared" si="13"/>
        <v>1.3293899638834656E-14</v>
      </c>
      <c r="D69" s="83">
        <f t="shared" si="14"/>
        <v>1.3293899638834656E-14</v>
      </c>
      <c r="E69" s="47"/>
      <c r="F69" s="47"/>
      <c r="G69" s="47"/>
      <c r="H69" s="47"/>
      <c r="I69" s="47"/>
      <c r="J69" s="47"/>
      <c r="K69" s="47"/>
      <c r="O69" s="138">
        <f t="shared" si="11"/>
        <v>6.8026704617586058E-8</v>
      </c>
      <c r="P69" s="139"/>
      <c r="Q69" s="139"/>
      <c r="R69" s="47" t="str">
        <f>AW18</f>
        <v>Ива</v>
      </c>
      <c r="S69" s="47"/>
      <c r="T69" s="47"/>
      <c r="U69" s="123">
        <f>AW52/(AE16*AE16*3.15/10000*1000)</f>
        <v>1.3293899638834657E-8</v>
      </c>
      <c r="V69" s="139">
        <f>AX52</f>
        <v>9.9999999999999995E-7</v>
      </c>
      <c r="W69" s="139">
        <f>AY52</f>
        <v>9.9999999999999995E-7</v>
      </c>
      <c r="X69" s="140">
        <f>AZ52</f>
        <v>9.9999999999999995E-7</v>
      </c>
      <c r="Y69" s="55"/>
    </row>
    <row r="70" spans="2:25" x14ac:dyDescent="0.3">
      <c r="B70" s="81">
        <f t="shared" si="12"/>
        <v>1.3293899638834657E-12</v>
      </c>
      <c r="C70" s="82">
        <f t="shared" si="13"/>
        <v>1.3293899638834657E-12</v>
      </c>
      <c r="D70" s="83">
        <f t="shared" si="14"/>
        <v>1.3293899638834657E-11</v>
      </c>
      <c r="E70" s="47"/>
      <c r="F70" s="47"/>
      <c r="G70" s="47"/>
      <c r="H70" s="47"/>
      <c r="I70" s="47"/>
      <c r="J70" s="47"/>
      <c r="K70" s="47"/>
      <c r="O70" s="138">
        <f t="shared" si="11"/>
        <v>6.8026704617586058E-8</v>
      </c>
      <c r="P70" s="139"/>
      <c r="Q70" s="139"/>
      <c r="R70" s="47" t="str">
        <f>BA18</f>
        <v>Чёрёмуха</v>
      </c>
      <c r="S70" s="47"/>
      <c r="T70" s="47"/>
      <c r="U70" s="123">
        <f>BA52/(AE16*AE16*3.15/10000*1000)</f>
        <v>1.3293899638834657E-8</v>
      </c>
      <c r="V70" s="139">
        <f>BB52</f>
        <v>1E-4</v>
      </c>
      <c r="W70" s="139">
        <f>BC52</f>
        <v>1E-4</v>
      </c>
      <c r="X70" s="140">
        <f>BD52</f>
        <v>1E-3</v>
      </c>
      <c r="Y70" s="55"/>
    </row>
    <row r="71" spans="2:25" x14ac:dyDescent="0.3">
      <c r="B71" s="81">
        <f t="shared" si="12"/>
        <v>1.9940849458251982E-13</v>
      </c>
      <c r="C71" s="82">
        <f t="shared" si="13"/>
        <v>1.9940849458251982E-13</v>
      </c>
      <c r="D71" s="83">
        <f t="shared" si="14"/>
        <v>1.9940849458251982E-13</v>
      </c>
      <c r="E71" s="47"/>
      <c r="F71" s="47"/>
      <c r="G71" s="47"/>
      <c r="H71" s="47"/>
      <c r="I71" s="47"/>
      <c r="J71" s="47"/>
      <c r="K71" s="47"/>
      <c r="O71" s="138">
        <f t="shared" si="11"/>
        <v>1.0204005692637907E-6</v>
      </c>
      <c r="P71" s="139"/>
      <c r="Q71" s="139"/>
      <c r="R71" s="47" t="str">
        <f>BE18</f>
        <v>Дуб</v>
      </c>
      <c r="S71" s="47"/>
      <c r="T71" s="47"/>
      <c r="U71" s="123">
        <f>BE52/(AE16*AE16*3.15/10000*1000)</f>
        <v>1.9940849458251983E-7</v>
      </c>
      <c r="V71" s="139">
        <f>BF52</f>
        <v>9.9999999999999995E-7</v>
      </c>
      <c r="W71" s="139">
        <f>BG52</f>
        <v>9.9999999999999995E-7</v>
      </c>
      <c r="X71" s="140">
        <f>BH52</f>
        <v>9.9999999999999995E-7</v>
      </c>
      <c r="Y71" s="55"/>
    </row>
    <row r="72" spans="2:25" x14ac:dyDescent="0.3">
      <c r="B72" s="81">
        <f t="shared" si="12"/>
        <v>1.3293899638834657E-9</v>
      </c>
      <c r="C72" s="82">
        <f t="shared" si="13"/>
        <v>1.3293899638834659E-10</v>
      </c>
      <c r="D72" s="83">
        <f t="shared" si="14"/>
        <v>1.3293899638834657E-8</v>
      </c>
      <c r="E72" s="47"/>
      <c r="F72" s="47"/>
      <c r="G72" s="47"/>
      <c r="H72" s="47"/>
      <c r="I72" s="47"/>
      <c r="J72" s="47"/>
      <c r="K72" s="47"/>
      <c r="O72" s="138">
        <f t="shared" si="11"/>
        <v>6.8026704617586055E-5</v>
      </c>
      <c r="P72" s="139"/>
      <c r="Q72" s="139"/>
      <c r="R72" s="47" t="str">
        <f>BI18</f>
        <v>Рябина</v>
      </c>
      <c r="S72" s="47"/>
      <c r="T72" s="47"/>
      <c r="U72" s="123">
        <f>BI52/(AE16*AE16*3.15/10000*1000)</f>
        <v>1.3293899638834657E-5</v>
      </c>
      <c r="V72" s="139">
        <f>BJ52</f>
        <v>1E-4</v>
      </c>
      <c r="W72" s="139">
        <f>BK52</f>
        <v>1.0000000000000001E-5</v>
      </c>
      <c r="X72" s="140">
        <f>BL52</f>
        <v>1E-3</v>
      </c>
      <c r="Y72" s="55"/>
    </row>
    <row r="73" spans="2:25" x14ac:dyDescent="0.3">
      <c r="B73" s="62">
        <f>AC72*AA72</f>
        <v>0</v>
      </c>
      <c r="C73" s="71">
        <f>AI72*AG72</f>
        <v>0</v>
      </c>
      <c r="D73" s="63"/>
      <c r="E73" s="47"/>
      <c r="F73" s="47"/>
      <c r="G73" s="47"/>
      <c r="H73" s="47"/>
      <c r="I73" s="47"/>
      <c r="J73" s="47"/>
      <c r="K73" s="47"/>
      <c r="O73" s="118"/>
      <c r="P73" s="47"/>
      <c r="Q73" s="47"/>
      <c r="R73" s="47"/>
      <c r="S73" s="47"/>
      <c r="T73" s="47"/>
      <c r="U73" s="141"/>
      <c r="V73" s="141"/>
      <c r="W73" s="141"/>
      <c r="X73" s="140"/>
      <c r="Y73" s="55"/>
    </row>
    <row r="74" spans="2:25" x14ac:dyDescent="0.3">
      <c r="B74" s="62">
        <f>AC73*AA73</f>
        <v>0</v>
      </c>
      <c r="C74" s="71">
        <f>AI73*AG73</f>
        <v>0</v>
      </c>
      <c r="D74" s="63">
        <f>W73*U73</f>
        <v>0</v>
      </c>
      <c r="E74" s="47"/>
      <c r="F74" s="47"/>
      <c r="G74" s="47"/>
      <c r="H74" s="47"/>
      <c r="I74" s="47"/>
      <c r="J74" s="47"/>
      <c r="K74" s="47"/>
      <c r="O74" s="118"/>
      <c r="P74" s="47"/>
      <c r="Q74" s="47"/>
      <c r="R74" s="47"/>
      <c r="S74" s="47"/>
      <c r="T74" s="47"/>
      <c r="U74" s="141"/>
      <c r="V74" s="141"/>
      <c r="W74" s="141"/>
      <c r="X74" s="140"/>
      <c r="Y74" s="55"/>
    </row>
    <row r="75" spans="2:25" x14ac:dyDescent="0.3">
      <c r="B75" s="62">
        <f>AC74*AA74</f>
        <v>0</v>
      </c>
      <c r="C75" s="71">
        <f>AI74*AG74</f>
        <v>0</v>
      </c>
      <c r="D75" s="63">
        <f>W74*U74</f>
        <v>0</v>
      </c>
      <c r="E75" s="47"/>
      <c r="F75" s="47"/>
      <c r="G75" s="47"/>
      <c r="H75" s="47"/>
      <c r="I75" s="47"/>
      <c r="J75" s="47"/>
      <c r="K75" s="47"/>
      <c r="O75" s="142">
        <f>SUM(O63:O72)</f>
        <v>10.000000000000002</v>
      </c>
      <c r="P75" s="143"/>
      <c r="Q75" s="143"/>
      <c r="R75" s="45" t="s">
        <v>27</v>
      </c>
      <c r="S75" s="45"/>
      <c r="T75" s="45"/>
      <c r="U75" s="144">
        <f>SUM(U63:U72)</f>
        <v>1.954217790434899</v>
      </c>
      <c r="V75" s="144">
        <f>SUM(B63:B72)/$U$75</f>
        <v>5.0682206040824784</v>
      </c>
      <c r="W75" s="144">
        <f>SUM(C63:C72)/$U$75</f>
        <v>4.6918048793836782</v>
      </c>
      <c r="X75" s="145">
        <f>SUM(D63:D72)/$U$75</f>
        <v>13.03211115332039</v>
      </c>
      <c r="Y75" s="55"/>
    </row>
    <row r="76" spans="2:25" x14ac:dyDescent="0.3">
      <c r="B76" s="62">
        <f>AC75*AA75</f>
        <v>0</v>
      </c>
      <c r="C76" s="71">
        <f>AI75*AG75</f>
        <v>0</v>
      </c>
      <c r="D76" s="63"/>
      <c r="E76" s="47"/>
      <c r="F76" s="47"/>
      <c r="G76" s="47"/>
      <c r="H76" s="47"/>
      <c r="I76" s="47"/>
      <c r="J76" s="47"/>
      <c r="K76" s="47"/>
    </row>
    <row r="77" spans="2:25" ht="15" thickBot="1" x14ac:dyDescent="0.35">
      <c r="B77" s="64">
        <f>AC93*AA93</f>
        <v>0</v>
      </c>
      <c r="C77" s="72">
        <f>AI93*AG93</f>
        <v>0</v>
      </c>
      <c r="D77" s="66">
        <f>W93*U93</f>
        <v>0</v>
      </c>
      <c r="E77" s="47"/>
      <c r="F77" s="47"/>
      <c r="G77" s="47"/>
      <c r="H77" s="47"/>
      <c r="I77" s="47"/>
      <c r="J77" s="47"/>
      <c r="K77" s="47"/>
    </row>
  </sheetData>
  <mergeCells count="11">
    <mergeCell ref="AO18:AR18"/>
    <mergeCell ref="O18:R18"/>
    <mergeCell ref="S18:X18"/>
    <mergeCell ref="Y18:AD18"/>
    <mergeCell ref="AE18:AJ18"/>
    <mergeCell ref="AK18:AN18"/>
    <mergeCell ref="AS18:AV18"/>
    <mergeCell ref="AW18:AZ18"/>
    <mergeCell ref="BA18:BD18"/>
    <mergeCell ref="BE18:BH18"/>
    <mergeCell ref="BI18:BL18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E6:Y43"/>
  <sheetViews>
    <sheetView topLeftCell="B16" zoomScaleNormal="100" workbookViewId="0">
      <selection activeCell="G38" sqref="G38"/>
    </sheetView>
  </sheetViews>
  <sheetFormatPr defaultRowHeight="14.4" x14ac:dyDescent="0.3"/>
  <sheetData>
    <row r="6" spans="5:25" x14ac:dyDescent="0.3">
      <c r="E6" t="s">
        <v>129</v>
      </c>
      <c r="F6" t="s">
        <v>143</v>
      </c>
      <c r="P6" t="s">
        <v>130</v>
      </c>
      <c r="R6" t="s">
        <v>143</v>
      </c>
    </row>
    <row r="8" spans="5:25" x14ac:dyDescent="0.3">
      <c r="E8" t="s">
        <v>161</v>
      </c>
      <c r="P8" t="s">
        <v>161</v>
      </c>
    </row>
    <row r="9" spans="5:25" x14ac:dyDescent="0.3">
      <c r="E9" s="115" t="s">
        <v>132</v>
      </c>
      <c r="F9" s="116"/>
      <c r="G9" s="116"/>
      <c r="H9" s="116"/>
      <c r="I9" s="116"/>
      <c r="J9" s="116"/>
      <c r="K9" s="116" t="s">
        <v>24</v>
      </c>
      <c r="L9" s="116" t="s">
        <v>23</v>
      </c>
      <c r="M9" s="116" t="s">
        <v>8</v>
      </c>
      <c r="N9" s="117" t="s">
        <v>9</v>
      </c>
      <c r="P9" s="115" t="s">
        <v>132</v>
      </c>
      <c r="Q9" s="116"/>
      <c r="R9" s="116"/>
      <c r="S9" s="116"/>
      <c r="T9" s="116"/>
      <c r="U9" s="116"/>
      <c r="V9" s="116" t="s">
        <v>24</v>
      </c>
      <c r="W9" s="116" t="s">
        <v>23</v>
      </c>
      <c r="X9" s="116" t="s">
        <v>8</v>
      </c>
      <c r="Y9" s="117" t="s">
        <v>9</v>
      </c>
    </row>
    <row r="10" spans="5:25" x14ac:dyDescent="0.3">
      <c r="E10" s="118">
        <v>0.78224149690017408</v>
      </c>
      <c r="F10" s="47"/>
      <c r="G10" s="47"/>
      <c r="H10" s="47" t="s">
        <v>43</v>
      </c>
      <c r="I10" s="47"/>
      <c r="J10" s="47"/>
      <c r="K10" s="47">
        <v>0.49187468545387147</v>
      </c>
      <c r="L10" s="47">
        <v>7.6363636363636367</v>
      </c>
      <c r="M10" s="47">
        <v>5.1081078684806549</v>
      </c>
      <c r="N10" s="119">
        <v>12.818181818181818</v>
      </c>
      <c r="P10" s="118">
        <v>2.2448832931814784</v>
      </c>
      <c r="Q10" s="47"/>
      <c r="R10" s="47"/>
      <c r="S10" s="47" t="s">
        <v>43</v>
      </c>
      <c r="T10" s="47"/>
      <c r="U10" s="47"/>
      <c r="V10" s="47">
        <v>0.43869908689853282</v>
      </c>
      <c r="W10" s="47">
        <v>7.9</v>
      </c>
      <c r="X10" s="47">
        <v>5.1212118517447358</v>
      </c>
      <c r="Y10" s="119">
        <v>12.8</v>
      </c>
    </row>
    <row r="11" spans="5:25" x14ac:dyDescent="0.3">
      <c r="E11" s="118">
        <v>4.8837199803335354</v>
      </c>
      <c r="F11" s="47"/>
      <c r="G11" s="47"/>
      <c r="H11" s="47" t="s">
        <v>17</v>
      </c>
      <c r="I11" s="47"/>
      <c r="J11" s="47"/>
      <c r="K11" s="47">
        <v>3.0708908165708055</v>
      </c>
      <c r="L11" s="47">
        <v>4.0666666666666664</v>
      </c>
      <c r="M11" s="47">
        <v>3.3699134199134195</v>
      </c>
      <c r="N11" s="119">
        <v>13</v>
      </c>
      <c r="P11" s="118">
        <v>6.4625369386706755</v>
      </c>
      <c r="Q11" s="47"/>
      <c r="R11" s="47"/>
      <c r="S11" s="47" t="s">
        <v>17</v>
      </c>
      <c r="T11" s="47"/>
      <c r="U11" s="47"/>
      <c r="V11" s="47">
        <v>1.2629204656892923</v>
      </c>
      <c r="W11" s="47">
        <v>4.0666666666666664</v>
      </c>
      <c r="X11" s="47">
        <v>4.2757894736842106</v>
      </c>
      <c r="Y11" s="119">
        <v>13</v>
      </c>
    </row>
    <row r="12" spans="5:25" x14ac:dyDescent="0.3">
      <c r="E12" s="118">
        <v>0.1691338148830635</v>
      </c>
      <c r="F12" s="47"/>
      <c r="G12" s="47"/>
      <c r="H12" s="47" t="s">
        <v>18</v>
      </c>
      <c r="I12" s="47"/>
      <c r="J12" s="47"/>
      <c r="K12" s="47">
        <v>0.10635160922156606</v>
      </c>
      <c r="L12" s="47">
        <v>13</v>
      </c>
      <c r="M12" s="47">
        <v>10.749996137501448</v>
      </c>
      <c r="N12" s="119">
        <v>28.333333333333332</v>
      </c>
      <c r="P12" s="118">
        <v>0.47618904115094562</v>
      </c>
      <c r="Q12" s="47"/>
      <c r="R12" s="47"/>
      <c r="S12" s="47" t="s">
        <v>18</v>
      </c>
      <c r="T12" s="47"/>
      <c r="U12" s="47"/>
      <c r="V12" s="47">
        <v>9.3057709582731407E-2</v>
      </c>
      <c r="W12" s="47">
        <v>13</v>
      </c>
      <c r="X12" s="47">
        <v>10.857138396940686</v>
      </c>
      <c r="Y12" s="119">
        <v>28.333333333333332</v>
      </c>
    </row>
    <row r="13" spans="5:25" x14ac:dyDescent="0.3">
      <c r="E13" s="118">
        <v>2.4524308126350221</v>
      </c>
      <c r="F13" s="47"/>
      <c r="G13" s="47"/>
      <c r="H13" s="47" t="s">
        <v>19</v>
      </c>
      <c r="I13" s="47"/>
      <c r="J13" s="47"/>
      <c r="K13" s="47">
        <v>1.5420923581048203</v>
      </c>
      <c r="L13" s="47">
        <v>1.25</v>
      </c>
      <c r="M13" s="47">
        <v>2.7327586206896552</v>
      </c>
      <c r="N13" s="119">
        <v>5</v>
      </c>
      <c r="P13" s="118">
        <v>0.81632045541103271</v>
      </c>
      <c r="Q13" s="47"/>
      <c r="R13" s="47"/>
      <c r="S13" s="47" t="s">
        <v>19</v>
      </c>
      <c r="T13" s="47"/>
      <c r="U13" s="47"/>
      <c r="V13" s="47">
        <v>0.15952679566601588</v>
      </c>
      <c r="W13" s="47">
        <v>0.58333333333333337</v>
      </c>
      <c r="X13" s="47">
        <v>3.2083333333333335</v>
      </c>
      <c r="Y13" s="119">
        <v>5</v>
      </c>
    </row>
    <row r="14" spans="5:25" x14ac:dyDescent="0.3">
      <c r="E14" s="118">
        <v>0.65539099303177317</v>
      </c>
      <c r="F14" s="47"/>
      <c r="G14" s="47"/>
      <c r="H14" s="47" t="s">
        <v>20</v>
      </c>
      <c r="I14" s="47"/>
      <c r="J14" s="47"/>
      <c r="K14" s="47">
        <v>0.41211088880387442</v>
      </c>
      <c r="L14" s="47">
        <v>1.6666666666666667</v>
      </c>
      <c r="M14" s="47">
        <v>2.725806451612903</v>
      </c>
      <c r="N14" s="119">
        <v>5</v>
      </c>
      <c r="P14" s="118">
        <v>6.8026704617586058E-8</v>
      </c>
      <c r="Q14" s="47"/>
      <c r="R14" s="47"/>
      <c r="S14" s="47" t="s">
        <v>20</v>
      </c>
      <c r="T14" s="47"/>
      <c r="U14" s="47"/>
      <c r="V14" s="47">
        <v>1.3293899638834657E-8</v>
      </c>
      <c r="W14" s="47">
        <v>9.9999999999999995E-7</v>
      </c>
      <c r="X14" s="47">
        <v>9.9999999999999995E-7</v>
      </c>
      <c r="Y14" s="119">
        <v>9.9999999999999995E-7</v>
      </c>
    </row>
    <row r="15" spans="5:25" x14ac:dyDescent="0.3">
      <c r="E15" s="118">
        <v>3.1712467404763219E-7</v>
      </c>
      <c r="F15" s="47"/>
      <c r="G15" s="47"/>
      <c r="H15" s="47" t="s">
        <v>21</v>
      </c>
      <c r="I15" s="47"/>
      <c r="J15" s="47"/>
      <c r="K15" s="47">
        <v>1.9940849458251983E-7</v>
      </c>
      <c r="L15" s="47">
        <v>9.9999999999999995E-7</v>
      </c>
      <c r="M15" s="47">
        <v>9.9999999999999995E-7</v>
      </c>
      <c r="N15" s="119">
        <v>9.9999999999999995E-7</v>
      </c>
      <c r="P15" s="118">
        <v>1.0204005692637907E-6</v>
      </c>
      <c r="Q15" s="47"/>
      <c r="R15" s="47"/>
      <c r="S15" s="47" t="s">
        <v>21</v>
      </c>
      <c r="T15" s="47"/>
      <c r="U15" s="47"/>
      <c r="V15" s="47">
        <v>1.9940849458251983E-7</v>
      </c>
      <c r="W15" s="47">
        <v>9.9999999999999995E-7</v>
      </c>
      <c r="X15" s="47">
        <v>9.9999999999999995E-7</v>
      </c>
      <c r="Y15" s="119">
        <v>9.9999999999999995E-7</v>
      </c>
    </row>
    <row r="16" spans="5:25" x14ac:dyDescent="0.3">
      <c r="E16" s="118">
        <v>0.76109921771431721</v>
      </c>
      <c r="F16" s="47"/>
      <c r="G16" s="47"/>
      <c r="H16" s="47" t="s">
        <v>26</v>
      </c>
      <c r="I16" s="47"/>
      <c r="J16" s="47"/>
      <c r="K16" s="47">
        <v>0.47858038699804761</v>
      </c>
      <c r="L16" s="47">
        <v>2</v>
      </c>
      <c r="M16" s="47">
        <v>3.8611111111111112</v>
      </c>
      <c r="N16" s="119">
        <v>5</v>
      </c>
      <c r="P16" s="118">
        <v>6.8026704617586058E-8</v>
      </c>
      <c r="Q16" s="47"/>
      <c r="R16" s="47"/>
      <c r="S16" s="47" t="s">
        <v>26</v>
      </c>
      <c r="T16" s="47"/>
      <c r="U16" s="47"/>
      <c r="V16" s="47">
        <v>1.3293899638834657E-8</v>
      </c>
      <c r="W16" s="47">
        <v>9.9999999999999995E-7</v>
      </c>
      <c r="X16" s="47">
        <v>9.9999999999999995E-7</v>
      </c>
      <c r="Y16" s="119">
        <v>9.9999999999999995E-7</v>
      </c>
    </row>
    <row r="17" spans="5:25" x14ac:dyDescent="0.3">
      <c r="E17" s="118">
        <v>0.25369976037975062</v>
      </c>
      <c r="F17" s="47"/>
      <c r="G17" s="47"/>
      <c r="H17" s="47" t="s">
        <v>22</v>
      </c>
      <c r="I17" s="47"/>
      <c r="J17" s="47"/>
      <c r="K17" s="47">
        <v>0.1595268089599155</v>
      </c>
      <c r="L17" s="47">
        <v>1</v>
      </c>
      <c r="M17" s="47">
        <v>1.9666665027777916</v>
      </c>
      <c r="N17" s="119">
        <v>5</v>
      </c>
      <c r="P17" s="118">
        <v>6.8026704617586058E-8</v>
      </c>
      <c r="Q17" s="47"/>
      <c r="R17" s="47"/>
      <c r="S17" s="47" t="s">
        <v>22</v>
      </c>
      <c r="T17" s="47"/>
      <c r="U17" s="47"/>
      <c r="V17" s="47">
        <v>1.3293899638834657E-8</v>
      </c>
      <c r="W17" s="47">
        <v>1E-4</v>
      </c>
      <c r="X17" s="47">
        <v>1E-4</v>
      </c>
      <c r="Y17" s="119">
        <v>1E-3</v>
      </c>
    </row>
    <row r="18" spans="5:25" x14ac:dyDescent="0.3">
      <c r="E18" s="118">
        <v>3.1712467404763219E-7</v>
      </c>
      <c r="F18" s="47"/>
      <c r="G18" s="47"/>
      <c r="H18" s="47" t="s">
        <v>29</v>
      </c>
      <c r="I18" s="47"/>
      <c r="J18" s="47"/>
      <c r="K18" s="47">
        <v>1.9940849458251983E-7</v>
      </c>
      <c r="L18" s="47">
        <v>9.9999999999999995E-7</v>
      </c>
      <c r="M18" s="47">
        <v>9.9999999999999995E-7</v>
      </c>
      <c r="N18" s="119">
        <v>9.9999999999999995E-7</v>
      </c>
      <c r="P18" s="118">
        <v>1.0204005692637907E-6</v>
      </c>
      <c r="Q18" s="47"/>
      <c r="R18" s="47"/>
      <c r="S18" s="47" t="s">
        <v>29</v>
      </c>
      <c r="T18" s="47"/>
      <c r="U18" s="47"/>
      <c r="V18" s="47">
        <v>1.9940849458251983E-7</v>
      </c>
      <c r="W18" s="47">
        <v>9.9999999999999995E-7</v>
      </c>
      <c r="X18" s="47">
        <v>9.9999999999999995E-7</v>
      </c>
      <c r="Y18" s="119">
        <v>9.9999999999999995E-7</v>
      </c>
    </row>
    <row r="19" spans="5:25" x14ac:dyDescent="0.3">
      <c r="E19" s="118">
        <v>4.2283289873017618E-2</v>
      </c>
      <c r="F19" s="47"/>
      <c r="G19" s="47"/>
      <c r="H19" s="47" t="s">
        <v>42</v>
      </c>
      <c r="I19" s="47"/>
      <c r="J19" s="47"/>
      <c r="K19" s="47">
        <v>2.6587799277669313E-2</v>
      </c>
      <c r="L19" s="47">
        <v>1</v>
      </c>
      <c r="M19" s="47">
        <v>2</v>
      </c>
      <c r="N19" s="119">
        <v>5</v>
      </c>
      <c r="P19" s="118">
        <v>6.8026704617586055E-5</v>
      </c>
      <c r="Q19" s="47"/>
      <c r="R19" s="47"/>
      <c r="S19" s="47" t="s">
        <v>42</v>
      </c>
      <c r="T19" s="47"/>
      <c r="U19" s="47"/>
      <c r="V19" s="47">
        <v>1.3293899638834657E-5</v>
      </c>
      <c r="W19" s="47">
        <v>1E-4</v>
      </c>
      <c r="X19" s="47">
        <v>1.0000000000000001E-5</v>
      </c>
      <c r="Y19" s="119">
        <v>1E-3</v>
      </c>
    </row>
    <row r="20" spans="5:25" ht="15" x14ac:dyDescent="0.25">
      <c r="E20" s="118"/>
      <c r="F20" s="47"/>
      <c r="G20" s="47"/>
      <c r="H20" s="47"/>
      <c r="I20" s="47"/>
      <c r="J20" s="47"/>
      <c r="K20" s="47"/>
      <c r="L20" s="47"/>
      <c r="M20" s="47"/>
      <c r="N20" s="119"/>
      <c r="P20" s="118"/>
      <c r="Q20" s="47"/>
      <c r="R20" s="47"/>
      <c r="S20" s="47"/>
      <c r="T20" s="47"/>
      <c r="U20" s="47"/>
      <c r="V20" s="47"/>
      <c r="W20" s="47"/>
      <c r="X20" s="47"/>
      <c r="Y20" s="119"/>
    </row>
    <row r="21" spans="5:25" ht="15" x14ac:dyDescent="0.25">
      <c r="E21" s="118"/>
      <c r="F21" s="47"/>
      <c r="G21" s="47"/>
      <c r="H21" s="47"/>
      <c r="I21" s="47"/>
      <c r="J21" s="47"/>
      <c r="K21" s="47"/>
      <c r="L21" s="47"/>
      <c r="M21" s="47"/>
      <c r="N21" s="119"/>
      <c r="P21" s="118"/>
      <c r="Q21" s="47"/>
      <c r="R21" s="47"/>
      <c r="S21" s="47"/>
      <c r="T21" s="47"/>
      <c r="U21" s="47"/>
      <c r="V21" s="47"/>
      <c r="W21" s="47"/>
      <c r="X21" s="47"/>
      <c r="Y21" s="119"/>
    </row>
    <row r="22" spans="5:25" x14ac:dyDescent="0.3">
      <c r="E22" s="120">
        <v>10</v>
      </c>
      <c r="F22" s="45"/>
      <c r="G22" s="45"/>
      <c r="H22" s="45" t="s">
        <v>27</v>
      </c>
      <c r="I22" s="45"/>
      <c r="J22" s="45"/>
      <c r="K22" s="45">
        <v>6.2880157522075582</v>
      </c>
      <c r="L22" s="45">
        <v>3.4008719691814782</v>
      </c>
      <c r="M22" s="45">
        <v>3.4282243791338249</v>
      </c>
      <c r="N22" s="121">
        <v>9.9131918600519278</v>
      </c>
      <c r="P22" s="120">
        <v>10.000000000000002</v>
      </c>
      <c r="Q22" s="45"/>
      <c r="R22" s="45"/>
      <c r="S22" s="45" t="s">
        <v>27</v>
      </c>
      <c r="T22" s="45"/>
      <c r="U22" s="45"/>
      <c r="V22" s="45">
        <v>1.954217790434899</v>
      </c>
      <c r="W22" s="45">
        <v>5.0682206040824784</v>
      </c>
      <c r="X22" s="45">
        <v>4.6918048793836782</v>
      </c>
      <c r="Y22" s="121">
        <v>13.03211115332039</v>
      </c>
    </row>
    <row r="26" spans="5:25" x14ac:dyDescent="0.3">
      <c r="E26" t="s">
        <v>131</v>
      </c>
      <c r="G26" s="143">
        <f>L28*E43/100</f>
        <v>13.095094624209928</v>
      </c>
      <c r="H26" t="s">
        <v>136</v>
      </c>
    </row>
    <row r="28" spans="5:25" x14ac:dyDescent="0.3">
      <c r="E28" t="s">
        <v>146</v>
      </c>
      <c r="F28" s="45" t="s">
        <v>147</v>
      </c>
      <c r="G28" s="45" t="e">
        <f>F28*G26</f>
        <v>#VALUE!</v>
      </c>
      <c r="H28" t="s">
        <v>145</v>
      </c>
      <c r="J28" t="s">
        <v>135</v>
      </c>
      <c r="L28" s="45">
        <v>19</v>
      </c>
      <c r="M28" t="s">
        <v>136</v>
      </c>
      <c r="N28" t="s">
        <v>144</v>
      </c>
    </row>
    <row r="30" spans="5:25" x14ac:dyDescent="0.3">
      <c r="E30" s="115" t="s">
        <v>132</v>
      </c>
      <c r="F30" s="116"/>
      <c r="G30" s="116" t="s">
        <v>136</v>
      </c>
      <c r="H30" s="116"/>
      <c r="I30" s="116"/>
      <c r="J30" s="116"/>
      <c r="K30" s="116" t="s">
        <v>24</v>
      </c>
      <c r="L30" s="116" t="s">
        <v>23</v>
      </c>
      <c r="M30" s="116" t="s">
        <v>8</v>
      </c>
      <c r="N30" s="117" t="s">
        <v>9</v>
      </c>
    </row>
    <row r="31" spans="5:25" x14ac:dyDescent="0.3">
      <c r="E31" s="124">
        <f>K31/K$43</f>
        <v>1.2269976363546988E-2</v>
      </c>
      <c r="F31" s="47"/>
      <c r="G31" s="123">
        <f t="shared" ref="G31:G40" si="0">E31*G$26</f>
        <v>0.16067650151746704</v>
      </c>
      <c r="H31" s="47" t="s">
        <v>43</v>
      </c>
      <c r="I31" s="47"/>
      <c r="J31" s="47"/>
      <c r="K31" s="122">
        <f>K10-V10</f>
        <v>5.3175598555338655E-2</v>
      </c>
      <c r="L31" s="47"/>
      <c r="M31" s="47"/>
      <c r="N31" s="119"/>
    </row>
    <row r="32" spans="5:25" x14ac:dyDescent="0.3">
      <c r="E32" s="124">
        <f t="shared" ref="E32:E39" si="1">K32/K$43</f>
        <v>0.41717919636059736</v>
      </c>
      <c r="F32" s="47"/>
      <c r="G32" s="123">
        <f t="shared" si="0"/>
        <v>5.4630010515938761</v>
      </c>
      <c r="H32" s="47" t="s">
        <v>17</v>
      </c>
      <c r="I32" s="47"/>
      <c r="J32" s="47"/>
      <c r="K32" s="122">
        <f t="shared" ref="K32:K40" si="2">K11-V11</f>
        <v>1.8079703508815133</v>
      </c>
      <c r="L32" s="47"/>
      <c r="M32" s="47"/>
      <c r="N32" s="119"/>
    </row>
    <row r="33" spans="5:14" x14ac:dyDescent="0.3">
      <c r="E33" s="124">
        <f t="shared" si="1"/>
        <v>3.0674940908867439E-3</v>
      </c>
      <c r="F33" s="47"/>
      <c r="G33" s="123">
        <f t="shared" si="0"/>
        <v>4.0169125379366719E-2</v>
      </c>
      <c r="H33" s="47" t="s">
        <v>18</v>
      </c>
      <c r="I33" s="47"/>
      <c r="J33" s="47"/>
      <c r="K33" s="122">
        <f t="shared" si="2"/>
        <v>1.329389963883465E-2</v>
      </c>
      <c r="L33" s="47"/>
      <c r="M33" s="47"/>
      <c r="N33" s="119"/>
    </row>
    <row r="34" spans="5:14" x14ac:dyDescent="0.3">
      <c r="E34" s="124">
        <f t="shared" si="1"/>
        <v>0.31901938545222158</v>
      </c>
      <c r="F34" s="47"/>
      <c r="G34" s="123">
        <f t="shared" si="0"/>
        <v>4.1775890394541415</v>
      </c>
      <c r="H34" s="47" t="s">
        <v>19</v>
      </c>
      <c r="I34" s="47"/>
      <c r="J34" s="47"/>
      <c r="K34" s="122">
        <f t="shared" si="2"/>
        <v>1.3825655624388045</v>
      </c>
      <c r="L34" s="47"/>
      <c r="M34" s="47"/>
      <c r="N34" s="119"/>
    </row>
    <row r="35" spans="5:14" x14ac:dyDescent="0.3">
      <c r="E35" s="124">
        <f t="shared" si="1"/>
        <v>9.5092313749995022E-2</v>
      </c>
      <c r="F35" s="47"/>
      <c r="G35" s="123">
        <f t="shared" si="0"/>
        <v>1.2452428465912435</v>
      </c>
      <c r="H35" s="47" t="s">
        <v>20</v>
      </c>
      <c r="I35" s="47"/>
      <c r="J35" s="47"/>
      <c r="K35" s="122">
        <f t="shared" si="2"/>
        <v>0.41211087550997477</v>
      </c>
      <c r="L35" s="47"/>
      <c r="M35" s="47"/>
      <c r="N35" s="119"/>
    </row>
    <row r="36" spans="5:14" x14ac:dyDescent="0.3">
      <c r="E36" s="124">
        <f t="shared" si="1"/>
        <v>0</v>
      </c>
      <c r="F36" s="47"/>
      <c r="G36" s="123">
        <f t="shared" si="0"/>
        <v>0</v>
      </c>
      <c r="H36" s="47" t="s">
        <v>21</v>
      </c>
      <c r="I36" s="47"/>
      <c r="J36" s="47"/>
      <c r="K36" s="122">
        <f t="shared" si="2"/>
        <v>0</v>
      </c>
      <c r="L36" s="47"/>
      <c r="M36" s="47"/>
      <c r="N36" s="119"/>
    </row>
    <row r="37" spans="5:14" x14ac:dyDescent="0.3">
      <c r="E37" s="124">
        <f t="shared" si="1"/>
        <v>0.11042978420442874</v>
      </c>
      <c r="F37" s="47"/>
      <c r="G37" s="123">
        <f t="shared" si="0"/>
        <v>1.4460884734880772</v>
      </c>
      <c r="H37" s="47" t="s">
        <v>26</v>
      </c>
      <c r="I37" s="47"/>
      <c r="J37" s="47"/>
      <c r="K37" s="122">
        <f t="shared" si="2"/>
        <v>0.47858037370414797</v>
      </c>
      <c r="L37" s="47"/>
      <c r="M37" s="47"/>
      <c r="N37" s="119"/>
    </row>
    <row r="38" spans="5:14" x14ac:dyDescent="0.3">
      <c r="E38" s="124">
        <f t="shared" si="1"/>
        <v>3.6809929090640937E-2</v>
      </c>
      <c r="F38" s="47"/>
      <c r="G38" s="123">
        <f t="shared" si="0"/>
        <v>0.48202950455240079</v>
      </c>
      <c r="H38" s="47" t="s">
        <v>22</v>
      </c>
      <c r="I38" s="47"/>
      <c r="J38" s="47"/>
      <c r="K38" s="122">
        <f t="shared" si="2"/>
        <v>0.15952679566601585</v>
      </c>
      <c r="L38" s="47"/>
      <c r="M38" s="47"/>
      <c r="N38" s="119"/>
    </row>
    <row r="39" spans="5:14" x14ac:dyDescent="0.3">
      <c r="E39" s="124">
        <f t="shared" si="1"/>
        <v>0</v>
      </c>
      <c r="F39" s="47"/>
      <c r="G39" s="123">
        <f t="shared" si="0"/>
        <v>0</v>
      </c>
      <c r="H39" s="47" t="s">
        <v>29</v>
      </c>
      <c r="I39" s="47"/>
      <c r="J39" s="47"/>
      <c r="K39" s="122">
        <f t="shared" si="2"/>
        <v>0</v>
      </c>
      <c r="L39" s="47"/>
      <c r="M39" s="47"/>
      <c r="N39" s="119"/>
    </row>
    <row r="40" spans="5:14" x14ac:dyDescent="0.3">
      <c r="E40" s="124">
        <f>K40/K$43</f>
        <v>6.1319206876826043E-3</v>
      </c>
      <c r="F40" s="47"/>
      <c r="G40" s="123">
        <f t="shared" si="0"/>
        <v>8.0298081633354113E-2</v>
      </c>
      <c r="H40" s="47" t="s">
        <v>42</v>
      </c>
      <c r="I40" s="47"/>
      <c r="J40" s="47"/>
      <c r="K40" s="122">
        <f t="shared" si="2"/>
        <v>2.657450537803048E-2</v>
      </c>
      <c r="L40" s="47"/>
      <c r="M40" s="47"/>
      <c r="N40" s="119"/>
    </row>
    <row r="41" spans="5:14" x14ac:dyDescent="0.3">
      <c r="E41" s="118"/>
      <c r="F41" s="47"/>
      <c r="G41" s="47"/>
      <c r="H41" s="47"/>
      <c r="I41" s="47"/>
      <c r="J41" s="47"/>
      <c r="K41" s="47"/>
      <c r="L41" s="47"/>
      <c r="M41" s="47"/>
      <c r="N41" s="119"/>
    </row>
    <row r="42" spans="5:14" x14ac:dyDescent="0.3">
      <c r="E42" s="118" t="s">
        <v>133</v>
      </c>
      <c r="F42" s="47"/>
      <c r="G42" s="47"/>
      <c r="H42" s="47"/>
      <c r="I42" s="47"/>
      <c r="J42" s="47"/>
      <c r="K42" s="47"/>
      <c r="L42" s="47"/>
      <c r="M42" s="47"/>
      <c r="N42" s="119"/>
    </row>
    <row r="43" spans="5:14" x14ac:dyDescent="0.3">
      <c r="E43" s="126">
        <f>K43/K22*100</f>
        <v>68.92155065373646</v>
      </c>
      <c r="F43" s="45" t="s">
        <v>134</v>
      </c>
      <c r="G43" s="45"/>
      <c r="H43" s="45" t="s">
        <v>27</v>
      </c>
      <c r="I43" s="45"/>
      <c r="J43" s="45"/>
      <c r="K43" s="125">
        <f>K31+K32+K33+K34+K35+K36+K37+K38+K39+K40</f>
        <v>4.3337979617726603</v>
      </c>
      <c r="L43" s="45"/>
      <c r="M43" s="45"/>
      <c r="N43" s="121"/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X58"/>
  <sheetViews>
    <sheetView view="pageBreakPreview" zoomScaleNormal="100" zoomScaleSheetLayoutView="100" workbookViewId="0">
      <selection activeCell="M23" sqref="M23:M26"/>
    </sheetView>
  </sheetViews>
  <sheetFormatPr defaultRowHeight="13.2" x14ac:dyDescent="0.25"/>
  <cols>
    <col min="1" max="3" width="7.6640625" style="91" customWidth="1"/>
    <col min="4" max="4" width="10.44140625" style="91" customWidth="1"/>
    <col min="5" max="5" width="7.6640625" style="91" customWidth="1"/>
    <col min="6" max="6" width="9.6640625" style="91" customWidth="1"/>
    <col min="7" max="7" width="9.109375" style="91" customWidth="1"/>
    <col min="8" max="11" width="7.6640625" style="91" customWidth="1"/>
    <col min="12" max="13" width="10.33203125" style="91" customWidth="1"/>
    <col min="14" max="14" width="2.6640625" style="91" hidden="1" customWidth="1"/>
    <col min="15" max="15" width="9.109375" style="91"/>
    <col min="16" max="16" width="15.88671875" style="91" customWidth="1"/>
    <col min="17" max="256" width="9.109375" style="91"/>
    <col min="257" max="259" width="7.6640625" style="91" customWidth="1"/>
    <col min="260" max="260" width="10.44140625" style="91" customWidth="1"/>
    <col min="261" max="261" width="7.6640625" style="91" customWidth="1"/>
    <col min="262" max="262" width="9.6640625" style="91" customWidth="1"/>
    <col min="263" max="263" width="9.109375" style="91"/>
    <col min="264" max="267" width="7.6640625" style="91" customWidth="1"/>
    <col min="268" max="269" width="10.33203125" style="91" customWidth="1"/>
    <col min="270" max="270" width="0" style="91" hidden="1" customWidth="1"/>
    <col min="271" max="512" width="9.109375" style="91"/>
    <col min="513" max="515" width="7.6640625" style="91" customWidth="1"/>
    <col min="516" max="516" width="10.44140625" style="91" customWidth="1"/>
    <col min="517" max="517" width="7.6640625" style="91" customWidth="1"/>
    <col min="518" max="518" width="9.6640625" style="91" customWidth="1"/>
    <col min="519" max="519" width="9.109375" style="91"/>
    <col min="520" max="523" width="7.6640625" style="91" customWidth="1"/>
    <col min="524" max="525" width="10.33203125" style="91" customWidth="1"/>
    <col min="526" max="526" width="0" style="91" hidden="1" customWidth="1"/>
    <col min="527" max="768" width="9.109375" style="91"/>
    <col min="769" max="771" width="7.6640625" style="91" customWidth="1"/>
    <col min="772" max="772" width="10.44140625" style="91" customWidth="1"/>
    <col min="773" max="773" width="7.6640625" style="91" customWidth="1"/>
    <col min="774" max="774" width="9.6640625" style="91" customWidth="1"/>
    <col min="775" max="775" width="9.109375" style="91"/>
    <col min="776" max="779" width="7.6640625" style="91" customWidth="1"/>
    <col min="780" max="781" width="10.33203125" style="91" customWidth="1"/>
    <col min="782" max="782" width="0" style="91" hidden="1" customWidth="1"/>
    <col min="783" max="1024" width="9.109375" style="91"/>
    <col min="1025" max="1027" width="7.6640625" style="91" customWidth="1"/>
    <col min="1028" max="1028" width="10.44140625" style="91" customWidth="1"/>
    <col min="1029" max="1029" width="7.6640625" style="91" customWidth="1"/>
    <col min="1030" max="1030" width="9.6640625" style="91" customWidth="1"/>
    <col min="1031" max="1031" width="9.109375" style="91"/>
    <col min="1032" max="1035" width="7.6640625" style="91" customWidth="1"/>
    <col min="1036" max="1037" width="10.33203125" style="91" customWidth="1"/>
    <col min="1038" max="1038" width="0" style="91" hidden="1" customWidth="1"/>
    <col min="1039" max="1280" width="9.109375" style="91"/>
    <col min="1281" max="1283" width="7.6640625" style="91" customWidth="1"/>
    <col min="1284" max="1284" width="10.44140625" style="91" customWidth="1"/>
    <col min="1285" max="1285" width="7.6640625" style="91" customWidth="1"/>
    <col min="1286" max="1286" width="9.6640625" style="91" customWidth="1"/>
    <col min="1287" max="1287" width="9.109375" style="91"/>
    <col min="1288" max="1291" width="7.6640625" style="91" customWidth="1"/>
    <col min="1292" max="1293" width="10.33203125" style="91" customWidth="1"/>
    <col min="1294" max="1294" width="0" style="91" hidden="1" customWidth="1"/>
    <col min="1295" max="1536" width="9.109375" style="91"/>
    <col min="1537" max="1539" width="7.6640625" style="91" customWidth="1"/>
    <col min="1540" max="1540" width="10.44140625" style="91" customWidth="1"/>
    <col min="1541" max="1541" width="7.6640625" style="91" customWidth="1"/>
    <col min="1542" max="1542" width="9.6640625" style="91" customWidth="1"/>
    <col min="1543" max="1543" width="9.109375" style="91"/>
    <col min="1544" max="1547" width="7.6640625" style="91" customWidth="1"/>
    <col min="1548" max="1549" width="10.33203125" style="91" customWidth="1"/>
    <col min="1550" max="1550" width="0" style="91" hidden="1" customWidth="1"/>
    <col min="1551" max="1792" width="9.109375" style="91"/>
    <col min="1793" max="1795" width="7.6640625" style="91" customWidth="1"/>
    <col min="1796" max="1796" width="10.44140625" style="91" customWidth="1"/>
    <col min="1797" max="1797" width="7.6640625" style="91" customWidth="1"/>
    <col min="1798" max="1798" width="9.6640625" style="91" customWidth="1"/>
    <col min="1799" max="1799" width="9.109375" style="91"/>
    <col min="1800" max="1803" width="7.6640625" style="91" customWidth="1"/>
    <col min="1804" max="1805" width="10.33203125" style="91" customWidth="1"/>
    <col min="1806" max="1806" width="0" style="91" hidden="1" customWidth="1"/>
    <col min="1807" max="2048" width="9.109375" style="91"/>
    <col min="2049" max="2051" width="7.6640625" style="91" customWidth="1"/>
    <col min="2052" max="2052" width="10.44140625" style="91" customWidth="1"/>
    <col min="2053" max="2053" width="7.6640625" style="91" customWidth="1"/>
    <col min="2054" max="2054" width="9.6640625" style="91" customWidth="1"/>
    <col min="2055" max="2055" width="9.109375" style="91"/>
    <col min="2056" max="2059" width="7.6640625" style="91" customWidth="1"/>
    <col min="2060" max="2061" width="10.33203125" style="91" customWidth="1"/>
    <col min="2062" max="2062" width="0" style="91" hidden="1" customWidth="1"/>
    <col min="2063" max="2304" width="9.109375" style="91"/>
    <col min="2305" max="2307" width="7.6640625" style="91" customWidth="1"/>
    <col min="2308" max="2308" width="10.44140625" style="91" customWidth="1"/>
    <col min="2309" max="2309" width="7.6640625" style="91" customWidth="1"/>
    <col min="2310" max="2310" width="9.6640625" style="91" customWidth="1"/>
    <col min="2311" max="2311" width="9.109375" style="91"/>
    <col min="2312" max="2315" width="7.6640625" style="91" customWidth="1"/>
    <col min="2316" max="2317" width="10.33203125" style="91" customWidth="1"/>
    <col min="2318" max="2318" width="0" style="91" hidden="1" customWidth="1"/>
    <col min="2319" max="2560" width="9.109375" style="91"/>
    <col min="2561" max="2563" width="7.6640625" style="91" customWidth="1"/>
    <col min="2564" max="2564" width="10.44140625" style="91" customWidth="1"/>
    <col min="2565" max="2565" width="7.6640625" style="91" customWidth="1"/>
    <col min="2566" max="2566" width="9.6640625" style="91" customWidth="1"/>
    <col min="2567" max="2567" width="9.109375" style="91"/>
    <col min="2568" max="2571" width="7.6640625" style="91" customWidth="1"/>
    <col min="2572" max="2573" width="10.33203125" style="91" customWidth="1"/>
    <col min="2574" max="2574" width="0" style="91" hidden="1" customWidth="1"/>
    <col min="2575" max="2816" width="9.109375" style="91"/>
    <col min="2817" max="2819" width="7.6640625" style="91" customWidth="1"/>
    <col min="2820" max="2820" width="10.44140625" style="91" customWidth="1"/>
    <col min="2821" max="2821" width="7.6640625" style="91" customWidth="1"/>
    <col min="2822" max="2822" width="9.6640625" style="91" customWidth="1"/>
    <col min="2823" max="2823" width="9.109375" style="91"/>
    <col min="2824" max="2827" width="7.6640625" style="91" customWidth="1"/>
    <col min="2828" max="2829" width="10.33203125" style="91" customWidth="1"/>
    <col min="2830" max="2830" width="0" style="91" hidden="1" customWidth="1"/>
    <col min="2831" max="3072" width="9.109375" style="91"/>
    <col min="3073" max="3075" width="7.6640625" style="91" customWidth="1"/>
    <col min="3076" max="3076" width="10.44140625" style="91" customWidth="1"/>
    <col min="3077" max="3077" width="7.6640625" style="91" customWidth="1"/>
    <col min="3078" max="3078" width="9.6640625" style="91" customWidth="1"/>
    <col min="3079" max="3079" width="9.109375" style="91"/>
    <col min="3080" max="3083" width="7.6640625" style="91" customWidth="1"/>
    <col min="3084" max="3085" width="10.33203125" style="91" customWidth="1"/>
    <col min="3086" max="3086" width="0" style="91" hidden="1" customWidth="1"/>
    <col min="3087" max="3328" width="9.109375" style="91"/>
    <col min="3329" max="3331" width="7.6640625" style="91" customWidth="1"/>
    <col min="3332" max="3332" width="10.44140625" style="91" customWidth="1"/>
    <col min="3333" max="3333" width="7.6640625" style="91" customWidth="1"/>
    <col min="3334" max="3334" width="9.6640625" style="91" customWidth="1"/>
    <col min="3335" max="3335" width="9.109375" style="91"/>
    <col min="3336" max="3339" width="7.6640625" style="91" customWidth="1"/>
    <col min="3340" max="3341" width="10.33203125" style="91" customWidth="1"/>
    <col min="3342" max="3342" width="0" style="91" hidden="1" customWidth="1"/>
    <col min="3343" max="3584" width="9.109375" style="91"/>
    <col min="3585" max="3587" width="7.6640625" style="91" customWidth="1"/>
    <col min="3588" max="3588" width="10.44140625" style="91" customWidth="1"/>
    <col min="3589" max="3589" width="7.6640625" style="91" customWidth="1"/>
    <col min="3590" max="3590" width="9.6640625" style="91" customWidth="1"/>
    <col min="3591" max="3591" width="9.109375" style="91"/>
    <col min="3592" max="3595" width="7.6640625" style="91" customWidth="1"/>
    <col min="3596" max="3597" width="10.33203125" style="91" customWidth="1"/>
    <col min="3598" max="3598" width="0" style="91" hidden="1" customWidth="1"/>
    <col min="3599" max="3840" width="9.109375" style="91"/>
    <col min="3841" max="3843" width="7.6640625" style="91" customWidth="1"/>
    <col min="3844" max="3844" width="10.44140625" style="91" customWidth="1"/>
    <col min="3845" max="3845" width="7.6640625" style="91" customWidth="1"/>
    <col min="3846" max="3846" width="9.6640625" style="91" customWidth="1"/>
    <col min="3847" max="3847" width="9.109375" style="91"/>
    <col min="3848" max="3851" width="7.6640625" style="91" customWidth="1"/>
    <col min="3852" max="3853" width="10.33203125" style="91" customWidth="1"/>
    <col min="3854" max="3854" width="0" style="91" hidden="1" customWidth="1"/>
    <col min="3855" max="4096" width="9.109375" style="91"/>
    <col min="4097" max="4099" width="7.6640625" style="91" customWidth="1"/>
    <col min="4100" max="4100" width="10.44140625" style="91" customWidth="1"/>
    <col min="4101" max="4101" width="7.6640625" style="91" customWidth="1"/>
    <col min="4102" max="4102" width="9.6640625" style="91" customWidth="1"/>
    <col min="4103" max="4103" width="9.109375" style="91"/>
    <col min="4104" max="4107" width="7.6640625" style="91" customWidth="1"/>
    <col min="4108" max="4109" width="10.33203125" style="91" customWidth="1"/>
    <col min="4110" max="4110" width="0" style="91" hidden="1" customWidth="1"/>
    <col min="4111" max="4352" width="9.109375" style="91"/>
    <col min="4353" max="4355" width="7.6640625" style="91" customWidth="1"/>
    <col min="4356" max="4356" width="10.44140625" style="91" customWidth="1"/>
    <col min="4357" max="4357" width="7.6640625" style="91" customWidth="1"/>
    <col min="4358" max="4358" width="9.6640625" style="91" customWidth="1"/>
    <col min="4359" max="4359" width="9.109375" style="91"/>
    <col min="4360" max="4363" width="7.6640625" style="91" customWidth="1"/>
    <col min="4364" max="4365" width="10.33203125" style="91" customWidth="1"/>
    <col min="4366" max="4366" width="0" style="91" hidden="1" customWidth="1"/>
    <col min="4367" max="4608" width="9.109375" style="91"/>
    <col min="4609" max="4611" width="7.6640625" style="91" customWidth="1"/>
    <col min="4612" max="4612" width="10.44140625" style="91" customWidth="1"/>
    <col min="4613" max="4613" width="7.6640625" style="91" customWidth="1"/>
    <col min="4614" max="4614" width="9.6640625" style="91" customWidth="1"/>
    <col min="4615" max="4615" width="9.109375" style="91"/>
    <col min="4616" max="4619" width="7.6640625" style="91" customWidth="1"/>
    <col min="4620" max="4621" width="10.33203125" style="91" customWidth="1"/>
    <col min="4622" max="4622" width="0" style="91" hidden="1" customWidth="1"/>
    <col min="4623" max="4864" width="9.109375" style="91"/>
    <col min="4865" max="4867" width="7.6640625" style="91" customWidth="1"/>
    <col min="4868" max="4868" width="10.44140625" style="91" customWidth="1"/>
    <col min="4869" max="4869" width="7.6640625" style="91" customWidth="1"/>
    <col min="4870" max="4870" width="9.6640625" style="91" customWidth="1"/>
    <col min="4871" max="4871" width="9.109375" style="91"/>
    <col min="4872" max="4875" width="7.6640625" style="91" customWidth="1"/>
    <col min="4876" max="4877" width="10.33203125" style="91" customWidth="1"/>
    <col min="4878" max="4878" width="0" style="91" hidden="1" customWidth="1"/>
    <col min="4879" max="5120" width="9.109375" style="91"/>
    <col min="5121" max="5123" width="7.6640625" style="91" customWidth="1"/>
    <col min="5124" max="5124" width="10.44140625" style="91" customWidth="1"/>
    <col min="5125" max="5125" width="7.6640625" style="91" customWidth="1"/>
    <col min="5126" max="5126" width="9.6640625" style="91" customWidth="1"/>
    <col min="5127" max="5127" width="9.109375" style="91"/>
    <col min="5128" max="5131" width="7.6640625" style="91" customWidth="1"/>
    <col min="5132" max="5133" width="10.33203125" style="91" customWidth="1"/>
    <col min="5134" max="5134" width="0" style="91" hidden="1" customWidth="1"/>
    <col min="5135" max="5376" width="9.109375" style="91"/>
    <col min="5377" max="5379" width="7.6640625" style="91" customWidth="1"/>
    <col min="5380" max="5380" width="10.44140625" style="91" customWidth="1"/>
    <col min="5381" max="5381" width="7.6640625" style="91" customWidth="1"/>
    <col min="5382" max="5382" width="9.6640625" style="91" customWidth="1"/>
    <col min="5383" max="5383" width="9.109375" style="91"/>
    <col min="5384" max="5387" width="7.6640625" style="91" customWidth="1"/>
    <col min="5388" max="5389" width="10.33203125" style="91" customWidth="1"/>
    <col min="5390" max="5390" width="0" style="91" hidden="1" customWidth="1"/>
    <col min="5391" max="5632" width="9.109375" style="91"/>
    <col min="5633" max="5635" width="7.6640625" style="91" customWidth="1"/>
    <col min="5636" max="5636" width="10.44140625" style="91" customWidth="1"/>
    <col min="5637" max="5637" width="7.6640625" style="91" customWidth="1"/>
    <col min="5638" max="5638" width="9.6640625" style="91" customWidth="1"/>
    <col min="5639" max="5639" width="9.109375" style="91"/>
    <col min="5640" max="5643" width="7.6640625" style="91" customWidth="1"/>
    <col min="5644" max="5645" width="10.33203125" style="91" customWidth="1"/>
    <col min="5646" max="5646" width="0" style="91" hidden="1" customWidth="1"/>
    <col min="5647" max="5888" width="9.109375" style="91"/>
    <col min="5889" max="5891" width="7.6640625" style="91" customWidth="1"/>
    <col min="5892" max="5892" width="10.44140625" style="91" customWidth="1"/>
    <col min="5893" max="5893" width="7.6640625" style="91" customWidth="1"/>
    <col min="5894" max="5894" width="9.6640625" style="91" customWidth="1"/>
    <col min="5895" max="5895" width="9.109375" style="91"/>
    <col min="5896" max="5899" width="7.6640625" style="91" customWidth="1"/>
    <col min="5900" max="5901" width="10.33203125" style="91" customWidth="1"/>
    <col min="5902" max="5902" width="0" style="91" hidden="1" customWidth="1"/>
    <col min="5903" max="6144" width="9.109375" style="91"/>
    <col min="6145" max="6147" width="7.6640625" style="91" customWidth="1"/>
    <col min="6148" max="6148" width="10.44140625" style="91" customWidth="1"/>
    <col min="6149" max="6149" width="7.6640625" style="91" customWidth="1"/>
    <col min="6150" max="6150" width="9.6640625" style="91" customWidth="1"/>
    <col min="6151" max="6151" width="9.109375" style="91"/>
    <col min="6152" max="6155" width="7.6640625" style="91" customWidth="1"/>
    <col min="6156" max="6157" width="10.33203125" style="91" customWidth="1"/>
    <col min="6158" max="6158" width="0" style="91" hidden="1" customWidth="1"/>
    <col min="6159" max="6400" width="9.109375" style="91"/>
    <col min="6401" max="6403" width="7.6640625" style="91" customWidth="1"/>
    <col min="6404" max="6404" width="10.44140625" style="91" customWidth="1"/>
    <col min="6405" max="6405" width="7.6640625" style="91" customWidth="1"/>
    <col min="6406" max="6406" width="9.6640625" style="91" customWidth="1"/>
    <col min="6407" max="6407" width="9.109375" style="91"/>
    <col min="6408" max="6411" width="7.6640625" style="91" customWidth="1"/>
    <col min="6412" max="6413" width="10.33203125" style="91" customWidth="1"/>
    <col min="6414" max="6414" width="0" style="91" hidden="1" customWidth="1"/>
    <col min="6415" max="6656" width="9.109375" style="91"/>
    <col min="6657" max="6659" width="7.6640625" style="91" customWidth="1"/>
    <col min="6660" max="6660" width="10.44140625" style="91" customWidth="1"/>
    <col min="6661" max="6661" width="7.6640625" style="91" customWidth="1"/>
    <col min="6662" max="6662" width="9.6640625" style="91" customWidth="1"/>
    <col min="6663" max="6663" width="9.109375" style="91"/>
    <col min="6664" max="6667" width="7.6640625" style="91" customWidth="1"/>
    <col min="6668" max="6669" width="10.33203125" style="91" customWidth="1"/>
    <col min="6670" max="6670" width="0" style="91" hidden="1" customWidth="1"/>
    <col min="6671" max="6912" width="9.109375" style="91"/>
    <col min="6913" max="6915" width="7.6640625" style="91" customWidth="1"/>
    <col min="6916" max="6916" width="10.44140625" style="91" customWidth="1"/>
    <col min="6917" max="6917" width="7.6640625" style="91" customWidth="1"/>
    <col min="6918" max="6918" width="9.6640625" style="91" customWidth="1"/>
    <col min="6919" max="6919" width="9.109375" style="91"/>
    <col min="6920" max="6923" width="7.6640625" style="91" customWidth="1"/>
    <col min="6924" max="6925" width="10.33203125" style="91" customWidth="1"/>
    <col min="6926" max="6926" width="0" style="91" hidden="1" customWidth="1"/>
    <col min="6927" max="7168" width="9.109375" style="91"/>
    <col min="7169" max="7171" width="7.6640625" style="91" customWidth="1"/>
    <col min="7172" max="7172" width="10.44140625" style="91" customWidth="1"/>
    <col min="7173" max="7173" width="7.6640625" style="91" customWidth="1"/>
    <col min="7174" max="7174" width="9.6640625" style="91" customWidth="1"/>
    <col min="7175" max="7175" width="9.109375" style="91"/>
    <col min="7176" max="7179" width="7.6640625" style="91" customWidth="1"/>
    <col min="7180" max="7181" width="10.33203125" style="91" customWidth="1"/>
    <col min="7182" max="7182" width="0" style="91" hidden="1" customWidth="1"/>
    <col min="7183" max="7424" width="9.109375" style="91"/>
    <col min="7425" max="7427" width="7.6640625" style="91" customWidth="1"/>
    <col min="7428" max="7428" width="10.44140625" style="91" customWidth="1"/>
    <col min="7429" max="7429" width="7.6640625" style="91" customWidth="1"/>
    <col min="7430" max="7430" width="9.6640625" style="91" customWidth="1"/>
    <col min="7431" max="7431" width="9.109375" style="91"/>
    <col min="7432" max="7435" width="7.6640625" style="91" customWidth="1"/>
    <col min="7436" max="7437" width="10.33203125" style="91" customWidth="1"/>
    <col min="7438" max="7438" width="0" style="91" hidden="1" customWidth="1"/>
    <col min="7439" max="7680" width="9.109375" style="91"/>
    <col min="7681" max="7683" width="7.6640625" style="91" customWidth="1"/>
    <col min="7684" max="7684" width="10.44140625" style="91" customWidth="1"/>
    <col min="7685" max="7685" width="7.6640625" style="91" customWidth="1"/>
    <col min="7686" max="7686" width="9.6640625" style="91" customWidth="1"/>
    <col min="7687" max="7687" width="9.109375" style="91"/>
    <col min="7688" max="7691" width="7.6640625" style="91" customWidth="1"/>
    <col min="7692" max="7693" width="10.33203125" style="91" customWidth="1"/>
    <col min="7694" max="7694" width="0" style="91" hidden="1" customWidth="1"/>
    <col min="7695" max="7936" width="9.109375" style="91"/>
    <col min="7937" max="7939" width="7.6640625" style="91" customWidth="1"/>
    <col min="7940" max="7940" width="10.44140625" style="91" customWidth="1"/>
    <col min="7941" max="7941" width="7.6640625" style="91" customWidth="1"/>
    <col min="7942" max="7942" width="9.6640625" style="91" customWidth="1"/>
    <col min="7943" max="7943" width="9.109375" style="91"/>
    <col min="7944" max="7947" width="7.6640625" style="91" customWidth="1"/>
    <col min="7948" max="7949" width="10.33203125" style="91" customWidth="1"/>
    <col min="7950" max="7950" width="0" style="91" hidden="1" customWidth="1"/>
    <col min="7951" max="8192" width="9.109375" style="91"/>
    <col min="8193" max="8195" width="7.6640625" style="91" customWidth="1"/>
    <col min="8196" max="8196" width="10.44140625" style="91" customWidth="1"/>
    <col min="8197" max="8197" width="7.6640625" style="91" customWidth="1"/>
    <col min="8198" max="8198" width="9.6640625" style="91" customWidth="1"/>
    <col min="8199" max="8199" width="9.109375" style="91"/>
    <col min="8200" max="8203" width="7.6640625" style="91" customWidth="1"/>
    <col min="8204" max="8205" width="10.33203125" style="91" customWidth="1"/>
    <col min="8206" max="8206" width="0" style="91" hidden="1" customWidth="1"/>
    <col min="8207" max="8448" width="9.109375" style="91"/>
    <col min="8449" max="8451" width="7.6640625" style="91" customWidth="1"/>
    <col min="8452" max="8452" width="10.44140625" style="91" customWidth="1"/>
    <col min="8453" max="8453" width="7.6640625" style="91" customWidth="1"/>
    <col min="8454" max="8454" width="9.6640625" style="91" customWidth="1"/>
    <col min="8455" max="8455" width="9.109375" style="91"/>
    <col min="8456" max="8459" width="7.6640625" style="91" customWidth="1"/>
    <col min="8460" max="8461" width="10.33203125" style="91" customWidth="1"/>
    <col min="8462" max="8462" width="0" style="91" hidden="1" customWidth="1"/>
    <col min="8463" max="8704" width="9.109375" style="91"/>
    <col min="8705" max="8707" width="7.6640625" style="91" customWidth="1"/>
    <col min="8708" max="8708" width="10.44140625" style="91" customWidth="1"/>
    <col min="8709" max="8709" width="7.6640625" style="91" customWidth="1"/>
    <col min="8710" max="8710" width="9.6640625" style="91" customWidth="1"/>
    <col min="8711" max="8711" width="9.109375" style="91"/>
    <col min="8712" max="8715" width="7.6640625" style="91" customWidth="1"/>
    <col min="8716" max="8717" width="10.33203125" style="91" customWidth="1"/>
    <col min="8718" max="8718" width="0" style="91" hidden="1" customWidth="1"/>
    <col min="8719" max="8960" width="9.109375" style="91"/>
    <col min="8961" max="8963" width="7.6640625" style="91" customWidth="1"/>
    <col min="8964" max="8964" width="10.44140625" style="91" customWidth="1"/>
    <col min="8965" max="8965" width="7.6640625" style="91" customWidth="1"/>
    <col min="8966" max="8966" width="9.6640625" style="91" customWidth="1"/>
    <col min="8967" max="8967" width="9.109375" style="91"/>
    <col min="8968" max="8971" width="7.6640625" style="91" customWidth="1"/>
    <col min="8972" max="8973" width="10.33203125" style="91" customWidth="1"/>
    <col min="8974" max="8974" width="0" style="91" hidden="1" customWidth="1"/>
    <col min="8975" max="9216" width="9.109375" style="91"/>
    <col min="9217" max="9219" width="7.6640625" style="91" customWidth="1"/>
    <col min="9220" max="9220" width="10.44140625" style="91" customWidth="1"/>
    <col min="9221" max="9221" width="7.6640625" style="91" customWidth="1"/>
    <col min="9222" max="9222" width="9.6640625" style="91" customWidth="1"/>
    <col min="9223" max="9223" width="9.109375" style="91"/>
    <col min="9224" max="9227" width="7.6640625" style="91" customWidth="1"/>
    <col min="9228" max="9229" width="10.33203125" style="91" customWidth="1"/>
    <col min="9230" max="9230" width="0" style="91" hidden="1" customWidth="1"/>
    <col min="9231" max="9472" width="9.109375" style="91"/>
    <col min="9473" max="9475" width="7.6640625" style="91" customWidth="1"/>
    <col min="9476" max="9476" width="10.44140625" style="91" customWidth="1"/>
    <col min="9477" max="9477" width="7.6640625" style="91" customWidth="1"/>
    <col min="9478" max="9478" width="9.6640625" style="91" customWidth="1"/>
    <col min="9479" max="9479" width="9.109375" style="91"/>
    <col min="9480" max="9483" width="7.6640625" style="91" customWidth="1"/>
    <col min="9484" max="9485" width="10.33203125" style="91" customWidth="1"/>
    <col min="9486" max="9486" width="0" style="91" hidden="1" customWidth="1"/>
    <col min="9487" max="9728" width="9.109375" style="91"/>
    <col min="9729" max="9731" width="7.6640625" style="91" customWidth="1"/>
    <col min="9732" max="9732" width="10.44140625" style="91" customWidth="1"/>
    <col min="9733" max="9733" width="7.6640625" style="91" customWidth="1"/>
    <col min="9734" max="9734" width="9.6640625" style="91" customWidth="1"/>
    <col min="9735" max="9735" width="9.109375" style="91"/>
    <col min="9736" max="9739" width="7.6640625" style="91" customWidth="1"/>
    <col min="9740" max="9741" width="10.33203125" style="91" customWidth="1"/>
    <col min="9742" max="9742" width="0" style="91" hidden="1" customWidth="1"/>
    <col min="9743" max="9984" width="9.109375" style="91"/>
    <col min="9985" max="9987" width="7.6640625" style="91" customWidth="1"/>
    <col min="9988" max="9988" width="10.44140625" style="91" customWidth="1"/>
    <col min="9989" max="9989" width="7.6640625" style="91" customWidth="1"/>
    <col min="9990" max="9990" width="9.6640625" style="91" customWidth="1"/>
    <col min="9991" max="9991" width="9.109375" style="91"/>
    <col min="9992" max="9995" width="7.6640625" style="91" customWidth="1"/>
    <col min="9996" max="9997" width="10.33203125" style="91" customWidth="1"/>
    <col min="9998" max="9998" width="0" style="91" hidden="1" customWidth="1"/>
    <col min="9999" max="10240" width="9.109375" style="91"/>
    <col min="10241" max="10243" width="7.6640625" style="91" customWidth="1"/>
    <col min="10244" max="10244" width="10.44140625" style="91" customWidth="1"/>
    <col min="10245" max="10245" width="7.6640625" style="91" customWidth="1"/>
    <col min="10246" max="10246" width="9.6640625" style="91" customWidth="1"/>
    <col min="10247" max="10247" width="9.109375" style="91"/>
    <col min="10248" max="10251" width="7.6640625" style="91" customWidth="1"/>
    <col min="10252" max="10253" width="10.33203125" style="91" customWidth="1"/>
    <col min="10254" max="10254" width="0" style="91" hidden="1" customWidth="1"/>
    <col min="10255" max="10496" width="9.109375" style="91"/>
    <col min="10497" max="10499" width="7.6640625" style="91" customWidth="1"/>
    <col min="10500" max="10500" width="10.44140625" style="91" customWidth="1"/>
    <col min="10501" max="10501" width="7.6640625" style="91" customWidth="1"/>
    <col min="10502" max="10502" width="9.6640625" style="91" customWidth="1"/>
    <col min="10503" max="10503" width="9.109375" style="91"/>
    <col min="10504" max="10507" width="7.6640625" style="91" customWidth="1"/>
    <col min="10508" max="10509" width="10.33203125" style="91" customWidth="1"/>
    <col min="10510" max="10510" width="0" style="91" hidden="1" customWidth="1"/>
    <col min="10511" max="10752" width="9.109375" style="91"/>
    <col min="10753" max="10755" width="7.6640625" style="91" customWidth="1"/>
    <col min="10756" max="10756" width="10.44140625" style="91" customWidth="1"/>
    <col min="10757" max="10757" width="7.6640625" style="91" customWidth="1"/>
    <col min="10758" max="10758" width="9.6640625" style="91" customWidth="1"/>
    <col min="10759" max="10759" width="9.109375" style="91"/>
    <col min="10760" max="10763" width="7.6640625" style="91" customWidth="1"/>
    <col min="10764" max="10765" width="10.33203125" style="91" customWidth="1"/>
    <col min="10766" max="10766" width="0" style="91" hidden="1" customWidth="1"/>
    <col min="10767" max="11008" width="9.109375" style="91"/>
    <col min="11009" max="11011" width="7.6640625" style="91" customWidth="1"/>
    <col min="11012" max="11012" width="10.44140625" style="91" customWidth="1"/>
    <col min="11013" max="11013" width="7.6640625" style="91" customWidth="1"/>
    <col min="11014" max="11014" width="9.6640625" style="91" customWidth="1"/>
    <col min="11015" max="11015" width="9.109375" style="91"/>
    <col min="11016" max="11019" width="7.6640625" style="91" customWidth="1"/>
    <col min="11020" max="11021" width="10.33203125" style="91" customWidth="1"/>
    <col min="11022" max="11022" width="0" style="91" hidden="1" customWidth="1"/>
    <col min="11023" max="11264" width="9.109375" style="91"/>
    <col min="11265" max="11267" width="7.6640625" style="91" customWidth="1"/>
    <col min="11268" max="11268" width="10.44140625" style="91" customWidth="1"/>
    <col min="11269" max="11269" width="7.6640625" style="91" customWidth="1"/>
    <col min="11270" max="11270" width="9.6640625" style="91" customWidth="1"/>
    <col min="11271" max="11271" width="9.109375" style="91"/>
    <col min="11272" max="11275" width="7.6640625" style="91" customWidth="1"/>
    <col min="11276" max="11277" width="10.33203125" style="91" customWidth="1"/>
    <col min="11278" max="11278" width="0" style="91" hidden="1" customWidth="1"/>
    <col min="11279" max="11520" width="9.109375" style="91"/>
    <col min="11521" max="11523" width="7.6640625" style="91" customWidth="1"/>
    <col min="11524" max="11524" width="10.44140625" style="91" customWidth="1"/>
    <col min="11525" max="11525" width="7.6640625" style="91" customWidth="1"/>
    <col min="11526" max="11526" width="9.6640625" style="91" customWidth="1"/>
    <col min="11527" max="11527" width="9.109375" style="91"/>
    <col min="11528" max="11531" width="7.6640625" style="91" customWidth="1"/>
    <col min="11532" max="11533" width="10.33203125" style="91" customWidth="1"/>
    <col min="11534" max="11534" width="0" style="91" hidden="1" customWidth="1"/>
    <col min="11535" max="11776" width="9.109375" style="91"/>
    <col min="11777" max="11779" width="7.6640625" style="91" customWidth="1"/>
    <col min="11780" max="11780" width="10.44140625" style="91" customWidth="1"/>
    <col min="11781" max="11781" width="7.6640625" style="91" customWidth="1"/>
    <col min="11782" max="11782" width="9.6640625" style="91" customWidth="1"/>
    <col min="11783" max="11783" width="9.109375" style="91"/>
    <col min="11784" max="11787" width="7.6640625" style="91" customWidth="1"/>
    <col min="11788" max="11789" width="10.33203125" style="91" customWidth="1"/>
    <col min="11790" max="11790" width="0" style="91" hidden="1" customWidth="1"/>
    <col min="11791" max="12032" width="9.109375" style="91"/>
    <col min="12033" max="12035" width="7.6640625" style="91" customWidth="1"/>
    <col min="12036" max="12036" width="10.44140625" style="91" customWidth="1"/>
    <col min="12037" max="12037" width="7.6640625" style="91" customWidth="1"/>
    <col min="12038" max="12038" width="9.6640625" style="91" customWidth="1"/>
    <col min="12039" max="12039" width="9.109375" style="91"/>
    <col min="12040" max="12043" width="7.6640625" style="91" customWidth="1"/>
    <col min="12044" max="12045" width="10.33203125" style="91" customWidth="1"/>
    <col min="12046" max="12046" width="0" style="91" hidden="1" customWidth="1"/>
    <col min="12047" max="12288" width="9.109375" style="91"/>
    <col min="12289" max="12291" width="7.6640625" style="91" customWidth="1"/>
    <col min="12292" max="12292" width="10.44140625" style="91" customWidth="1"/>
    <col min="12293" max="12293" width="7.6640625" style="91" customWidth="1"/>
    <col min="12294" max="12294" width="9.6640625" style="91" customWidth="1"/>
    <col min="12295" max="12295" width="9.109375" style="91"/>
    <col min="12296" max="12299" width="7.6640625" style="91" customWidth="1"/>
    <col min="12300" max="12301" width="10.33203125" style="91" customWidth="1"/>
    <col min="12302" max="12302" width="0" style="91" hidden="1" customWidth="1"/>
    <col min="12303" max="12544" width="9.109375" style="91"/>
    <col min="12545" max="12547" width="7.6640625" style="91" customWidth="1"/>
    <col min="12548" max="12548" width="10.44140625" style="91" customWidth="1"/>
    <col min="12549" max="12549" width="7.6640625" style="91" customWidth="1"/>
    <col min="12550" max="12550" width="9.6640625" style="91" customWidth="1"/>
    <col min="12551" max="12551" width="9.109375" style="91"/>
    <col min="12552" max="12555" width="7.6640625" style="91" customWidth="1"/>
    <col min="12556" max="12557" width="10.33203125" style="91" customWidth="1"/>
    <col min="12558" max="12558" width="0" style="91" hidden="1" customWidth="1"/>
    <col min="12559" max="12800" width="9.109375" style="91"/>
    <col min="12801" max="12803" width="7.6640625" style="91" customWidth="1"/>
    <col min="12804" max="12804" width="10.44140625" style="91" customWidth="1"/>
    <col min="12805" max="12805" width="7.6640625" style="91" customWidth="1"/>
    <col min="12806" max="12806" width="9.6640625" style="91" customWidth="1"/>
    <col min="12807" max="12807" width="9.109375" style="91"/>
    <col min="12808" max="12811" width="7.6640625" style="91" customWidth="1"/>
    <col min="12812" max="12813" width="10.33203125" style="91" customWidth="1"/>
    <col min="12814" max="12814" width="0" style="91" hidden="1" customWidth="1"/>
    <col min="12815" max="13056" width="9.109375" style="91"/>
    <col min="13057" max="13059" width="7.6640625" style="91" customWidth="1"/>
    <col min="13060" max="13060" width="10.44140625" style="91" customWidth="1"/>
    <col min="13061" max="13061" width="7.6640625" style="91" customWidth="1"/>
    <col min="13062" max="13062" width="9.6640625" style="91" customWidth="1"/>
    <col min="13063" max="13063" width="9.109375" style="91"/>
    <col min="13064" max="13067" width="7.6640625" style="91" customWidth="1"/>
    <col min="13068" max="13069" width="10.33203125" style="91" customWidth="1"/>
    <col min="13070" max="13070" width="0" style="91" hidden="1" customWidth="1"/>
    <col min="13071" max="13312" width="9.109375" style="91"/>
    <col min="13313" max="13315" width="7.6640625" style="91" customWidth="1"/>
    <col min="13316" max="13316" width="10.44140625" style="91" customWidth="1"/>
    <col min="13317" max="13317" width="7.6640625" style="91" customWidth="1"/>
    <col min="13318" max="13318" width="9.6640625" style="91" customWidth="1"/>
    <col min="13319" max="13319" width="9.109375" style="91"/>
    <col min="13320" max="13323" width="7.6640625" style="91" customWidth="1"/>
    <col min="13324" max="13325" width="10.33203125" style="91" customWidth="1"/>
    <col min="13326" max="13326" width="0" style="91" hidden="1" customWidth="1"/>
    <col min="13327" max="13568" width="9.109375" style="91"/>
    <col min="13569" max="13571" width="7.6640625" style="91" customWidth="1"/>
    <col min="13572" max="13572" width="10.44140625" style="91" customWidth="1"/>
    <col min="13573" max="13573" width="7.6640625" style="91" customWidth="1"/>
    <col min="13574" max="13574" width="9.6640625" style="91" customWidth="1"/>
    <col min="13575" max="13575" width="9.109375" style="91"/>
    <col min="13576" max="13579" width="7.6640625" style="91" customWidth="1"/>
    <col min="13580" max="13581" width="10.33203125" style="91" customWidth="1"/>
    <col min="13582" max="13582" width="0" style="91" hidden="1" customWidth="1"/>
    <col min="13583" max="13824" width="9.109375" style="91"/>
    <col min="13825" max="13827" width="7.6640625" style="91" customWidth="1"/>
    <col min="13828" max="13828" width="10.44140625" style="91" customWidth="1"/>
    <col min="13829" max="13829" width="7.6640625" style="91" customWidth="1"/>
    <col min="13830" max="13830" width="9.6640625" style="91" customWidth="1"/>
    <col min="13831" max="13831" width="9.109375" style="91"/>
    <col min="13832" max="13835" width="7.6640625" style="91" customWidth="1"/>
    <col min="13836" max="13837" width="10.33203125" style="91" customWidth="1"/>
    <col min="13838" max="13838" width="0" style="91" hidden="1" customWidth="1"/>
    <col min="13839" max="14080" width="9.109375" style="91"/>
    <col min="14081" max="14083" width="7.6640625" style="91" customWidth="1"/>
    <col min="14084" max="14084" width="10.44140625" style="91" customWidth="1"/>
    <col min="14085" max="14085" width="7.6640625" style="91" customWidth="1"/>
    <col min="14086" max="14086" width="9.6640625" style="91" customWidth="1"/>
    <col min="14087" max="14087" width="9.109375" style="91"/>
    <col min="14088" max="14091" width="7.6640625" style="91" customWidth="1"/>
    <col min="14092" max="14093" width="10.33203125" style="91" customWidth="1"/>
    <col min="14094" max="14094" width="0" style="91" hidden="1" customWidth="1"/>
    <col min="14095" max="14336" width="9.109375" style="91"/>
    <col min="14337" max="14339" width="7.6640625" style="91" customWidth="1"/>
    <col min="14340" max="14340" width="10.44140625" style="91" customWidth="1"/>
    <col min="14341" max="14341" width="7.6640625" style="91" customWidth="1"/>
    <col min="14342" max="14342" width="9.6640625" style="91" customWidth="1"/>
    <col min="14343" max="14343" width="9.109375" style="91"/>
    <col min="14344" max="14347" width="7.6640625" style="91" customWidth="1"/>
    <col min="14348" max="14349" width="10.33203125" style="91" customWidth="1"/>
    <col min="14350" max="14350" width="0" style="91" hidden="1" customWidth="1"/>
    <col min="14351" max="14592" width="9.109375" style="91"/>
    <col min="14593" max="14595" width="7.6640625" style="91" customWidth="1"/>
    <col min="14596" max="14596" width="10.44140625" style="91" customWidth="1"/>
    <col min="14597" max="14597" width="7.6640625" style="91" customWidth="1"/>
    <col min="14598" max="14598" width="9.6640625" style="91" customWidth="1"/>
    <col min="14599" max="14599" width="9.109375" style="91"/>
    <col min="14600" max="14603" width="7.6640625" style="91" customWidth="1"/>
    <col min="14604" max="14605" width="10.33203125" style="91" customWidth="1"/>
    <col min="14606" max="14606" width="0" style="91" hidden="1" customWidth="1"/>
    <col min="14607" max="14848" width="9.109375" style="91"/>
    <col min="14849" max="14851" width="7.6640625" style="91" customWidth="1"/>
    <col min="14852" max="14852" width="10.44140625" style="91" customWidth="1"/>
    <col min="14853" max="14853" width="7.6640625" style="91" customWidth="1"/>
    <col min="14854" max="14854" width="9.6640625" style="91" customWidth="1"/>
    <col min="14855" max="14855" width="9.109375" style="91"/>
    <col min="14856" max="14859" width="7.6640625" style="91" customWidth="1"/>
    <col min="14860" max="14861" width="10.33203125" style="91" customWidth="1"/>
    <col min="14862" max="14862" width="0" style="91" hidden="1" customWidth="1"/>
    <col min="14863" max="15104" width="9.109375" style="91"/>
    <col min="15105" max="15107" width="7.6640625" style="91" customWidth="1"/>
    <col min="15108" max="15108" width="10.44140625" style="91" customWidth="1"/>
    <col min="15109" max="15109" width="7.6640625" style="91" customWidth="1"/>
    <col min="15110" max="15110" width="9.6640625" style="91" customWidth="1"/>
    <col min="15111" max="15111" width="9.109375" style="91"/>
    <col min="15112" max="15115" width="7.6640625" style="91" customWidth="1"/>
    <col min="15116" max="15117" width="10.33203125" style="91" customWidth="1"/>
    <col min="15118" max="15118" width="0" style="91" hidden="1" customWidth="1"/>
    <col min="15119" max="15360" width="9.109375" style="91"/>
    <col min="15361" max="15363" width="7.6640625" style="91" customWidth="1"/>
    <col min="15364" max="15364" width="10.44140625" style="91" customWidth="1"/>
    <col min="15365" max="15365" width="7.6640625" style="91" customWidth="1"/>
    <col min="15366" max="15366" width="9.6640625" style="91" customWidth="1"/>
    <col min="15367" max="15367" width="9.109375" style="91"/>
    <col min="15368" max="15371" width="7.6640625" style="91" customWidth="1"/>
    <col min="15372" max="15373" width="10.33203125" style="91" customWidth="1"/>
    <col min="15374" max="15374" width="0" style="91" hidden="1" customWidth="1"/>
    <col min="15375" max="15616" width="9.109375" style="91"/>
    <col min="15617" max="15619" width="7.6640625" style="91" customWidth="1"/>
    <col min="15620" max="15620" width="10.44140625" style="91" customWidth="1"/>
    <col min="15621" max="15621" width="7.6640625" style="91" customWidth="1"/>
    <col min="15622" max="15622" width="9.6640625" style="91" customWidth="1"/>
    <col min="15623" max="15623" width="9.109375" style="91"/>
    <col min="15624" max="15627" width="7.6640625" style="91" customWidth="1"/>
    <col min="15628" max="15629" width="10.33203125" style="91" customWidth="1"/>
    <col min="15630" max="15630" width="0" style="91" hidden="1" customWidth="1"/>
    <col min="15631" max="15872" width="9.109375" style="91"/>
    <col min="15873" max="15875" width="7.6640625" style="91" customWidth="1"/>
    <col min="15876" max="15876" width="10.44140625" style="91" customWidth="1"/>
    <col min="15877" max="15877" width="7.6640625" style="91" customWidth="1"/>
    <col min="15878" max="15878" width="9.6640625" style="91" customWidth="1"/>
    <col min="15879" max="15879" width="9.109375" style="91"/>
    <col min="15880" max="15883" width="7.6640625" style="91" customWidth="1"/>
    <col min="15884" max="15885" width="10.33203125" style="91" customWidth="1"/>
    <col min="15886" max="15886" width="0" style="91" hidden="1" customWidth="1"/>
    <col min="15887" max="16128" width="9.109375" style="91"/>
    <col min="16129" max="16131" width="7.6640625" style="91" customWidth="1"/>
    <col min="16132" max="16132" width="10.44140625" style="91" customWidth="1"/>
    <col min="16133" max="16133" width="7.6640625" style="91" customWidth="1"/>
    <col min="16134" max="16134" width="9.6640625" style="91" customWidth="1"/>
    <col min="16135" max="16135" width="9.109375" style="91"/>
    <col min="16136" max="16139" width="7.6640625" style="91" customWidth="1"/>
    <col min="16140" max="16141" width="10.33203125" style="91" customWidth="1"/>
    <col min="16142" max="16142" width="0" style="91" hidden="1" customWidth="1"/>
    <col min="16143" max="16384" width="9.109375" style="91"/>
  </cols>
  <sheetData>
    <row r="2" spans="1:24" ht="20.399999999999999" x14ac:dyDescent="0.35">
      <c r="A2" s="227" t="s">
        <v>66</v>
      </c>
      <c r="B2" s="227"/>
      <c r="C2" s="227"/>
      <c r="D2" s="227"/>
      <c r="E2" s="227"/>
      <c r="F2" s="227"/>
      <c r="G2" s="227"/>
      <c r="H2" s="227"/>
      <c r="I2" s="227"/>
      <c r="J2" s="227"/>
      <c r="K2" s="227"/>
      <c r="L2" s="227"/>
      <c r="M2" s="227"/>
    </row>
    <row r="3" spans="1:24" ht="18" x14ac:dyDescent="0.35">
      <c r="A3" s="228" t="s">
        <v>67</v>
      </c>
      <c r="B3" s="228"/>
      <c r="C3" s="228"/>
      <c r="D3" s="228"/>
      <c r="E3" s="228"/>
      <c r="F3" s="228"/>
      <c r="G3" s="228"/>
      <c r="H3" s="228"/>
      <c r="I3" s="228"/>
      <c r="J3" s="228"/>
      <c r="K3" s="228"/>
      <c r="L3" s="228"/>
      <c r="M3" s="228"/>
    </row>
    <row r="4" spans="1:24" x14ac:dyDescent="0.25">
      <c r="A4" s="229" t="s">
        <v>68</v>
      </c>
      <c r="B4" s="229"/>
      <c r="C4" s="229"/>
      <c r="D4" s="229"/>
      <c r="E4" s="229"/>
      <c r="F4" s="229"/>
      <c r="G4" s="229"/>
      <c r="H4" s="229"/>
      <c r="I4" s="229"/>
      <c r="J4" s="229"/>
      <c r="K4" s="229"/>
      <c r="L4" s="229"/>
      <c r="M4" s="229"/>
    </row>
    <row r="5" spans="1:24" ht="12.75" x14ac:dyDescent="0.2">
      <c r="U5" s="146"/>
      <c r="V5" s="146"/>
      <c r="W5" s="146"/>
      <c r="X5" s="146"/>
    </row>
    <row r="6" spans="1:24" ht="12.75" customHeight="1" x14ac:dyDescent="0.2">
      <c r="U6" s="146"/>
      <c r="V6" s="146"/>
      <c r="W6" s="146"/>
      <c r="X6" s="146"/>
    </row>
    <row r="7" spans="1:24" ht="15.6" x14ac:dyDescent="0.3">
      <c r="A7" s="91" t="s">
        <v>69</v>
      </c>
      <c r="D7" s="209" t="s">
        <v>117</v>
      </c>
      <c r="E7" s="209"/>
      <c r="F7" s="209"/>
      <c r="G7" s="209"/>
      <c r="H7" s="209"/>
      <c r="I7" s="209"/>
      <c r="J7" s="209"/>
      <c r="K7" s="209"/>
      <c r="L7" s="209"/>
      <c r="M7" s="209"/>
      <c r="U7" s="146"/>
      <c r="V7" s="146"/>
      <c r="W7" s="147"/>
      <c r="X7" s="146"/>
    </row>
    <row r="8" spans="1:24" ht="18.75" x14ac:dyDescent="0.3">
      <c r="D8" s="92"/>
      <c r="E8" s="92"/>
      <c r="F8" s="92"/>
      <c r="G8" s="92"/>
      <c r="H8" s="92"/>
      <c r="I8" s="92"/>
      <c r="J8" s="92"/>
      <c r="K8" s="92"/>
      <c r="L8" s="92"/>
      <c r="M8" s="92"/>
      <c r="P8" s="146"/>
      <c r="Q8" s="146"/>
      <c r="R8" s="146"/>
      <c r="S8" s="146"/>
      <c r="T8" s="146"/>
      <c r="U8" s="146"/>
      <c r="V8" s="146"/>
      <c r="W8" s="146"/>
      <c r="X8" s="146"/>
    </row>
    <row r="9" spans="1:24" ht="15.6" x14ac:dyDescent="0.3">
      <c r="A9" s="91" t="s">
        <v>70</v>
      </c>
      <c r="D9" s="209" t="s">
        <v>118</v>
      </c>
      <c r="E9" s="209"/>
      <c r="F9" s="209"/>
      <c r="G9" s="209"/>
      <c r="H9" s="209"/>
      <c r="I9" s="209"/>
      <c r="J9" s="209"/>
      <c r="K9" s="209"/>
      <c r="L9" s="209"/>
      <c r="M9" s="209"/>
      <c r="P9" s="146"/>
      <c r="Q9" s="146"/>
      <c r="U9" s="146"/>
      <c r="V9" s="146"/>
      <c r="W9" s="146"/>
      <c r="X9" s="146"/>
    </row>
    <row r="10" spans="1:24" ht="12.75" x14ac:dyDescent="0.2">
      <c r="D10" s="93"/>
      <c r="E10" s="93"/>
      <c r="P10" s="146"/>
      <c r="Q10" s="146"/>
      <c r="U10" s="146"/>
      <c r="V10" s="146"/>
      <c r="W10" s="146"/>
      <c r="X10" s="146"/>
    </row>
    <row r="11" spans="1:24" ht="15.6" x14ac:dyDescent="0.3">
      <c r="A11" s="91" t="s">
        <v>71</v>
      </c>
      <c r="E11" s="94"/>
      <c r="F11" s="94" t="s">
        <v>72</v>
      </c>
      <c r="G11" s="94"/>
      <c r="H11" s="94"/>
      <c r="I11" s="94"/>
      <c r="J11" s="94"/>
      <c r="K11" s="94"/>
      <c r="L11" s="94"/>
      <c r="M11" s="94"/>
      <c r="P11" s="146"/>
      <c r="Q11" s="146"/>
      <c r="U11" s="146"/>
      <c r="V11" s="146"/>
      <c r="W11" s="146"/>
      <c r="X11" s="146"/>
    </row>
    <row r="12" spans="1:24" ht="15" x14ac:dyDescent="0.2">
      <c r="A12" s="209"/>
      <c r="B12" s="209"/>
      <c r="C12" s="209"/>
      <c r="D12" s="209"/>
      <c r="E12" s="209"/>
      <c r="F12" s="209"/>
      <c r="G12" s="209"/>
      <c r="H12" s="209"/>
      <c r="I12" s="209"/>
      <c r="J12" s="209"/>
      <c r="K12" s="209"/>
      <c r="L12" s="209"/>
      <c r="M12" s="209"/>
      <c r="P12" s="146"/>
      <c r="Q12" s="146"/>
      <c r="U12" s="146"/>
      <c r="V12" s="146"/>
      <c r="W12" s="146"/>
      <c r="X12" s="146"/>
    </row>
    <row r="13" spans="1:24" ht="15.6" x14ac:dyDescent="0.3">
      <c r="A13" s="91" t="s">
        <v>73</v>
      </c>
      <c r="G13" s="209" t="s">
        <v>120</v>
      </c>
      <c r="H13" s="209"/>
      <c r="I13" s="209"/>
      <c r="J13" s="209"/>
      <c r="K13" s="209"/>
      <c r="L13" s="209"/>
      <c r="M13" s="209"/>
      <c r="P13" s="146"/>
      <c r="Q13" s="146"/>
      <c r="U13" s="146"/>
      <c r="V13" s="146"/>
      <c r="W13" s="146"/>
      <c r="X13" s="146"/>
    </row>
    <row r="14" spans="1:24" ht="12.75" x14ac:dyDescent="0.2">
      <c r="P14" s="146"/>
      <c r="Q14" s="146"/>
      <c r="U14" s="146"/>
      <c r="V14" s="146"/>
      <c r="W14" s="146"/>
      <c r="X14" s="146"/>
    </row>
    <row r="15" spans="1:24" x14ac:dyDescent="0.25">
      <c r="A15" s="91" t="s">
        <v>74</v>
      </c>
      <c r="P15" s="146"/>
      <c r="Q15" s="146"/>
      <c r="U15" s="146"/>
      <c r="V15" s="146"/>
      <c r="W15" s="146"/>
      <c r="X15" s="146"/>
    </row>
    <row r="16" spans="1:24" ht="15.6" x14ac:dyDescent="0.3">
      <c r="A16" s="209" t="s">
        <v>75</v>
      </c>
      <c r="B16" s="209"/>
      <c r="C16" s="209"/>
      <c r="D16" s="209"/>
      <c r="E16" s="209"/>
      <c r="F16" s="209"/>
      <c r="G16" s="209"/>
      <c r="H16" s="209"/>
      <c r="I16" s="209"/>
      <c r="J16" s="209"/>
      <c r="K16" s="209"/>
      <c r="L16" s="209"/>
      <c r="M16" s="209"/>
      <c r="P16" s="146"/>
      <c r="Q16" s="146"/>
      <c r="U16" s="146"/>
      <c r="V16" s="146"/>
      <c r="W16" s="146"/>
      <c r="X16" s="146"/>
    </row>
    <row r="17" spans="1:24" x14ac:dyDescent="0.25">
      <c r="A17" s="91" t="s">
        <v>76</v>
      </c>
      <c r="P17" s="146"/>
      <c r="Q17" s="146"/>
      <c r="U17" s="146"/>
      <c r="V17" s="146"/>
      <c r="W17" s="146"/>
      <c r="X17" s="146"/>
    </row>
    <row r="18" spans="1:24" ht="15.6" x14ac:dyDescent="0.3">
      <c r="A18" s="209" t="s">
        <v>119</v>
      </c>
      <c r="B18" s="209"/>
      <c r="C18" s="209"/>
      <c r="D18" s="209"/>
      <c r="E18" s="209"/>
      <c r="F18" s="209"/>
      <c r="G18" s="209"/>
      <c r="H18" s="209"/>
      <c r="I18" s="209"/>
      <c r="J18" s="209"/>
      <c r="K18" s="209"/>
      <c r="L18" s="209"/>
      <c r="M18" s="209"/>
      <c r="P18" s="146"/>
      <c r="Q18" s="146"/>
      <c r="U18" s="146"/>
      <c r="V18" s="146"/>
      <c r="W18" s="146"/>
      <c r="X18" s="146"/>
    </row>
    <row r="19" spans="1:24" x14ac:dyDescent="0.25">
      <c r="A19" s="91" t="s">
        <v>77</v>
      </c>
      <c r="P19" s="146"/>
      <c r="Q19" s="146"/>
      <c r="U19" s="146"/>
      <c r="V19" s="146"/>
      <c r="W19" s="146"/>
      <c r="X19" s="146"/>
    </row>
    <row r="20" spans="1:24" ht="12.75" x14ac:dyDescent="0.2">
      <c r="A20" s="95"/>
      <c r="B20" s="95"/>
      <c r="C20" s="95"/>
      <c r="D20" s="95"/>
      <c r="E20" s="95"/>
      <c r="F20" s="95"/>
      <c r="G20" s="95"/>
      <c r="H20" s="95"/>
      <c r="I20" s="95"/>
      <c r="J20" s="95"/>
      <c r="K20" s="95"/>
      <c r="P20" s="146"/>
      <c r="Q20" s="146"/>
      <c r="R20" s="146"/>
      <c r="S20" s="146"/>
      <c r="T20" s="146"/>
      <c r="U20" s="146"/>
      <c r="V20" s="146"/>
      <c r="W20" s="146"/>
      <c r="X20" s="146"/>
    </row>
    <row r="21" spans="1:24" ht="22.5" customHeight="1" x14ac:dyDescent="0.25">
      <c r="A21" s="96" t="s">
        <v>78</v>
      </c>
      <c r="B21" s="97" t="s">
        <v>79</v>
      </c>
      <c r="C21" s="224" t="s">
        <v>80</v>
      </c>
      <c r="D21" s="225"/>
      <c r="E21" s="98" t="s">
        <v>81</v>
      </c>
      <c r="F21" s="224" t="s">
        <v>82</v>
      </c>
      <c r="G21" s="225"/>
      <c r="H21" s="224" t="s">
        <v>83</v>
      </c>
      <c r="I21" s="225"/>
      <c r="J21" s="224" t="s">
        <v>84</v>
      </c>
      <c r="K21" s="225"/>
      <c r="L21" s="226" t="s">
        <v>24</v>
      </c>
      <c r="M21" s="226"/>
      <c r="P21" s="160" t="s">
        <v>150</v>
      </c>
      <c r="Q21" s="149" t="s">
        <v>153</v>
      </c>
      <c r="R21" s="151"/>
      <c r="S21" s="149" t="s">
        <v>154</v>
      </c>
      <c r="T21" s="151"/>
      <c r="U21" s="149" t="s">
        <v>155</v>
      </c>
      <c r="V21" s="151"/>
      <c r="W21" s="149" t="s">
        <v>24</v>
      </c>
      <c r="X21" s="151"/>
    </row>
    <row r="22" spans="1:24" ht="21" x14ac:dyDescent="0.25">
      <c r="A22" s="99"/>
      <c r="B22" s="100"/>
      <c r="C22" s="101" t="s">
        <v>85</v>
      </c>
      <c r="D22" s="98" t="s">
        <v>86</v>
      </c>
      <c r="E22" s="101" t="s">
        <v>85</v>
      </c>
      <c r="F22" s="101" t="s">
        <v>85</v>
      </c>
      <c r="G22" s="98" t="s">
        <v>86</v>
      </c>
      <c r="H22" s="101" t="s">
        <v>85</v>
      </c>
      <c r="I22" s="98" t="s">
        <v>86</v>
      </c>
      <c r="J22" s="101" t="s">
        <v>85</v>
      </c>
      <c r="K22" s="98" t="s">
        <v>86</v>
      </c>
      <c r="L22" s="101" t="s">
        <v>85</v>
      </c>
      <c r="M22" s="102" t="s">
        <v>86</v>
      </c>
      <c r="P22" s="161"/>
      <c r="Q22" s="154" t="s">
        <v>151</v>
      </c>
      <c r="R22" s="153" t="s">
        <v>152</v>
      </c>
      <c r="S22" s="154" t="s">
        <v>151</v>
      </c>
      <c r="T22" s="153" t="s">
        <v>152</v>
      </c>
      <c r="U22" s="154" t="s">
        <v>151</v>
      </c>
      <c r="V22" s="153" t="s">
        <v>152</v>
      </c>
      <c r="W22" s="154" t="s">
        <v>151</v>
      </c>
      <c r="X22" s="153" t="s">
        <v>152</v>
      </c>
    </row>
    <row r="23" spans="1:24" x14ac:dyDescent="0.25">
      <c r="A23" s="219">
        <v>16</v>
      </c>
      <c r="B23" s="219">
        <v>4.5999999999999996</v>
      </c>
      <c r="C23" s="103" t="s">
        <v>121</v>
      </c>
      <c r="D23" s="103" t="s">
        <v>126</v>
      </c>
      <c r="E23" s="104">
        <v>13</v>
      </c>
      <c r="F23" s="105">
        <v>4</v>
      </c>
      <c r="G23" s="105">
        <v>6</v>
      </c>
      <c r="H23" s="105">
        <v>3.5</v>
      </c>
      <c r="I23" s="105">
        <v>4.5</v>
      </c>
      <c r="J23" s="221">
        <v>1</v>
      </c>
      <c r="K23" s="221">
        <v>0.6</v>
      </c>
      <c r="L23" s="106">
        <v>3190</v>
      </c>
      <c r="M23" s="107">
        <v>1350</v>
      </c>
      <c r="P23" s="161" t="str">
        <f>'Расчёты для проекта'!H10</f>
        <v>Сосна</v>
      </c>
      <c r="Q23" s="152">
        <f>'Расчёты для проекта'!E10</f>
        <v>0.78224149690017408</v>
      </c>
      <c r="R23" s="157">
        <f>'Расчёты для проекта'!P10</f>
        <v>2.2448832931814784</v>
      </c>
      <c r="S23" s="152">
        <f>'Расчёты для проекта'!L10</f>
        <v>7.6363636363636367</v>
      </c>
      <c r="T23" s="157">
        <f>'Расчёты для проекта'!W10</f>
        <v>7.9</v>
      </c>
      <c r="U23" s="152">
        <f>'Расчёты для проекта'!M10</f>
        <v>5.1081078684806549</v>
      </c>
      <c r="V23" s="157">
        <f>'Расчёты для проекта'!X10</f>
        <v>5.1212118517447358</v>
      </c>
      <c r="W23" s="163">
        <f>'Расчёты для проекта'!K10</f>
        <v>0.49187468545387147</v>
      </c>
      <c r="X23" s="164">
        <f>'Расчёты для проекта'!V10</f>
        <v>0.43869908689853282</v>
      </c>
    </row>
    <row r="24" spans="1:24" x14ac:dyDescent="0.25">
      <c r="A24" s="220"/>
      <c r="B24" s="220"/>
      <c r="C24" s="103" t="s">
        <v>122</v>
      </c>
      <c r="D24" s="103" t="s">
        <v>127</v>
      </c>
      <c r="E24" s="104">
        <v>13</v>
      </c>
      <c r="F24" s="105">
        <v>8</v>
      </c>
      <c r="G24" s="105">
        <v>9</v>
      </c>
      <c r="H24" s="105">
        <v>5</v>
      </c>
      <c r="I24" s="105">
        <v>5.0999999999999996</v>
      </c>
      <c r="J24" s="222"/>
      <c r="K24" s="222"/>
      <c r="L24" s="106">
        <v>490</v>
      </c>
      <c r="M24" s="107">
        <v>440</v>
      </c>
      <c r="P24" s="161" t="str">
        <f>'Расчёты для проекта'!H11</f>
        <v>Ель из подроста</v>
      </c>
      <c r="Q24" s="152">
        <f>'Расчёты для проекта'!E11</f>
        <v>4.8837199803335354</v>
      </c>
      <c r="R24" s="157">
        <f>'Расчёты для проекта'!P11</f>
        <v>6.4625369386706755</v>
      </c>
      <c r="S24" s="152">
        <f>'Расчёты для проекта'!L11</f>
        <v>4.0666666666666664</v>
      </c>
      <c r="T24" s="157">
        <f>'Расчёты для проекта'!W11</f>
        <v>4.0666666666666664</v>
      </c>
      <c r="U24" s="152">
        <f>'Расчёты для проекта'!M11</f>
        <v>3.3699134199134195</v>
      </c>
      <c r="V24" s="157">
        <f>'Расчёты для проекта'!X11</f>
        <v>4.2757894736842106</v>
      </c>
      <c r="W24" s="163">
        <f>'Расчёты для проекта'!K11</f>
        <v>3.0708908165708055</v>
      </c>
      <c r="X24" s="164">
        <f>'Расчёты для проекта'!V11</f>
        <v>1.2629204656892923</v>
      </c>
    </row>
    <row r="25" spans="1:24" x14ac:dyDescent="0.25">
      <c r="A25" s="220"/>
      <c r="B25" s="220"/>
      <c r="C25" s="103" t="s">
        <v>123</v>
      </c>
      <c r="D25" s="103" t="s">
        <v>128</v>
      </c>
      <c r="E25" s="104">
        <v>5</v>
      </c>
      <c r="F25" s="105">
        <v>1.3</v>
      </c>
      <c r="G25" s="105">
        <v>2</v>
      </c>
      <c r="H25" s="105">
        <v>2.7</v>
      </c>
      <c r="I25" s="105">
        <v>3.2</v>
      </c>
      <c r="J25" s="222"/>
      <c r="K25" s="222"/>
      <c r="L25" s="106">
        <v>1540</v>
      </c>
      <c r="M25" s="107">
        <v>160</v>
      </c>
      <c r="P25" s="161" t="str">
        <f>'Расчёты для проекта'!H12</f>
        <v>ЕЛЬ лесные культуры</v>
      </c>
      <c r="Q25" s="152">
        <f>'Расчёты для проекта'!E12</f>
        <v>0.1691338148830635</v>
      </c>
      <c r="R25" s="157">
        <f>'Расчёты для проекта'!P12</f>
        <v>0.47618904115094562</v>
      </c>
      <c r="S25" s="152">
        <f>'Расчёты для проекта'!L12</f>
        <v>13</v>
      </c>
      <c r="T25" s="157">
        <f>'Расчёты для проекта'!W12</f>
        <v>13</v>
      </c>
      <c r="U25" s="152">
        <f>'Расчёты для проекта'!M12</f>
        <v>10.749996137501448</v>
      </c>
      <c r="V25" s="157">
        <f>'Расчёты для проекта'!X12</f>
        <v>10.857138396940686</v>
      </c>
      <c r="W25" s="163">
        <f>'Расчёты для проекта'!K12</f>
        <v>0.10635160922156606</v>
      </c>
      <c r="X25" s="164">
        <f>'Расчёты для проекта'!V12</f>
        <v>9.3057709582731407E-2</v>
      </c>
    </row>
    <row r="26" spans="1:24" x14ac:dyDescent="0.25">
      <c r="A26" s="220"/>
      <c r="B26" s="220"/>
      <c r="C26" s="103" t="s">
        <v>124</v>
      </c>
      <c r="D26" s="103" t="s">
        <v>87</v>
      </c>
      <c r="E26" s="104">
        <v>5</v>
      </c>
      <c r="F26" s="105">
        <v>1.7</v>
      </c>
      <c r="G26" s="105" t="s">
        <v>87</v>
      </c>
      <c r="H26" s="105">
        <v>2.7</v>
      </c>
      <c r="I26" s="105" t="s">
        <v>87</v>
      </c>
      <c r="J26" s="222"/>
      <c r="K26" s="222"/>
      <c r="L26" s="106">
        <v>410</v>
      </c>
      <c r="M26" s="114" t="s">
        <v>87</v>
      </c>
      <c r="P26" s="161" t="str">
        <f>'Расчёты для проекта'!H13</f>
        <v>Берёза</v>
      </c>
      <c r="Q26" s="152">
        <f>'Расчёты для проекта'!E13</f>
        <v>2.4524308126350221</v>
      </c>
      <c r="R26" s="157">
        <f>'Расчёты для проекта'!P13</f>
        <v>0.81632045541103271</v>
      </c>
      <c r="S26" s="152">
        <f>'Расчёты для проекта'!L13</f>
        <v>1.25</v>
      </c>
      <c r="T26" s="157">
        <f>'Расчёты для проекта'!W13</f>
        <v>0.58333333333333337</v>
      </c>
      <c r="U26" s="152">
        <f>'Расчёты для проекта'!M13</f>
        <v>2.7327586206896552</v>
      </c>
      <c r="V26" s="157">
        <f>'Расчёты для проекта'!X13</f>
        <v>3.2083333333333335</v>
      </c>
      <c r="W26" s="163">
        <f>'Расчёты для проекта'!K13</f>
        <v>1.5420923581048203</v>
      </c>
      <c r="X26" s="164">
        <f>'Расчёты для проекта'!V13</f>
        <v>0.15952679566601588</v>
      </c>
    </row>
    <row r="27" spans="1:24" x14ac:dyDescent="0.25">
      <c r="A27" s="220"/>
      <c r="B27" s="220"/>
      <c r="C27" s="103" t="s">
        <v>125</v>
      </c>
      <c r="D27" s="103" t="s">
        <v>87</v>
      </c>
      <c r="E27" s="104">
        <v>5</v>
      </c>
      <c r="F27" s="105">
        <v>2</v>
      </c>
      <c r="G27" s="105" t="s">
        <v>87</v>
      </c>
      <c r="H27" s="105">
        <v>3.9</v>
      </c>
      <c r="I27" s="105" t="s">
        <v>87</v>
      </c>
      <c r="J27" s="223"/>
      <c r="K27" s="223"/>
      <c r="L27" s="106">
        <v>480</v>
      </c>
      <c r="M27" s="114" t="s">
        <v>87</v>
      </c>
      <c r="P27" s="161" t="str">
        <f>'Расчёты для проекта'!H14</f>
        <v>Осина</v>
      </c>
      <c r="Q27" s="152">
        <f>'Расчёты для проекта'!E14</f>
        <v>0.65539099303177317</v>
      </c>
      <c r="R27" s="157">
        <f>'Расчёты для проекта'!P14</f>
        <v>6.8026704617586058E-8</v>
      </c>
      <c r="S27" s="152">
        <f>'Расчёты для проекта'!L14</f>
        <v>1.6666666666666667</v>
      </c>
      <c r="T27" s="157">
        <f>'Расчёты для проекта'!W14</f>
        <v>9.9999999999999995E-7</v>
      </c>
      <c r="U27" s="152">
        <f>'Расчёты для проекта'!M14</f>
        <v>2.725806451612903</v>
      </c>
      <c r="V27" s="157">
        <f>'Расчёты для проекта'!X14</f>
        <v>9.9999999999999995E-7</v>
      </c>
      <c r="W27" s="163">
        <f>'Расчёты для проекта'!K14</f>
        <v>0.41211088880387442</v>
      </c>
      <c r="X27" s="164">
        <f>'Расчёты для проекта'!V14</f>
        <v>1.3293899638834657E-8</v>
      </c>
    </row>
    <row r="28" spans="1:24" ht="15" hidden="1" customHeight="1" x14ac:dyDescent="0.2">
      <c r="A28" s="108"/>
      <c r="B28" s="108"/>
      <c r="C28" s="109"/>
      <c r="D28" s="109" t="s">
        <v>88</v>
      </c>
      <c r="E28" s="108">
        <v>9</v>
      </c>
      <c r="F28" s="108">
        <v>4</v>
      </c>
      <c r="G28" s="108">
        <v>4</v>
      </c>
      <c r="H28" s="108">
        <v>5</v>
      </c>
      <c r="I28" s="108">
        <v>5</v>
      </c>
      <c r="J28" s="108">
        <v>0.8</v>
      </c>
      <c r="K28" s="108">
        <v>0.2</v>
      </c>
      <c r="L28" s="108"/>
      <c r="M28" s="108"/>
      <c r="P28" s="161" t="str">
        <f>'Расчёты для проекта'!H15</f>
        <v>Ольха серая</v>
      </c>
      <c r="Q28" s="152">
        <f>'Расчёты для проекта'!E15</f>
        <v>3.1712467404763219E-7</v>
      </c>
      <c r="R28" s="157">
        <f>'Расчёты для проекта'!P15</f>
        <v>1.0204005692637907E-6</v>
      </c>
      <c r="S28" s="152">
        <f>'Расчёты для проекта'!L15</f>
        <v>9.9999999999999995E-7</v>
      </c>
      <c r="T28" s="157">
        <f>'Расчёты для проекта'!W15</f>
        <v>9.9999999999999995E-7</v>
      </c>
      <c r="U28" s="152">
        <f>'Расчёты для проекта'!M15</f>
        <v>9.9999999999999995E-7</v>
      </c>
      <c r="V28" s="157">
        <f>'Расчёты для проекта'!X15</f>
        <v>9.9999999999999995E-7</v>
      </c>
      <c r="W28" s="163">
        <f>'Расчёты для проекта'!K15</f>
        <v>1.9940849458251983E-7</v>
      </c>
      <c r="X28" s="164">
        <f>'Расчёты для проекта'!V15</f>
        <v>1.9940849458251983E-7</v>
      </c>
    </row>
    <row r="29" spans="1:24" x14ac:dyDescent="0.25">
      <c r="P29" s="161" t="str">
        <f>'Расчёты для проекта'!H16</f>
        <v>Ива</v>
      </c>
      <c r="Q29" s="152">
        <f>'Расчёты для проекта'!E16</f>
        <v>0.76109921771431721</v>
      </c>
      <c r="R29" s="157">
        <f>'Расчёты для проекта'!P16</f>
        <v>6.8026704617586058E-8</v>
      </c>
      <c r="S29" s="152">
        <f>'Расчёты для проекта'!L16</f>
        <v>2</v>
      </c>
      <c r="T29" s="157">
        <f>'Расчёты для проекта'!W16</f>
        <v>9.9999999999999995E-7</v>
      </c>
      <c r="U29" s="152">
        <f>'Расчёты для проекта'!M16</f>
        <v>3.8611111111111112</v>
      </c>
      <c r="V29" s="157">
        <f>'Расчёты для проекта'!X16</f>
        <v>9.9999999999999995E-7</v>
      </c>
      <c r="W29" s="163">
        <f>'Расчёты для проекта'!K16</f>
        <v>0.47858038699804761</v>
      </c>
      <c r="X29" s="164">
        <f>'Расчёты для проекта'!V16</f>
        <v>1.3293899638834657E-8</v>
      </c>
    </row>
    <row r="30" spans="1:24" x14ac:dyDescent="0.25">
      <c r="A30" s="91" t="s">
        <v>89</v>
      </c>
      <c r="P30" s="161" t="str">
        <f>'Расчёты для проекта'!H17</f>
        <v>Чёрёмуха</v>
      </c>
      <c r="Q30" s="152">
        <f>'Расчёты для проекта'!E17</f>
        <v>0.25369976037975062</v>
      </c>
      <c r="R30" s="157">
        <f>'Расчёты для проекта'!P17</f>
        <v>6.8026704617586058E-8</v>
      </c>
      <c r="S30" s="152">
        <f>'Расчёты для проекта'!L17</f>
        <v>1</v>
      </c>
      <c r="T30" s="157">
        <f>'Расчёты для проекта'!W17</f>
        <v>1E-4</v>
      </c>
      <c r="U30" s="152">
        <f>'Расчёты для проекта'!M17</f>
        <v>1.9666665027777916</v>
      </c>
      <c r="V30" s="157">
        <f>'Расчёты для проекта'!X17</f>
        <v>1E-4</v>
      </c>
      <c r="W30" s="163">
        <f>'Расчёты для проекта'!K17</f>
        <v>0.1595268089599155</v>
      </c>
      <c r="X30" s="164">
        <f>'Расчёты для проекта'!V17</f>
        <v>1.3293899638834657E-8</v>
      </c>
    </row>
    <row r="31" spans="1:24" x14ac:dyDescent="0.25">
      <c r="A31" s="91" t="s">
        <v>90</v>
      </c>
      <c r="P31" s="161" t="str">
        <f>'Расчёты для проекта'!H18</f>
        <v>Дуб</v>
      </c>
      <c r="Q31" s="152">
        <f>'Расчёты для проекта'!E18</f>
        <v>3.1712467404763219E-7</v>
      </c>
      <c r="R31" s="157">
        <f>'Расчёты для проекта'!P18</f>
        <v>1.0204005692637907E-6</v>
      </c>
      <c r="S31" s="152">
        <f>'Расчёты для проекта'!L18</f>
        <v>9.9999999999999995E-7</v>
      </c>
      <c r="T31" s="157">
        <f>'Расчёты для проекта'!W18</f>
        <v>9.9999999999999995E-7</v>
      </c>
      <c r="U31" s="152">
        <f>'Расчёты для проекта'!M18</f>
        <v>9.9999999999999995E-7</v>
      </c>
      <c r="V31" s="157">
        <f>'Расчёты для проекта'!X18</f>
        <v>9.9999999999999995E-7</v>
      </c>
      <c r="W31" s="163">
        <f>'Расчёты для проекта'!K18</f>
        <v>1.9940849458251983E-7</v>
      </c>
      <c r="X31" s="164">
        <f>'Расчёты для проекта'!V18</f>
        <v>1.9940849458251983E-7</v>
      </c>
    </row>
    <row r="32" spans="1:24" x14ac:dyDescent="0.25">
      <c r="A32" s="91" t="s">
        <v>91</v>
      </c>
      <c r="P32" s="162" t="str">
        <f>'Расчёты для проекта'!H19</f>
        <v>Рябина</v>
      </c>
      <c r="Q32" s="158">
        <f>'Расчёты для проекта'!E19</f>
        <v>4.2283289873017618E-2</v>
      </c>
      <c r="R32" s="159">
        <f>'Расчёты для проекта'!P19</f>
        <v>6.8026704617586055E-5</v>
      </c>
      <c r="S32" s="158">
        <f>'Расчёты для проекта'!L19</f>
        <v>1</v>
      </c>
      <c r="T32" s="159">
        <f>'Расчёты для проекта'!W19</f>
        <v>1E-4</v>
      </c>
      <c r="U32" s="158">
        <f>'Расчёты для проекта'!M19</f>
        <v>2</v>
      </c>
      <c r="V32" s="159">
        <f>'Расчёты для проекта'!X19</f>
        <v>1.0000000000000001E-5</v>
      </c>
      <c r="W32" s="165">
        <f>'Расчёты для проекта'!K19</f>
        <v>2.6587799277669313E-2</v>
      </c>
      <c r="X32" s="166">
        <f>'Расчёты для проекта'!V19</f>
        <v>1.3293899638834657E-5</v>
      </c>
    </row>
    <row r="33" spans="1:20" ht="15.6" x14ac:dyDescent="0.3">
      <c r="A33" s="91" t="s">
        <v>92</v>
      </c>
      <c r="C33" s="209" t="s">
        <v>93</v>
      </c>
      <c r="D33" s="209"/>
      <c r="E33" s="209"/>
      <c r="F33" s="209"/>
      <c r="G33" s="209"/>
      <c r="H33" s="209"/>
      <c r="I33" s="209"/>
      <c r="J33" s="209"/>
      <c r="K33" s="209"/>
      <c r="L33" s="209"/>
      <c r="M33" s="209"/>
    </row>
    <row r="34" spans="1:20" ht="15.6" x14ac:dyDescent="0.3">
      <c r="A34" s="209" t="s">
        <v>94</v>
      </c>
      <c r="B34" s="209"/>
      <c r="C34" s="209"/>
      <c r="D34" s="209"/>
      <c r="E34" s="209"/>
      <c r="F34" s="209"/>
      <c r="G34" s="209"/>
      <c r="H34" s="209"/>
      <c r="I34" s="209"/>
      <c r="J34" s="209"/>
      <c r="K34" s="209"/>
      <c r="L34" s="209"/>
      <c r="M34" s="209"/>
    </row>
    <row r="35" spans="1:20" ht="15.6" x14ac:dyDescent="0.3">
      <c r="A35" s="91" t="s">
        <v>95</v>
      </c>
      <c r="D35" s="210" t="s">
        <v>96</v>
      </c>
      <c r="E35" s="210"/>
      <c r="F35" s="210"/>
      <c r="G35" s="210"/>
      <c r="H35" s="210"/>
      <c r="I35" s="210"/>
      <c r="J35" s="210"/>
      <c r="K35" s="210"/>
      <c r="L35" s="210"/>
      <c r="M35" s="210"/>
    </row>
    <row r="36" spans="1:20" ht="18.75" customHeight="1" x14ac:dyDescent="0.3">
      <c r="A36" s="209" t="s">
        <v>97</v>
      </c>
      <c r="B36" s="209"/>
      <c r="C36" s="209"/>
      <c r="D36" s="209"/>
      <c r="E36" s="209"/>
      <c r="F36" s="209"/>
      <c r="G36" s="209"/>
      <c r="H36" s="209"/>
      <c r="I36" s="209"/>
      <c r="J36" s="209"/>
      <c r="K36" s="209"/>
      <c r="L36" s="209"/>
      <c r="M36" s="209"/>
    </row>
    <row r="37" spans="1:20" ht="15.6" x14ac:dyDescent="0.3">
      <c r="A37" s="91" t="s">
        <v>98</v>
      </c>
      <c r="E37" s="110"/>
      <c r="F37" s="210" t="s">
        <v>99</v>
      </c>
      <c r="G37" s="210"/>
      <c r="H37" s="210"/>
      <c r="I37" s="210"/>
      <c r="J37" s="210"/>
      <c r="K37" s="210"/>
      <c r="L37" s="210"/>
      <c r="M37" s="210"/>
    </row>
    <row r="38" spans="1:20" ht="15" customHeight="1" x14ac:dyDescent="0.3">
      <c r="A38" s="218" t="s">
        <v>100</v>
      </c>
      <c r="B38" s="218"/>
      <c r="C38" s="218"/>
      <c r="D38" s="218"/>
      <c r="E38" s="218"/>
      <c r="F38" s="218"/>
      <c r="G38" s="218"/>
      <c r="H38" s="218"/>
      <c r="I38" s="218"/>
      <c r="J38" s="218"/>
      <c r="K38" s="218"/>
      <c r="L38" s="218"/>
      <c r="M38" s="218"/>
    </row>
    <row r="39" spans="1:20" ht="15.6" x14ac:dyDescent="0.3">
      <c r="A39" s="91" t="s">
        <v>101</v>
      </c>
      <c r="G39" s="111"/>
      <c r="H39" s="214" t="s">
        <v>102</v>
      </c>
      <c r="I39" s="214"/>
      <c r="J39" s="214"/>
      <c r="K39" s="214"/>
      <c r="L39" s="214"/>
      <c r="M39" s="214"/>
      <c r="P39" s="149" t="str">
        <f>'Расчёты для проекта'!E42</f>
        <v>Интенсивность</v>
      </c>
      <c r="Q39" s="150"/>
      <c r="R39" s="150"/>
      <c r="S39" s="150"/>
      <c r="T39" s="151"/>
    </row>
    <row r="40" spans="1:20" x14ac:dyDescent="0.25">
      <c r="A40" s="91" t="s">
        <v>103</v>
      </c>
      <c r="O40" s="112"/>
      <c r="P40" s="152">
        <f>'Расчёты для проекта'!E43</f>
        <v>68.92155065373646</v>
      </c>
      <c r="Q40" s="146" t="str">
        <f>'Расчёты для проекта'!F43</f>
        <v>%</v>
      </c>
      <c r="R40" s="146"/>
      <c r="S40" s="146"/>
      <c r="T40" s="153"/>
    </row>
    <row r="41" spans="1:20" x14ac:dyDescent="0.25">
      <c r="A41" s="91" t="s">
        <v>104</v>
      </c>
      <c r="K41" s="215" t="e">
        <f>(#REF!-'Проектируемые данныеПосле рубки'!U75)/#REF!*100%</f>
        <v>#REF!</v>
      </c>
      <c r="L41" s="216"/>
      <c r="M41" s="216"/>
      <c r="P41" s="154"/>
      <c r="Q41" s="146"/>
      <c r="R41" s="146"/>
      <c r="S41" s="146"/>
      <c r="T41" s="153"/>
    </row>
    <row r="42" spans="1:20" x14ac:dyDescent="0.25">
      <c r="A42" s="113" t="s">
        <v>105</v>
      </c>
      <c r="P42" s="154"/>
      <c r="Q42" s="146"/>
      <c r="R42" s="146"/>
      <c r="S42" s="146"/>
      <c r="T42" s="153"/>
    </row>
    <row r="43" spans="1:20" ht="15.6" x14ac:dyDescent="0.3">
      <c r="A43" s="209" t="s">
        <v>149</v>
      </c>
      <c r="B43" s="209"/>
      <c r="C43" s="209"/>
      <c r="D43" s="209"/>
      <c r="E43" s="209"/>
      <c r="F43" s="209"/>
      <c r="G43" s="209"/>
      <c r="H43" s="209"/>
      <c r="I43" s="209"/>
      <c r="J43" s="209"/>
      <c r="K43" s="209"/>
      <c r="L43" s="209"/>
      <c r="M43" s="209"/>
      <c r="O43" s="112"/>
      <c r="P43" s="154" t="str">
        <f>'Расчёты для проекта'!E26</f>
        <v>Вырубленна часть</v>
      </c>
      <c r="Q43" s="146"/>
      <c r="R43" s="148">
        <f>'Расчёты для проекта'!G26</f>
        <v>13.095094624209928</v>
      </c>
      <c r="S43" s="146" t="str">
        <f>'Расчёты для проекта'!H26</f>
        <v>м3 на 1 га</v>
      </c>
      <c r="T43" s="153"/>
    </row>
    <row r="44" spans="1:20" ht="15.6" x14ac:dyDescent="0.3">
      <c r="A44" s="217"/>
      <c r="B44" s="217"/>
      <c r="C44" s="217"/>
      <c r="D44" s="217"/>
      <c r="E44" s="217"/>
      <c r="F44" s="217"/>
      <c r="G44" s="217"/>
      <c r="H44" s="217"/>
      <c r="I44" s="217"/>
      <c r="J44" s="217"/>
      <c r="K44" s="217"/>
      <c r="L44" s="217"/>
      <c r="M44" s="217"/>
      <c r="O44" s="112"/>
      <c r="P44" s="154"/>
      <c r="Q44" s="146"/>
      <c r="R44" s="146"/>
      <c r="S44" s="146"/>
      <c r="T44" s="153"/>
    </row>
    <row r="45" spans="1:20" x14ac:dyDescent="0.25">
      <c r="A45" s="113" t="s">
        <v>106</v>
      </c>
      <c r="P45" s="154" t="str">
        <f>'Расчёты для проекта'!E28</f>
        <v>S делянки</v>
      </c>
      <c r="Q45" s="146" t="str">
        <f>'Расчёты для проекта'!F28</f>
        <v>ххх</v>
      </c>
      <c r="R45" s="146" t="e">
        <f>'Расчёты для проекта'!G28</f>
        <v>#VALUE!</v>
      </c>
      <c r="S45" s="146" t="str">
        <f>'Расчёты для проекта'!H28</f>
        <v>м3 на делянку</v>
      </c>
      <c r="T45" s="153"/>
    </row>
    <row r="46" spans="1:20" ht="15.6" x14ac:dyDescent="0.3">
      <c r="A46" s="209" t="s">
        <v>107</v>
      </c>
      <c r="B46" s="209"/>
      <c r="C46" s="209"/>
      <c r="D46" s="209"/>
      <c r="E46" s="209"/>
      <c r="F46" s="209"/>
      <c r="G46" s="209"/>
      <c r="H46" s="209"/>
      <c r="I46" s="209"/>
      <c r="J46" s="209"/>
      <c r="K46" s="209"/>
      <c r="L46" s="209"/>
      <c r="M46" s="209"/>
      <c r="P46" s="154"/>
      <c r="Q46" s="146"/>
      <c r="R46" s="146"/>
      <c r="S46" s="146"/>
      <c r="T46" s="153"/>
    </row>
    <row r="47" spans="1:20" x14ac:dyDescent="0.25">
      <c r="A47" s="113" t="s">
        <v>108</v>
      </c>
      <c r="P47" s="154" t="s">
        <v>148</v>
      </c>
      <c r="Q47" s="146"/>
      <c r="R47" s="146"/>
      <c r="S47" s="146"/>
      <c r="T47" s="153"/>
    </row>
    <row r="48" spans="1:20" ht="15.6" x14ac:dyDescent="0.3">
      <c r="A48" s="91" t="s">
        <v>109</v>
      </c>
      <c r="D48" s="110"/>
      <c r="E48" s="209" t="s">
        <v>110</v>
      </c>
      <c r="F48" s="209"/>
      <c r="G48" s="209"/>
      <c r="H48" s="209"/>
      <c r="I48" s="209"/>
      <c r="J48" s="209"/>
      <c r="K48" s="209"/>
      <c r="L48" s="209"/>
      <c r="M48" s="209"/>
      <c r="P48" s="152">
        <f>'Расчёты для проекта'!G31</f>
        <v>0.16067650151746704</v>
      </c>
      <c r="Q48" s="146" t="str">
        <f>'Расчёты для проекта'!H31</f>
        <v>Сосна</v>
      </c>
      <c r="R48" s="146"/>
      <c r="S48" s="146"/>
      <c r="T48" s="153"/>
    </row>
    <row r="49" spans="1:20" ht="15.6" x14ac:dyDescent="0.3">
      <c r="A49" s="209"/>
      <c r="B49" s="209"/>
      <c r="C49" s="209"/>
      <c r="D49" s="209"/>
      <c r="E49" s="209"/>
      <c r="F49" s="209"/>
      <c r="G49" s="209"/>
      <c r="H49" s="209"/>
      <c r="I49" s="209"/>
      <c r="J49" s="209"/>
      <c r="K49" s="209"/>
      <c r="L49" s="209"/>
      <c r="M49" s="209"/>
      <c r="P49" s="152">
        <f>'Расчёты для проекта'!G32</f>
        <v>5.4630010515938761</v>
      </c>
      <c r="Q49" s="146" t="str">
        <f>'Расчёты для проекта'!H32</f>
        <v>Ель из подроста</v>
      </c>
      <c r="R49" s="146"/>
      <c r="S49" s="146"/>
      <c r="T49" s="153"/>
    </row>
    <row r="50" spans="1:20" ht="15.6" x14ac:dyDescent="0.3">
      <c r="A50" s="91" t="s">
        <v>111</v>
      </c>
      <c r="E50" s="210"/>
      <c r="F50" s="210"/>
      <c r="G50" s="210"/>
      <c r="H50" s="210"/>
      <c r="I50" s="210"/>
      <c r="J50" s="210"/>
      <c r="K50" s="210"/>
      <c r="L50" s="210"/>
      <c r="M50" s="210"/>
      <c r="P50" s="152">
        <f>'Расчёты для проекта'!G33</f>
        <v>4.0169125379366719E-2</v>
      </c>
      <c r="Q50" s="146" t="str">
        <f>'Расчёты для проекта'!H33</f>
        <v>ЕЛЬ лесные культуры</v>
      </c>
      <c r="R50" s="146"/>
      <c r="S50" s="146"/>
      <c r="T50" s="153"/>
    </row>
    <row r="51" spans="1:20" ht="15.6" x14ac:dyDescent="0.3">
      <c r="A51" s="91" t="s">
        <v>112</v>
      </c>
      <c r="F51" s="211" t="s">
        <v>113</v>
      </c>
      <c r="G51" s="211"/>
      <c r="H51" s="211"/>
      <c r="I51" s="211"/>
      <c r="J51" s="211"/>
      <c r="K51" s="211"/>
      <c r="L51" s="211"/>
      <c r="M51" s="211"/>
      <c r="P51" s="152">
        <f>'Расчёты для проекта'!G34</f>
        <v>4.1775890394541415</v>
      </c>
      <c r="Q51" s="146" t="str">
        <f>'Расчёты для проекта'!H34</f>
        <v>Берёза</v>
      </c>
      <c r="R51" s="146"/>
      <c r="S51" s="146"/>
      <c r="T51" s="153"/>
    </row>
    <row r="52" spans="1:20" x14ac:dyDescent="0.25">
      <c r="A52" s="91" t="s">
        <v>114</v>
      </c>
      <c r="P52" s="152">
        <f>'Расчёты для проекта'!G35</f>
        <v>1.2452428465912435</v>
      </c>
      <c r="Q52" s="146" t="str">
        <f>'Расчёты для проекта'!H35</f>
        <v>Осина</v>
      </c>
      <c r="R52" s="146"/>
      <c r="S52" s="146"/>
      <c r="T52" s="153"/>
    </row>
    <row r="53" spans="1:20" x14ac:dyDescent="0.25">
      <c r="A53" s="212"/>
      <c r="B53" s="213"/>
      <c r="C53" s="213"/>
      <c r="D53" s="213"/>
      <c r="E53" s="213"/>
      <c r="F53" s="213"/>
      <c r="G53" s="213"/>
      <c r="H53" s="213"/>
      <c r="I53" s="213"/>
      <c r="J53" s="213"/>
      <c r="K53" s="213"/>
      <c r="L53" s="213"/>
      <c r="M53" s="213"/>
      <c r="P53" s="152">
        <f>'Расчёты для проекта'!G36</f>
        <v>0</v>
      </c>
      <c r="Q53" s="146" t="str">
        <f>'Расчёты для проекта'!H36</f>
        <v>Ольха серая</v>
      </c>
      <c r="R53" s="146"/>
      <c r="S53" s="146"/>
      <c r="T53" s="153"/>
    </row>
    <row r="54" spans="1:20" x14ac:dyDescent="0.25">
      <c r="P54" s="152">
        <f>'Расчёты для проекта'!G37</f>
        <v>1.4460884734880772</v>
      </c>
      <c r="Q54" s="146" t="str">
        <f>'Расчёты для проекта'!H37</f>
        <v>Ива</v>
      </c>
      <c r="R54" s="146"/>
      <c r="S54" s="146"/>
      <c r="T54" s="153"/>
    </row>
    <row r="55" spans="1:20" x14ac:dyDescent="0.25">
      <c r="P55" s="152">
        <f>'Расчёты для проекта'!G38</f>
        <v>0.48202950455240079</v>
      </c>
      <c r="Q55" s="146" t="str">
        <f>'Расчёты для проекта'!H38</f>
        <v>Чёрёмуха</v>
      </c>
      <c r="R55" s="146"/>
      <c r="S55" s="146"/>
      <c r="T55" s="153"/>
    </row>
    <row r="56" spans="1:20" ht="14.4" x14ac:dyDescent="0.3">
      <c r="A56" s="113" t="s">
        <v>115</v>
      </c>
      <c r="D56" s="113" t="s">
        <v>116</v>
      </c>
      <c r="P56" s="152">
        <f>'Расчёты для проекта'!G39</f>
        <v>0</v>
      </c>
      <c r="Q56" s="146" t="str">
        <f>'Расчёты для проекта'!H39</f>
        <v>Дуб</v>
      </c>
      <c r="R56" s="146"/>
      <c r="S56" s="146"/>
      <c r="T56" s="153"/>
    </row>
    <row r="57" spans="1:20" x14ac:dyDescent="0.25">
      <c r="P57" s="152">
        <f>'Расчёты для проекта'!G40</f>
        <v>8.0298081633354113E-2</v>
      </c>
      <c r="Q57" s="146" t="str">
        <f>'Расчёты для проекта'!H40</f>
        <v>Рябина</v>
      </c>
      <c r="R57" s="146"/>
      <c r="S57" s="146"/>
      <c r="T57" s="153"/>
    </row>
    <row r="58" spans="1:20" x14ac:dyDescent="0.25">
      <c r="P58" s="155"/>
      <c r="Q58" s="95"/>
      <c r="R58" s="95"/>
      <c r="S58" s="95"/>
      <c r="T58" s="156"/>
    </row>
  </sheetData>
  <mergeCells count="34">
    <mergeCell ref="A12:M12"/>
    <mergeCell ref="A2:M2"/>
    <mergeCell ref="A3:M3"/>
    <mergeCell ref="A4:M4"/>
    <mergeCell ref="D7:M7"/>
    <mergeCell ref="D9:M9"/>
    <mergeCell ref="G13:M13"/>
    <mergeCell ref="A16:M16"/>
    <mergeCell ref="A18:M18"/>
    <mergeCell ref="C21:D21"/>
    <mergeCell ref="F21:G21"/>
    <mergeCell ref="H21:I21"/>
    <mergeCell ref="J21:K21"/>
    <mergeCell ref="L21:M21"/>
    <mergeCell ref="A38:M38"/>
    <mergeCell ref="A23:A27"/>
    <mergeCell ref="B23:B27"/>
    <mergeCell ref="J23:J27"/>
    <mergeCell ref="K23:K27"/>
    <mergeCell ref="C33:M33"/>
    <mergeCell ref="A34:M34"/>
    <mergeCell ref="D35:M35"/>
    <mergeCell ref="A36:M36"/>
    <mergeCell ref="F37:M37"/>
    <mergeCell ref="A49:M49"/>
    <mergeCell ref="E50:M50"/>
    <mergeCell ref="F51:M51"/>
    <mergeCell ref="A53:M53"/>
    <mergeCell ref="H39:M39"/>
    <mergeCell ref="K41:M41"/>
    <mergeCell ref="A43:M43"/>
    <mergeCell ref="A44:M44"/>
    <mergeCell ref="A46:M46"/>
    <mergeCell ref="E48:M48"/>
  </mergeCells>
  <pageMargins left="0.82" right="0.17" top="0.49" bottom="0.17" header="0.5" footer="0.17"/>
  <pageSetup paperSize="9" scale="83" orientation="portrait" horizontalDpi="4294967292" r:id="rId1"/>
  <headerFooter alignWithMargins="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6:Z66"/>
  <sheetViews>
    <sheetView showZeros="0" topLeftCell="A13" zoomScale="70" zoomScaleNormal="70" workbookViewId="0">
      <selection activeCell="B45" sqref="B45:D45"/>
    </sheetView>
  </sheetViews>
  <sheetFormatPr defaultRowHeight="14.4" x14ac:dyDescent="0.3"/>
  <cols>
    <col min="4" max="4" width="11.44140625" customWidth="1"/>
    <col min="7" max="7" width="9" customWidth="1"/>
    <col min="20" max="26" width="9.88671875" bestFit="1" customWidth="1"/>
  </cols>
  <sheetData>
    <row r="16" spans="2:23" ht="24.9" customHeight="1" x14ac:dyDescent="0.3">
      <c r="B16" s="127" t="s">
        <v>137</v>
      </c>
      <c r="C16" s="45"/>
      <c r="D16" s="45"/>
      <c r="E16" s="45"/>
      <c r="F16" s="45"/>
      <c r="G16" s="45"/>
      <c r="H16" s="45"/>
      <c r="I16" s="45"/>
      <c r="J16" s="45"/>
      <c r="K16" s="45"/>
      <c r="L16" s="45"/>
      <c r="M16" s="45"/>
      <c r="N16" s="45"/>
      <c r="O16" s="45"/>
      <c r="P16" s="45"/>
      <c r="Q16" s="45"/>
      <c r="R16" s="128"/>
      <c r="S16" s="45"/>
      <c r="T16" s="128"/>
      <c r="U16" s="45"/>
      <c r="V16" s="45"/>
      <c r="W16" s="45"/>
    </row>
    <row r="17" spans="2:26" ht="24.9" customHeight="1" thickBot="1" x14ac:dyDescent="0.3"/>
    <row r="18" spans="2:26" ht="24.9" customHeight="1" thickTop="1" thickBot="1" x14ac:dyDescent="0.35">
      <c r="B18" s="1" t="s">
        <v>0</v>
      </c>
      <c r="C18" s="202" t="s">
        <v>1</v>
      </c>
      <c r="D18" s="195"/>
      <c r="E18" s="235" t="s">
        <v>43</v>
      </c>
      <c r="F18" s="233"/>
      <c r="G18" s="233"/>
      <c r="H18" s="233"/>
      <c r="I18" s="233"/>
      <c r="J18" s="233"/>
      <c r="K18" s="230" t="s">
        <v>138</v>
      </c>
      <c r="L18" s="231"/>
      <c r="M18" s="231"/>
      <c r="N18" s="231"/>
      <c r="O18" s="231"/>
      <c r="P18" s="232"/>
      <c r="Q18" s="230" t="s">
        <v>139</v>
      </c>
      <c r="R18" s="231"/>
      <c r="S18" s="231"/>
      <c r="T18" s="231"/>
      <c r="U18" s="231"/>
      <c r="V18" s="232"/>
      <c r="W18" s="233" t="s">
        <v>19</v>
      </c>
      <c r="X18" s="233"/>
      <c r="Y18" s="233"/>
      <c r="Z18" s="234"/>
    </row>
    <row r="19" spans="2:26" ht="24.9" customHeight="1" thickBot="1" x14ac:dyDescent="0.35">
      <c r="B19" s="31" t="s">
        <v>2</v>
      </c>
      <c r="C19" s="25" t="s">
        <v>3</v>
      </c>
      <c r="D19" s="68" t="s">
        <v>47</v>
      </c>
      <c r="E19" s="53" t="s">
        <v>5</v>
      </c>
      <c r="F19" s="50" t="s">
        <v>6</v>
      </c>
      <c r="G19" s="50" t="s">
        <v>7</v>
      </c>
      <c r="H19" s="50" t="s">
        <v>23</v>
      </c>
      <c r="I19" s="51" t="s">
        <v>8</v>
      </c>
      <c r="J19" s="54" t="s">
        <v>9</v>
      </c>
      <c r="K19" s="53" t="s">
        <v>5</v>
      </c>
      <c r="L19" s="50" t="s">
        <v>6</v>
      </c>
      <c r="M19" s="50" t="s">
        <v>7</v>
      </c>
      <c r="N19" s="50" t="s">
        <v>23</v>
      </c>
      <c r="O19" s="51" t="s">
        <v>8</v>
      </c>
      <c r="P19" s="52" t="s">
        <v>9</v>
      </c>
      <c r="Q19" s="53" t="s">
        <v>5</v>
      </c>
      <c r="R19" s="50" t="s">
        <v>6</v>
      </c>
      <c r="S19" s="50" t="s">
        <v>7</v>
      </c>
      <c r="T19" s="50" t="s">
        <v>23</v>
      </c>
      <c r="U19" s="51" t="s">
        <v>8</v>
      </c>
      <c r="V19" s="52" t="s">
        <v>9</v>
      </c>
      <c r="W19" s="49" t="s">
        <v>10</v>
      </c>
      <c r="X19" s="50" t="s">
        <v>23</v>
      </c>
      <c r="Y19" s="51" t="s">
        <v>8</v>
      </c>
      <c r="Z19" s="52" t="s">
        <v>9</v>
      </c>
    </row>
    <row r="20" spans="2:26" ht="24.9" customHeight="1" x14ac:dyDescent="0.3">
      <c r="B20" s="129">
        <v>1</v>
      </c>
      <c r="C20" s="27">
        <v>692</v>
      </c>
      <c r="D20" s="69" t="s">
        <v>49</v>
      </c>
      <c r="E20" s="130" t="e">
        <f>#REF!</f>
        <v>#REF!</v>
      </c>
      <c r="F20" s="7" t="e">
        <f>#REF!</f>
        <v>#REF!</v>
      </c>
      <c r="G20" s="7" t="e">
        <f>#REF!</f>
        <v>#REF!</v>
      </c>
      <c r="H20" s="7" t="e">
        <f>#REF!</f>
        <v>#REF!</v>
      </c>
      <c r="I20" s="7" t="e">
        <f>#REF!</f>
        <v>#REF!</v>
      </c>
      <c r="J20" s="8" t="e">
        <f>#REF!</f>
        <v>#REF!</v>
      </c>
      <c r="K20" s="130" t="e">
        <f>#REF!</f>
        <v>#REF!</v>
      </c>
      <c r="L20" s="7" t="e">
        <f>#REF!</f>
        <v>#REF!</v>
      </c>
      <c r="M20" s="7" t="e">
        <f>#REF!</f>
        <v>#REF!</v>
      </c>
      <c r="N20" s="7" t="e">
        <f>#REF!</f>
        <v>#REF!</v>
      </c>
      <c r="O20" s="7" t="e">
        <f>#REF!</f>
        <v>#REF!</v>
      </c>
      <c r="P20" s="8" t="e">
        <f>#REF!</f>
        <v>#REF!</v>
      </c>
      <c r="Q20" s="130" t="e">
        <f>#REF!</f>
        <v>#REF!</v>
      </c>
      <c r="R20" s="7" t="e">
        <f>#REF!</f>
        <v>#REF!</v>
      </c>
      <c r="S20" s="7" t="e">
        <f>#REF!</f>
        <v>#REF!</v>
      </c>
      <c r="T20" s="7" t="e">
        <f>#REF!</f>
        <v>#REF!</v>
      </c>
      <c r="U20" s="7" t="e">
        <f>#REF!</f>
        <v>#REF!</v>
      </c>
      <c r="V20" s="8" t="e">
        <f>#REF!</f>
        <v>#REF!</v>
      </c>
      <c r="W20" s="130" t="e">
        <f>#REF!</f>
        <v>#REF!</v>
      </c>
      <c r="X20" s="7" t="e">
        <f>#REF!</f>
        <v>#REF!</v>
      </c>
      <c r="Y20" s="7" t="e">
        <f>#REF!</f>
        <v>#REF!</v>
      </c>
      <c r="Z20" s="8" t="e">
        <f>#REF!</f>
        <v>#REF!</v>
      </c>
    </row>
    <row r="21" spans="2:26" ht="24.9" customHeight="1" x14ac:dyDescent="0.3">
      <c r="B21" s="131">
        <v>2</v>
      </c>
      <c r="C21" s="28">
        <v>693</v>
      </c>
      <c r="D21" s="37" t="s">
        <v>50</v>
      </c>
      <c r="E21" s="20" t="e">
        <f>#REF!</f>
        <v>#REF!</v>
      </c>
      <c r="F21" s="3" t="e">
        <f>#REF!</f>
        <v>#REF!</v>
      </c>
      <c r="G21" s="3" t="e">
        <f>#REF!</f>
        <v>#REF!</v>
      </c>
      <c r="H21" s="3" t="e">
        <f>#REF!</f>
        <v>#REF!</v>
      </c>
      <c r="I21" s="3" t="e">
        <f>#REF!</f>
        <v>#REF!</v>
      </c>
      <c r="J21" s="10" t="e">
        <f>#REF!</f>
        <v>#REF!</v>
      </c>
      <c r="K21" s="20" t="e">
        <f>#REF!</f>
        <v>#REF!</v>
      </c>
      <c r="L21" s="3" t="e">
        <f>#REF!</f>
        <v>#REF!</v>
      </c>
      <c r="M21" s="3" t="e">
        <f>#REF!</f>
        <v>#REF!</v>
      </c>
      <c r="N21" s="3" t="e">
        <f>#REF!</f>
        <v>#REF!</v>
      </c>
      <c r="O21" s="3" t="e">
        <f>#REF!</f>
        <v>#REF!</v>
      </c>
      <c r="P21" s="10" t="e">
        <f>#REF!</f>
        <v>#REF!</v>
      </c>
      <c r="Q21" s="20" t="e">
        <f>#REF!</f>
        <v>#REF!</v>
      </c>
      <c r="R21" s="3" t="e">
        <f>#REF!</f>
        <v>#REF!</v>
      </c>
      <c r="S21" s="3" t="e">
        <f>#REF!</f>
        <v>#REF!</v>
      </c>
      <c r="T21" s="3" t="e">
        <f>#REF!</f>
        <v>#REF!</v>
      </c>
      <c r="U21" s="3" t="e">
        <f>#REF!</f>
        <v>#REF!</v>
      </c>
      <c r="V21" s="10" t="e">
        <f>#REF!</f>
        <v>#REF!</v>
      </c>
      <c r="W21" s="20" t="e">
        <f>#REF!</f>
        <v>#REF!</v>
      </c>
      <c r="X21" s="3" t="e">
        <f>#REF!</f>
        <v>#REF!</v>
      </c>
      <c r="Y21" s="3" t="e">
        <f>#REF!</f>
        <v>#REF!</v>
      </c>
      <c r="Z21" s="10" t="e">
        <f>#REF!</f>
        <v>#REF!</v>
      </c>
    </row>
    <row r="22" spans="2:26" ht="24.9" customHeight="1" x14ac:dyDescent="0.3">
      <c r="B22" s="131">
        <v>3</v>
      </c>
      <c r="C22" s="28">
        <v>694</v>
      </c>
      <c r="D22" s="37" t="s">
        <v>51</v>
      </c>
      <c r="E22" s="20" t="e">
        <f>#REF!</f>
        <v>#REF!</v>
      </c>
      <c r="F22" s="3" t="e">
        <f>#REF!</f>
        <v>#REF!</v>
      </c>
      <c r="G22" s="3" t="e">
        <f>#REF!</f>
        <v>#REF!</v>
      </c>
      <c r="H22" s="3" t="e">
        <f>#REF!</f>
        <v>#REF!</v>
      </c>
      <c r="I22" s="3" t="e">
        <f>#REF!</f>
        <v>#REF!</v>
      </c>
      <c r="J22" s="10" t="e">
        <f>#REF!</f>
        <v>#REF!</v>
      </c>
      <c r="K22" s="20" t="e">
        <f>#REF!</f>
        <v>#REF!</v>
      </c>
      <c r="L22" s="3" t="e">
        <f>#REF!</f>
        <v>#REF!</v>
      </c>
      <c r="M22" s="3" t="e">
        <f>#REF!</f>
        <v>#REF!</v>
      </c>
      <c r="N22" s="3" t="e">
        <f>#REF!</f>
        <v>#REF!</v>
      </c>
      <c r="O22" s="3" t="e">
        <f>#REF!</f>
        <v>#REF!</v>
      </c>
      <c r="P22" s="10" t="e">
        <f>#REF!</f>
        <v>#REF!</v>
      </c>
      <c r="Q22" s="20" t="e">
        <f>#REF!</f>
        <v>#REF!</v>
      </c>
      <c r="R22" s="3" t="e">
        <f>#REF!</f>
        <v>#REF!</v>
      </c>
      <c r="S22" s="3" t="e">
        <f>#REF!</f>
        <v>#REF!</v>
      </c>
      <c r="T22" s="3" t="e">
        <f>#REF!</f>
        <v>#REF!</v>
      </c>
      <c r="U22" s="3" t="e">
        <f>#REF!</f>
        <v>#REF!</v>
      </c>
      <c r="V22" s="10" t="e">
        <f>#REF!</f>
        <v>#REF!</v>
      </c>
      <c r="W22" s="20" t="e">
        <f>#REF!</f>
        <v>#REF!</v>
      </c>
      <c r="X22" s="3" t="e">
        <f>#REF!</f>
        <v>#REF!</v>
      </c>
      <c r="Y22" s="3" t="e">
        <f>#REF!</f>
        <v>#REF!</v>
      </c>
      <c r="Z22" s="10" t="e">
        <f>#REF!</f>
        <v>#REF!</v>
      </c>
    </row>
    <row r="23" spans="2:26" ht="24.9" customHeight="1" x14ac:dyDescent="0.3">
      <c r="B23" s="131">
        <v>4</v>
      </c>
      <c r="C23" s="28">
        <v>695</v>
      </c>
      <c r="D23" s="37" t="s">
        <v>52</v>
      </c>
      <c r="E23" s="20" t="e">
        <f>#REF!</f>
        <v>#REF!</v>
      </c>
      <c r="F23" s="3" t="e">
        <f>#REF!</f>
        <v>#REF!</v>
      </c>
      <c r="G23" s="3" t="e">
        <f>#REF!</f>
        <v>#REF!</v>
      </c>
      <c r="H23" s="3" t="e">
        <f>#REF!</f>
        <v>#REF!</v>
      </c>
      <c r="I23" s="3" t="e">
        <f>#REF!</f>
        <v>#REF!</v>
      </c>
      <c r="J23" s="10" t="e">
        <f>#REF!</f>
        <v>#REF!</v>
      </c>
      <c r="K23" s="20" t="e">
        <f>#REF!</f>
        <v>#REF!</v>
      </c>
      <c r="L23" s="3" t="e">
        <f>#REF!</f>
        <v>#REF!</v>
      </c>
      <c r="M23" s="3" t="e">
        <f>#REF!</f>
        <v>#REF!</v>
      </c>
      <c r="N23" s="3" t="e">
        <f>#REF!</f>
        <v>#REF!</v>
      </c>
      <c r="O23" s="3" t="e">
        <f>#REF!</f>
        <v>#REF!</v>
      </c>
      <c r="P23" s="10" t="e">
        <f>#REF!</f>
        <v>#REF!</v>
      </c>
      <c r="Q23" s="20" t="e">
        <f>#REF!</f>
        <v>#REF!</v>
      </c>
      <c r="R23" s="3" t="e">
        <f>#REF!</f>
        <v>#REF!</v>
      </c>
      <c r="S23" s="3" t="e">
        <f>#REF!</f>
        <v>#REF!</v>
      </c>
      <c r="T23" s="3" t="e">
        <f>#REF!</f>
        <v>#REF!</v>
      </c>
      <c r="U23" s="3" t="e">
        <f>#REF!</f>
        <v>#REF!</v>
      </c>
      <c r="V23" s="10" t="e">
        <f>#REF!</f>
        <v>#REF!</v>
      </c>
      <c r="W23" s="20" t="e">
        <f>#REF!</f>
        <v>#REF!</v>
      </c>
      <c r="X23" s="3" t="e">
        <f>#REF!</f>
        <v>#REF!</v>
      </c>
      <c r="Y23" s="3" t="e">
        <f>#REF!</f>
        <v>#REF!</v>
      </c>
      <c r="Z23" s="10" t="e">
        <f>#REF!</f>
        <v>#REF!</v>
      </c>
    </row>
    <row r="24" spans="2:26" ht="24.9" customHeight="1" x14ac:dyDescent="0.3">
      <c r="B24" s="131">
        <v>5</v>
      </c>
      <c r="C24" s="28">
        <v>696</v>
      </c>
      <c r="D24" s="37" t="s">
        <v>53</v>
      </c>
      <c r="E24" s="20" t="e">
        <f>#REF!</f>
        <v>#REF!</v>
      </c>
      <c r="F24" s="3" t="e">
        <f>#REF!</f>
        <v>#REF!</v>
      </c>
      <c r="G24" s="3" t="e">
        <f>#REF!</f>
        <v>#REF!</v>
      </c>
      <c r="H24" s="3" t="e">
        <f>#REF!</f>
        <v>#REF!</v>
      </c>
      <c r="I24" s="3" t="e">
        <f>#REF!</f>
        <v>#REF!</v>
      </c>
      <c r="J24" s="10" t="e">
        <f>#REF!</f>
        <v>#REF!</v>
      </c>
      <c r="K24" s="20" t="e">
        <f>#REF!</f>
        <v>#REF!</v>
      </c>
      <c r="L24" s="3" t="e">
        <f>#REF!</f>
        <v>#REF!</v>
      </c>
      <c r="M24" s="3" t="e">
        <f>#REF!</f>
        <v>#REF!</v>
      </c>
      <c r="N24" s="3" t="e">
        <f>#REF!</f>
        <v>#REF!</v>
      </c>
      <c r="O24" s="3" t="e">
        <f>#REF!</f>
        <v>#REF!</v>
      </c>
      <c r="P24" s="10" t="e">
        <f>#REF!</f>
        <v>#REF!</v>
      </c>
      <c r="Q24" s="20" t="e">
        <f>#REF!</f>
        <v>#REF!</v>
      </c>
      <c r="R24" s="3" t="e">
        <f>#REF!</f>
        <v>#REF!</v>
      </c>
      <c r="S24" s="3" t="e">
        <f>#REF!</f>
        <v>#REF!</v>
      </c>
      <c r="T24" s="3" t="e">
        <f>#REF!</f>
        <v>#REF!</v>
      </c>
      <c r="U24" s="3" t="e">
        <f>#REF!</f>
        <v>#REF!</v>
      </c>
      <c r="V24" s="10" t="e">
        <f>#REF!</f>
        <v>#REF!</v>
      </c>
      <c r="W24" s="20" t="e">
        <f>#REF!</f>
        <v>#REF!</v>
      </c>
      <c r="X24" s="3" t="e">
        <f>#REF!</f>
        <v>#REF!</v>
      </c>
      <c r="Y24" s="3" t="e">
        <f>#REF!</f>
        <v>#REF!</v>
      </c>
      <c r="Z24" s="10" t="e">
        <f>#REF!</f>
        <v>#REF!</v>
      </c>
    </row>
    <row r="25" spans="2:26" ht="24.9" customHeight="1" x14ac:dyDescent="0.3">
      <c r="B25" s="131">
        <v>6</v>
      </c>
      <c r="C25" s="28">
        <v>697</v>
      </c>
      <c r="D25" s="37" t="s">
        <v>54</v>
      </c>
      <c r="E25" s="20" t="e">
        <f>#REF!</f>
        <v>#REF!</v>
      </c>
      <c r="F25" s="3" t="e">
        <f>#REF!</f>
        <v>#REF!</v>
      </c>
      <c r="G25" s="3" t="e">
        <f>#REF!</f>
        <v>#REF!</v>
      </c>
      <c r="H25" s="3" t="e">
        <f>#REF!</f>
        <v>#REF!</v>
      </c>
      <c r="I25" s="3" t="e">
        <f>#REF!</f>
        <v>#REF!</v>
      </c>
      <c r="J25" s="10" t="e">
        <f>#REF!</f>
        <v>#REF!</v>
      </c>
      <c r="K25" s="20" t="e">
        <f>#REF!</f>
        <v>#REF!</v>
      </c>
      <c r="L25" s="3" t="e">
        <f>#REF!</f>
        <v>#REF!</v>
      </c>
      <c r="M25" s="3" t="e">
        <f>#REF!</f>
        <v>#REF!</v>
      </c>
      <c r="N25" s="3" t="e">
        <f>#REF!</f>
        <v>#REF!</v>
      </c>
      <c r="O25" s="3" t="e">
        <f>#REF!</f>
        <v>#REF!</v>
      </c>
      <c r="P25" s="10" t="e">
        <f>#REF!</f>
        <v>#REF!</v>
      </c>
      <c r="Q25" s="20" t="e">
        <f>#REF!</f>
        <v>#REF!</v>
      </c>
      <c r="R25" s="3" t="e">
        <f>#REF!</f>
        <v>#REF!</v>
      </c>
      <c r="S25" s="3" t="e">
        <f>#REF!</f>
        <v>#REF!</v>
      </c>
      <c r="T25" s="3" t="e">
        <f>#REF!</f>
        <v>#REF!</v>
      </c>
      <c r="U25" s="3" t="e">
        <f>#REF!</f>
        <v>#REF!</v>
      </c>
      <c r="V25" s="10" t="e">
        <f>#REF!</f>
        <v>#REF!</v>
      </c>
      <c r="W25" s="20" t="e">
        <f>#REF!</f>
        <v>#REF!</v>
      </c>
      <c r="X25" s="3" t="e">
        <f>#REF!</f>
        <v>#REF!</v>
      </c>
      <c r="Y25" s="3" t="e">
        <f>#REF!</f>
        <v>#REF!</v>
      </c>
      <c r="Z25" s="10" t="e">
        <f>#REF!</f>
        <v>#REF!</v>
      </c>
    </row>
    <row r="26" spans="2:26" ht="24.9" customHeight="1" x14ac:dyDescent="0.3">
      <c r="B26" s="131">
        <v>7</v>
      </c>
      <c r="C26" s="28">
        <v>698</v>
      </c>
      <c r="D26" s="37" t="s">
        <v>55</v>
      </c>
      <c r="E26" s="20" t="e">
        <f>#REF!</f>
        <v>#REF!</v>
      </c>
      <c r="F26" s="3" t="e">
        <f>#REF!</f>
        <v>#REF!</v>
      </c>
      <c r="G26" s="3" t="e">
        <f>#REF!</f>
        <v>#REF!</v>
      </c>
      <c r="H26" s="3" t="e">
        <f>#REF!</f>
        <v>#REF!</v>
      </c>
      <c r="I26" s="3" t="e">
        <f>#REF!</f>
        <v>#REF!</v>
      </c>
      <c r="J26" s="10" t="e">
        <f>#REF!</f>
        <v>#REF!</v>
      </c>
      <c r="K26" s="20" t="e">
        <f>#REF!</f>
        <v>#REF!</v>
      </c>
      <c r="L26" s="3" t="e">
        <f>#REF!</f>
        <v>#REF!</v>
      </c>
      <c r="M26" s="3" t="e">
        <f>#REF!</f>
        <v>#REF!</v>
      </c>
      <c r="N26" s="3" t="e">
        <f>#REF!</f>
        <v>#REF!</v>
      </c>
      <c r="O26" s="3" t="e">
        <f>#REF!</f>
        <v>#REF!</v>
      </c>
      <c r="P26" s="10" t="e">
        <f>#REF!</f>
        <v>#REF!</v>
      </c>
      <c r="Q26" s="20" t="e">
        <f>#REF!</f>
        <v>#REF!</v>
      </c>
      <c r="R26" s="3" t="e">
        <f>#REF!</f>
        <v>#REF!</v>
      </c>
      <c r="S26" s="3" t="e">
        <f>#REF!</f>
        <v>#REF!</v>
      </c>
      <c r="T26" s="3" t="e">
        <f>#REF!</f>
        <v>#REF!</v>
      </c>
      <c r="U26" s="3" t="e">
        <f>#REF!</f>
        <v>#REF!</v>
      </c>
      <c r="V26" s="10" t="e">
        <f>#REF!</f>
        <v>#REF!</v>
      </c>
      <c r="W26" s="20" t="e">
        <f>#REF!</f>
        <v>#REF!</v>
      </c>
      <c r="X26" s="3" t="e">
        <f>#REF!</f>
        <v>#REF!</v>
      </c>
      <c r="Y26" s="3" t="e">
        <f>#REF!</f>
        <v>#REF!</v>
      </c>
      <c r="Z26" s="10" t="e">
        <f>#REF!</f>
        <v>#REF!</v>
      </c>
    </row>
    <row r="27" spans="2:26" ht="24.9" customHeight="1" x14ac:dyDescent="0.3">
      <c r="B27" s="131">
        <v>8</v>
      </c>
      <c r="C27" s="28">
        <v>699</v>
      </c>
      <c r="D27" s="37" t="s">
        <v>56</v>
      </c>
      <c r="E27" s="20" t="e">
        <f>#REF!</f>
        <v>#REF!</v>
      </c>
      <c r="F27" s="3" t="e">
        <f>#REF!</f>
        <v>#REF!</v>
      </c>
      <c r="G27" s="3" t="e">
        <f>#REF!</f>
        <v>#REF!</v>
      </c>
      <c r="H27" s="3" t="e">
        <f>#REF!</f>
        <v>#REF!</v>
      </c>
      <c r="I27" s="3" t="e">
        <f>#REF!</f>
        <v>#REF!</v>
      </c>
      <c r="J27" s="10" t="e">
        <f>#REF!</f>
        <v>#REF!</v>
      </c>
      <c r="K27" s="20" t="e">
        <f>#REF!</f>
        <v>#REF!</v>
      </c>
      <c r="L27" s="3" t="e">
        <f>#REF!</f>
        <v>#REF!</v>
      </c>
      <c r="M27" s="3" t="e">
        <f>#REF!</f>
        <v>#REF!</v>
      </c>
      <c r="N27" s="3" t="e">
        <f>#REF!</f>
        <v>#REF!</v>
      </c>
      <c r="O27" s="3" t="e">
        <f>#REF!</f>
        <v>#REF!</v>
      </c>
      <c r="P27" s="10" t="e">
        <f>#REF!</f>
        <v>#REF!</v>
      </c>
      <c r="Q27" s="20" t="e">
        <f>#REF!</f>
        <v>#REF!</v>
      </c>
      <c r="R27" s="3" t="e">
        <f>#REF!</f>
        <v>#REF!</v>
      </c>
      <c r="S27" s="3" t="e">
        <f>#REF!</f>
        <v>#REF!</v>
      </c>
      <c r="T27" s="3" t="e">
        <f>#REF!</f>
        <v>#REF!</v>
      </c>
      <c r="U27" s="3" t="e">
        <f>#REF!</f>
        <v>#REF!</v>
      </c>
      <c r="V27" s="10" t="e">
        <f>#REF!</f>
        <v>#REF!</v>
      </c>
      <c r="W27" s="20" t="e">
        <f>#REF!</f>
        <v>#REF!</v>
      </c>
      <c r="X27" s="3" t="e">
        <f>#REF!</f>
        <v>#REF!</v>
      </c>
      <c r="Y27" s="3" t="e">
        <f>#REF!</f>
        <v>#REF!</v>
      </c>
      <c r="Z27" s="10" t="e">
        <f>#REF!</f>
        <v>#REF!</v>
      </c>
    </row>
    <row r="28" spans="2:26" ht="24.9" customHeight="1" x14ac:dyDescent="0.3">
      <c r="B28" s="131">
        <v>9</v>
      </c>
      <c r="C28" s="28">
        <v>700</v>
      </c>
      <c r="D28" s="37" t="s">
        <v>57</v>
      </c>
      <c r="E28" s="20" t="e">
        <f>#REF!</f>
        <v>#REF!</v>
      </c>
      <c r="F28" s="3" t="e">
        <f>#REF!</f>
        <v>#REF!</v>
      </c>
      <c r="G28" s="3" t="e">
        <f>#REF!</f>
        <v>#REF!</v>
      </c>
      <c r="H28" s="3" t="e">
        <f>#REF!</f>
        <v>#REF!</v>
      </c>
      <c r="I28" s="3" t="e">
        <f>#REF!</f>
        <v>#REF!</v>
      </c>
      <c r="J28" s="10" t="e">
        <f>#REF!</f>
        <v>#REF!</v>
      </c>
      <c r="K28" s="20" t="e">
        <f>#REF!</f>
        <v>#REF!</v>
      </c>
      <c r="L28" s="3" t="e">
        <f>#REF!</f>
        <v>#REF!</v>
      </c>
      <c r="M28" s="3" t="e">
        <f>#REF!</f>
        <v>#REF!</v>
      </c>
      <c r="N28" s="3" t="e">
        <f>#REF!</f>
        <v>#REF!</v>
      </c>
      <c r="O28" s="3" t="e">
        <f>#REF!</f>
        <v>#REF!</v>
      </c>
      <c r="P28" s="10" t="e">
        <f>#REF!</f>
        <v>#REF!</v>
      </c>
      <c r="Q28" s="20" t="e">
        <f>#REF!</f>
        <v>#REF!</v>
      </c>
      <c r="R28" s="3" t="e">
        <f>#REF!</f>
        <v>#REF!</v>
      </c>
      <c r="S28" s="3" t="e">
        <f>#REF!</f>
        <v>#REF!</v>
      </c>
      <c r="T28" s="3" t="e">
        <f>#REF!</f>
        <v>#REF!</v>
      </c>
      <c r="U28" s="3" t="e">
        <f>#REF!</f>
        <v>#REF!</v>
      </c>
      <c r="V28" s="10" t="e">
        <f>#REF!</f>
        <v>#REF!</v>
      </c>
      <c r="W28" s="20" t="e">
        <f>#REF!</f>
        <v>#REF!</v>
      </c>
      <c r="X28" s="3" t="e">
        <f>#REF!</f>
        <v>#REF!</v>
      </c>
      <c r="Y28" s="3" t="e">
        <f>#REF!</f>
        <v>#REF!</v>
      </c>
      <c r="Z28" s="10" t="e">
        <f>#REF!</f>
        <v>#REF!</v>
      </c>
    </row>
    <row r="29" spans="2:26" ht="24.9" customHeight="1" x14ac:dyDescent="0.3">
      <c r="B29" s="131">
        <v>10</v>
      </c>
      <c r="C29" s="28">
        <v>701</v>
      </c>
      <c r="D29" s="37" t="s">
        <v>58</v>
      </c>
      <c r="E29" s="20" t="e">
        <f>#REF!</f>
        <v>#REF!</v>
      </c>
      <c r="F29" s="3" t="e">
        <f>#REF!</f>
        <v>#REF!</v>
      </c>
      <c r="G29" s="3" t="e">
        <f>#REF!</f>
        <v>#REF!</v>
      </c>
      <c r="H29" s="3" t="e">
        <f>#REF!</f>
        <v>#REF!</v>
      </c>
      <c r="I29" s="3" t="e">
        <f>#REF!</f>
        <v>#REF!</v>
      </c>
      <c r="J29" s="10" t="e">
        <f>#REF!</f>
        <v>#REF!</v>
      </c>
      <c r="K29" s="20" t="e">
        <f>#REF!</f>
        <v>#REF!</v>
      </c>
      <c r="L29" s="3" t="e">
        <f>#REF!</f>
        <v>#REF!</v>
      </c>
      <c r="M29" s="3" t="e">
        <f>#REF!</f>
        <v>#REF!</v>
      </c>
      <c r="N29" s="3" t="e">
        <f>#REF!</f>
        <v>#REF!</v>
      </c>
      <c r="O29" s="3" t="e">
        <f>#REF!</f>
        <v>#REF!</v>
      </c>
      <c r="P29" s="10" t="e">
        <f>#REF!</f>
        <v>#REF!</v>
      </c>
      <c r="Q29" s="20" t="e">
        <f>#REF!</f>
        <v>#REF!</v>
      </c>
      <c r="R29" s="3" t="e">
        <f>#REF!</f>
        <v>#REF!</v>
      </c>
      <c r="S29" s="3" t="e">
        <f>#REF!</f>
        <v>#REF!</v>
      </c>
      <c r="T29" s="3" t="e">
        <f>#REF!</f>
        <v>#REF!</v>
      </c>
      <c r="U29" s="3" t="e">
        <f>#REF!</f>
        <v>#REF!</v>
      </c>
      <c r="V29" s="10" t="e">
        <f>#REF!</f>
        <v>#REF!</v>
      </c>
      <c r="W29" s="20" t="e">
        <f>#REF!</f>
        <v>#REF!</v>
      </c>
      <c r="X29" s="3" t="e">
        <f>#REF!</f>
        <v>#REF!</v>
      </c>
      <c r="Y29" s="3" t="e">
        <f>#REF!</f>
        <v>#REF!</v>
      </c>
      <c r="Z29" s="10" t="e">
        <f>#REF!</f>
        <v>#REF!</v>
      </c>
    </row>
    <row r="30" spans="2:26" ht="24.9" customHeight="1" x14ac:dyDescent="0.3">
      <c r="B30" s="131">
        <v>11</v>
      </c>
      <c r="C30" s="28">
        <v>702</v>
      </c>
      <c r="D30" s="37" t="s">
        <v>59</v>
      </c>
      <c r="E30" s="20" t="e">
        <f>#REF!</f>
        <v>#REF!</v>
      </c>
      <c r="F30" s="3" t="e">
        <f>#REF!</f>
        <v>#REF!</v>
      </c>
      <c r="G30" s="3" t="e">
        <f>#REF!</f>
        <v>#REF!</v>
      </c>
      <c r="H30" s="3" t="e">
        <f>#REF!</f>
        <v>#REF!</v>
      </c>
      <c r="I30" s="3" t="e">
        <f>#REF!</f>
        <v>#REF!</v>
      </c>
      <c r="J30" s="10" t="e">
        <f>#REF!</f>
        <v>#REF!</v>
      </c>
      <c r="K30" s="20" t="e">
        <f>#REF!</f>
        <v>#REF!</v>
      </c>
      <c r="L30" s="3" t="e">
        <f>#REF!</f>
        <v>#REF!</v>
      </c>
      <c r="M30" s="3" t="e">
        <f>#REF!</f>
        <v>#REF!</v>
      </c>
      <c r="N30" s="3" t="e">
        <f>#REF!</f>
        <v>#REF!</v>
      </c>
      <c r="O30" s="3" t="e">
        <f>#REF!</f>
        <v>#REF!</v>
      </c>
      <c r="P30" s="10" t="e">
        <f>#REF!</f>
        <v>#REF!</v>
      </c>
      <c r="Q30" s="20" t="e">
        <f>#REF!</f>
        <v>#REF!</v>
      </c>
      <c r="R30" s="3" t="e">
        <f>#REF!</f>
        <v>#REF!</v>
      </c>
      <c r="S30" s="3" t="e">
        <f>#REF!</f>
        <v>#REF!</v>
      </c>
      <c r="T30" s="3" t="e">
        <f>#REF!</f>
        <v>#REF!</v>
      </c>
      <c r="U30" s="3" t="e">
        <f>#REF!</f>
        <v>#REF!</v>
      </c>
      <c r="V30" s="10" t="e">
        <f>#REF!</f>
        <v>#REF!</v>
      </c>
      <c r="W30" s="20" t="e">
        <f>#REF!</f>
        <v>#REF!</v>
      </c>
      <c r="X30" s="3" t="e">
        <f>#REF!</f>
        <v>#REF!</v>
      </c>
      <c r="Y30" s="3" t="e">
        <f>#REF!</f>
        <v>#REF!</v>
      </c>
      <c r="Z30" s="10" t="e">
        <f>#REF!</f>
        <v>#REF!</v>
      </c>
    </row>
    <row r="31" spans="2:26" ht="24.9" customHeight="1" x14ac:dyDescent="0.3">
      <c r="B31" s="131">
        <v>12</v>
      </c>
      <c r="C31" s="28">
        <v>703</v>
      </c>
      <c r="D31" s="37" t="s">
        <v>60</v>
      </c>
      <c r="E31" s="20" t="e">
        <f>#REF!</f>
        <v>#REF!</v>
      </c>
      <c r="F31" s="3" t="e">
        <f>#REF!</f>
        <v>#REF!</v>
      </c>
      <c r="G31" s="3" t="e">
        <f>#REF!</f>
        <v>#REF!</v>
      </c>
      <c r="H31" s="3" t="e">
        <f>#REF!</f>
        <v>#REF!</v>
      </c>
      <c r="I31" s="3" t="e">
        <f>#REF!</f>
        <v>#REF!</v>
      </c>
      <c r="J31" s="10" t="e">
        <f>#REF!</f>
        <v>#REF!</v>
      </c>
      <c r="K31" s="20" t="e">
        <f>#REF!</f>
        <v>#REF!</v>
      </c>
      <c r="L31" s="3" t="e">
        <f>#REF!</f>
        <v>#REF!</v>
      </c>
      <c r="M31" s="3" t="e">
        <f>#REF!</f>
        <v>#REF!</v>
      </c>
      <c r="N31" s="3" t="e">
        <f>#REF!</f>
        <v>#REF!</v>
      </c>
      <c r="O31" s="3" t="e">
        <f>#REF!</f>
        <v>#REF!</v>
      </c>
      <c r="P31" s="10" t="e">
        <f>#REF!</f>
        <v>#REF!</v>
      </c>
      <c r="Q31" s="20" t="e">
        <f>#REF!</f>
        <v>#REF!</v>
      </c>
      <c r="R31" s="3" t="e">
        <f>#REF!</f>
        <v>#REF!</v>
      </c>
      <c r="S31" s="3" t="e">
        <f>#REF!</f>
        <v>#REF!</v>
      </c>
      <c r="T31" s="3" t="e">
        <f>#REF!</f>
        <v>#REF!</v>
      </c>
      <c r="U31" s="3" t="e">
        <f>#REF!</f>
        <v>#REF!</v>
      </c>
      <c r="V31" s="10" t="e">
        <f>#REF!</f>
        <v>#REF!</v>
      </c>
      <c r="W31" s="20" t="e">
        <f>#REF!</f>
        <v>#REF!</v>
      </c>
      <c r="X31" s="3" t="e">
        <f>#REF!</f>
        <v>#REF!</v>
      </c>
      <c r="Y31" s="3" t="e">
        <f>#REF!</f>
        <v>#REF!</v>
      </c>
      <c r="Z31" s="10" t="e">
        <f>#REF!</f>
        <v>#REF!</v>
      </c>
    </row>
    <row r="32" spans="2:26" ht="24.9" customHeight="1" x14ac:dyDescent="0.3">
      <c r="B32" s="131">
        <v>13</v>
      </c>
      <c r="C32" s="28">
        <v>704</v>
      </c>
      <c r="D32" s="37" t="s">
        <v>61</v>
      </c>
      <c r="E32" s="20" t="e">
        <f>#REF!</f>
        <v>#REF!</v>
      </c>
      <c r="F32" s="3" t="e">
        <f>#REF!</f>
        <v>#REF!</v>
      </c>
      <c r="G32" s="3" t="e">
        <f>#REF!</f>
        <v>#REF!</v>
      </c>
      <c r="H32" s="3" t="e">
        <f>#REF!</f>
        <v>#REF!</v>
      </c>
      <c r="I32" s="3" t="e">
        <f>#REF!</f>
        <v>#REF!</v>
      </c>
      <c r="J32" s="10" t="e">
        <f>#REF!</f>
        <v>#REF!</v>
      </c>
      <c r="K32" s="20" t="e">
        <f>#REF!</f>
        <v>#REF!</v>
      </c>
      <c r="L32" s="3" t="e">
        <f>#REF!</f>
        <v>#REF!</v>
      </c>
      <c r="M32" s="3" t="e">
        <f>#REF!</f>
        <v>#REF!</v>
      </c>
      <c r="N32" s="3" t="e">
        <f>#REF!</f>
        <v>#REF!</v>
      </c>
      <c r="O32" s="3" t="e">
        <f>#REF!</f>
        <v>#REF!</v>
      </c>
      <c r="P32" s="10" t="e">
        <f>#REF!</f>
        <v>#REF!</v>
      </c>
      <c r="Q32" s="20" t="e">
        <f>#REF!</f>
        <v>#REF!</v>
      </c>
      <c r="R32" s="3" t="e">
        <f>#REF!</f>
        <v>#REF!</v>
      </c>
      <c r="S32" s="3" t="e">
        <f>#REF!</f>
        <v>#REF!</v>
      </c>
      <c r="T32" s="3" t="e">
        <f>#REF!</f>
        <v>#REF!</v>
      </c>
      <c r="U32" s="3" t="e">
        <f>#REF!</f>
        <v>#REF!</v>
      </c>
      <c r="V32" s="10" t="e">
        <f>#REF!</f>
        <v>#REF!</v>
      </c>
      <c r="W32" s="20" t="e">
        <f>#REF!</f>
        <v>#REF!</v>
      </c>
      <c r="X32" s="3" t="e">
        <f>#REF!</f>
        <v>#REF!</v>
      </c>
      <c r="Y32" s="3" t="e">
        <f>#REF!</f>
        <v>#REF!</v>
      </c>
      <c r="Z32" s="10" t="e">
        <f>#REF!</f>
        <v>#REF!</v>
      </c>
    </row>
    <row r="33" spans="2:26" ht="24.9" customHeight="1" x14ac:dyDescent="0.3">
      <c r="B33" s="131">
        <v>14</v>
      </c>
      <c r="C33" s="28">
        <v>705</v>
      </c>
      <c r="D33" s="37" t="s">
        <v>62</v>
      </c>
      <c r="E33" s="20" t="e">
        <f>#REF!</f>
        <v>#REF!</v>
      </c>
      <c r="F33" s="3" t="e">
        <f>#REF!</f>
        <v>#REF!</v>
      </c>
      <c r="G33" s="3" t="e">
        <f>#REF!</f>
        <v>#REF!</v>
      </c>
      <c r="H33" s="3" t="e">
        <f>#REF!</f>
        <v>#REF!</v>
      </c>
      <c r="I33" s="3" t="e">
        <f>#REF!</f>
        <v>#REF!</v>
      </c>
      <c r="J33" s="10" t="e">
        <f>#REF!</f>
        <v>#REF!</v>
      </c>
      <c r="K33" s="20" t="e">
        <f>#REF!</f>
        <v>#REF!</v>
      </c>
      <c r="L33" s="3" t="e">
        <f>#REF!</f>
        <v>#REF!</v>
      </c>
      <c r="M33" s="3" t="e">
        <f>#REF!</f>
        <v>#REF!</v>
      </c>
      <c r="N33" s="3" t="e">
        <f>#REF!</f>
        <v>#REF!</v>
      </c>
      <c r="O33" s="3" t="e">
        <f>#REF!</f>
        <v>#REF!</v>
      </c>
      <c r="P33" s="10" t="e">
        <f>#REF!</f>
        <v>#REF!</v>
      </c>
      <c r="Q33" s="20" t="e">
        <f>#REF!</f>
        <v>#REF!</v>
      </c>
      <c r="R33" s="3" t="e">
        <f>#REF!</f>
        <v>#REF!</v>
      </c>
      <c r="S33" s="3" t="e">
        <f>#REF!</f>
        <v>#REF!</v>
      </c>
      <c r="T33" s="3" t="e">
        <f>#REF!</f>
        <v>#REF!</v>
      </c>
      <c r="U33" s="3" t="e">
        <f>#REF!</f>
        <v>#REF!</v>
      </c>
      <c r="V33" s="10" t="e">
        <f>#REF!</f>
        <v>#REF!</v>
      </c>
      <c r="W33" s="20" t="e">
        <f>#REF!</f>
        <v>#REF!</v>
      </c>
      <c r="X33" s="3" t="e">
        <f>#REF!</f>
        <v>#REF!</v>
      </c>
      <c r="Y33" s="3" t="e">
        <f>#REF!</f>
        <v>#REF!</v>
      </c>
      <c r="Z33" s="10" t="e">
        <f>#REF!</f>
        <v>#REF!</v>
      </c>
    </row>
    <row r="34" spans="2:26" ht="24.9" customHeight="1" x14ac:dyDescent="0.3">
      <c r="B34" s="131">
        <v>15</v>
      </c>
      <c r="C34" s="28">
        <v>706</v>
      </c>
      <c r="D34" s="37" t="s">
        <v>60</v>
      </c>
      <c r="E34" s="20" t="e">
        <f>#REF!</f>
        <v>#REF!</v>
      </c>
      <c r="F34" s="3" t="e">
        <f>#REF!</f>
        <v>#REF!</v>
      </c>
      <c r="G34" s="3" t="e">
        <f>#REF!</f>
        <v>#REF!</v>
      </c>
      <c r="H34" s="3" t="e">
        <f>#REF!</f>
        <v>#REF!</v>
      </c>
      <c r="I34" s="3" t="e">
        <f>#REF!</f>
        <v>#REF!</v>
      </c>
      <c r="J34" s="10" t="e">
        <f>#REF!</f>
        <v>#REF!</v>
      </c>
      <c r="K34" s="20" t="e">
        <f>#REF!</f>
        <v>#REF!</v>
      </c>
      <c r="L34" s="3" t="e">
        <f>#REF!</f>
        <v>#REF!</v>
      </c>
      <c r="M34" s="3" t="e">
        <f>#REF!</f>
        <v>#REF!</v>
      </c>
      <c r="N34" s="3" t="e">
        <f>#REF!</f>
        <v>#REF!</v>
      </c>
      <c r="O34" s="3" t="e">
        <f>#REF!</f>
        <v>#REF!</v>
      </c>
      <c r="P34" s="10" t="e">
        <f>#REF!</f>
        <v>#REF!</v>
      </c>
      <c r="Q34" s="20" t="e">
        <f>#REF!</f>
        <v>#REF!</v>
      </c>
      <c r="R34" s="3" t="e">
        <f>#REF!</f>
        <v>#REF!</v>
      </c>
      <c r="S34" s="3" t="e">
        <f>#REF!</f>
        <v>#REF!</v>
      </c>
      <c r="T34" s="3" t="e">
        <f>#REF!</f>
        <v>#REF!</v>
      </c>
      <c r="U34" s="3" t="e">
        <f>#REF!</f>
        <v>#REF!</v>
      </c>
      <c r="V34" s="10" t="e">
        <f>#REF!</f>
        <v>#REF!</v>
      </c>
      <c r="W34" s="20" t="e">
        <f>#REF!</f>
        <v>#REF!</v>
      </c>
      <c r="X34" s="3" t="e">
        <f>#REF!</f>
        <v>#REF!</v>
      </c>
      <c r="Y34" s="3" t="e">
        <f>#REF!</f>
        <v>#REF!</v>
      </c>
      <c r="Z34" s="10" t="e">
        <f>#REF!</f>
        <v>#REF!</v>
      </c>
    </row>
    <row r="35" spans="2:26" ht="24.9" customHeight="1" x14ac:dyDescent="0.3">
      <c r="B35" s="131">
        <v>16</v>
      </c>
      <c r="C35" s="28"/>
      <c r="D35" s="37"/>
      <c r="E35" s="20" t="e">
        <f>#REF!</f>
        <v>#REF!</v>
      </c>
      <c r="F35" s="3" t="e">
        <f>#REF!</f>
        <v>#REF!</v>
      </c>
      <c r="G35" s="3" t="e">
        <f>#REF!</f>
        <v>#REF!</v>
      </c>
      <c r="H35" s="3" t="e">
        <f>#REF!</f>
        <v>#REF!</v>
      </c>
      <c r="I35" s="3" t="e">
        <f>#REF!</f>
        <v>#REF!</v>
      </c>
      <c r="J35" s="10" t="e">
        <f>#REF!</f>
        <v>#REF!</v>
      </c>
      <c r="K35" s="20" t="e">
        <f>#REF!</f>
        <v>#REF!</v>
      </c>
      <c r="L35" s="3" t="e">
        <f>#REF!</f>
        <v>#REF!</v>
      </c>
      <c r="M35" s="3" t="e">
        <f>#REF!</f>
        <v>#REF!</v>
      </c>
      <c r="N35" s="3" t="e">
        <f>#REF!</f>
        <v>#REF!</v>
      </c>
      <c r="O35" s="3" t="e">
        <f>#REF!</f>
        <v>#REF!</v>
      </c>
      <c r="P35" s="10" t="e">
        <f>#REF!</f>
        <v>#REF!</v>
      </c>
      <c r="Q35" s="20" t="e">
        <f>#REF!</f>
        <v>#REF!</v>
      </c>
      <c r="R35" s="3" t="e">
        <f>#REF!</f>
        <v>#REF!</v>
      </c>
      <c r="S35" s="3" t="e">
        <f>#REF!</f>
        <v>#REF!</v>
      </c>
      <c r="T35" s="3" t="e">
        <f>#REF!</f>
        <v>#REF!</v>
      </c>
      <c r="U35" s="3" t="e">
        <f>#REF!</f>
        <v>#REF!</v>
      </c>
      <c r="V35" s="10" t="e">
        <f>#REF!</f>
        <v>#REF!</v>
      </c>
      <c r="W35" s="20" t="e">
        <f>#REF!</f>
        <v>#REF!</v>
      </c>
      <c r="X35" s="3" t="e">
        <f>#REF!</f>
        <v>#REF!</v>
      </c>
      <c r="Y35" s="3" t="e">
        <f>#REF!</f>
        <v>#REF!</v>
      </c>
      <c r="Z35" s="10" t="e">
        <f>#REF!</f>
        <v>#REF!</v>
      </c>
    </row>
    <row r="36" spans="2:26" ht="24.9" customHeight="1" x14ac:dyDescent="0.3">
      <c r="B36" s="131">
        <v>17</v>
      </c>
      <c r="C36" s="28"/>
      <c r="D36" s="37"/>
      <c r="E36" s="20" t="e">
        <f>#REF!</f>
        <v>#REF!</v>
      </c>
      <c r="F36" s="3" t="e">
        <f>#REF!</f>
        <v>#REF!</v>
      </c>
      <c r="G36" s="3" t="e">
        <f>#REF!</f>
        <v>#REF!</v>
      </c>
      <c r="H36" s="3" t="e">
        <f>#REF!</f>
        <v>#REF!</v>
      </c>
      <c r="I36" s="3" t="e">
        <f>#REF!</f>
        <v>#REF!</v>
      </c>
      <c r="J36" s="10" t="e">
        <f>#REF!</f>
        <v>#REF!</v>
      </c>
      <c r="K36" s="20" t="e">
        <f>#REF!</f>
        <v>#REF!</v>
      </c>
      <c r="L36" s="3" t="e">
        <f>#REF!</f>
        <v>#REF!</v>
      </c>
      <c r="M36" s="3" t="e">
        <f>#REF!</f>
        <v>#REF!</v>
      </c>
      <c r="N36" s="3" t="e">
        <f>#REF!</f>
        <v>#REF!</v>
      </c>
      <c r="O36" s="3" t="e">
        <f>#REF!</f>
        <v>#REF!</v>
      </c>
      <c r="P36" s="10" t="e">
        <f>#REF!</f>
        <v>#REF!</v>
      </c>
      <c r="Q36" s="20" t="e">
        <f>#REF!</f>
        <v>#REF!</v>
      </c>
      <c r="R36" s="3" t="e">
        <f>#REF!</f>
        <v>#REF!</v>
      </c>
      <c r="S36" s="3" t="e">
        <f>#REF!</f>
        <v>#REF!</v>
      </c>
      <c r="T36" s="3" t="e">
        <f>#REF!</f>
        <v>#REF!</v>
      </c>
      <c r="U36" s="3" t="e">
        <f>#REF!</f>
        <v>#REF!</v>
      </c>
      <c r="V36" s="10" t="e">
        <f>#REF!</f>
        <v>#REF!</v>
      </c>
      <c r="W36" s="20" t="e">
        <f>#REF!</f>
        <v>#REF!</v>
      </c>
      <c r="X36" s="3" t="e">
        <f>#REF!</f>
        <v>#REF!</v>
      </c>
      <c r="Y36" s="3" t="e">
        <f>#REF!</f>
        <v>#REF!</v>
      </c>
      <c r="Z36" s="10" t="e">
        <f>#REF!</f>
        <v>#REF!</v>
      </c>
    </row>
    <row r="37" spans="2:26" ht="24.9" customHeight="1" x14ac:dyDescent="0.3">
      <c r="B37" s="131">
        <v>18</v>
      </c>
      <c r="C37" s="28"/>
      <c r="D37" s="37"/>
      <c r="E37" s="20" t="e">
        <f>#REF!</f>
        <v>#REF!</v>
      </c>
      <c r="F37" s="3" t="e">
        <f>#REF!</f>
        <v>#REF!</v>
      </c>
      <c r="G37" s="3" t="e">
        <f>#REF!</f>
        <v>#REF!</v>
      </c>
      <c r="H37" s="3" t="e">
        <f>#REF!</f>
        <v>#REF!</v>
      </c>
      <c r="I37" s="3" t="e">
        <f>#REF!</f>
        <v>#REF!</v>
      </c>
      <c r="J37" s="10" t="e">
        <f>#REF!</f>
        <v>#REF!</v>
      </c>
      <c r="K37" s="20" t="e">
        <f>#REF!</f>
        <v>#REF!</v>
      </c>
      <c r="L37" s="3" t="e">
        <f>#REF!</f>
        <v>#REF!</v>
      </c>
      <c r="M37" s="3" t="e">
        <f>#REF!</f>
        <v>#REF!</v>
      </c>
      <c r="N37" s="3" t="e">
        <f>#REF!</f>
        <v>#REF!</v>
      </c>
      <c r="O37" s="3" t="e">
        <f>#REF!</f>
        <v>#REF!</v>
      </c>
      <c r="P37" s="10" t="e">
        <f>#REF!</f>
        <v>#REF!</v>
      </c>
      <c r="Q37" s="20" t="e">
        <f>#REF!</f>
        <v>#REF!</v>
      </c>
      <c r="R37" s="3" t="e">
        <f>#REF!</f>
        <v>#REF!</v>
      </c>
      <c r="S37" s="3" t="e">
        <f>#REF!</f>
        <v>#REF!</v>
      </c>
      <c r="T37" s="3" t="e">
        <f>#REF!</f>
        <v>#REF!</v>
      </c>
      <c r="U37" s="3" t="e">
        <f>#REF!</f>
        <v>#REF!</v>
      </c>
      <c r="V37" s="10" t="e">
        <f>#REF!</f>
        <v>#REF!</v>
      </c>
      <c r="W37" s="20" t="e">
        <f>#REF!</f>
        <v>#REF!</v>
      </c>
      <c r="X37" s="3" t="e">
        <f>#REF!</f>
        <v>#REF!</v>
      </c>
      <c r="Y37" s="3" t="e">
        <f>#REF!</f>
        <v>#REF!</v>
      </c>
      <c r="Z37" s="10" t="e">
        <f>#REF!</f>
        <v>#REF!</v>
      </c>
    </row>
    <row r="38" spans="2:26" ht="24.9" customHeight="1" x14ac:dyDescent="0.3">
      <c r="B38" s="131">
        <v>19</v>
      </c>
      <c r="C38" s="28"/>
      <c r="D38" s="37"/>
      <c r="E38" s="20" t="e">
        <f>#REF!</f>
        <v>#REF!</v>
      </c>
      <c r="F38" s="3" t="e">
        <f>#REF!</f>
        <v>#REF!</v>
      </c>
      <c r="G38" s="3" t="e">
        <f>#REF!</f>
        <v>#REF!</v>
      </c>
      <c r="H38" s="3" t="e">
        <f>#REF!</f>
        <v>#REF!</v>
      </c>
      <c r="I38" s="3" t="e">
        <f>#REF!</f>
        <v>#REF!</v>
      </c>
      <c r="J38" s="10" t="e">
        <f>#REF!</f>
        <v>#REF!</v>
      </c>
      <c r="K38" s="20" t="e">
        <f>#REF!</f>
        <v>#REF!</v>
      </c>
      <c r="L38" s="3" t="e">
        <f>#REF!</f>
        <v>#REF!</v>
      </c>
      <c r="M38" s="3" t="e">
        <f>#REF!</f>
        <v>#REF!</v>
      </c>
      <c r="N38" s="3" t="e">
        <f>#REF!</f>
        <v>#REF!</v>
      </c>
      <c r="O38" s="3" t="e">
        <f>#REF!</f>
        <v>#REF!</v>
      </c>
      <c r="P38" s="10" t="e">
        <f>#REF!</f>
        <v>#REF!</v>
      </c>
      <c r="Q38" s="20" t="e">
        <f>#REF!</f>
        <v>#REF!</v>
      </c>
      <c r="R38" s="3" t="e">
        <f>#REF!</f>
        <v>#REF!</v>
      </c>
      <c r="S38" s="3" t="e">
        <f>#REF!</f>
        <v>#REF!</v>
      </c>
      <c r="T38" s="3" t="e">
        <f>#REF!</f>
        <v>#REF!</v>
      </c>
      <c r="U38" s="3" t="e">
        <f>#REF!</f>
        <v>#REF!</v>
      </c>
      <c r="V38" s="10" t="e">
        <f>#REF!</f>
        <v>#REF!</v>
      </c>
      <c r="W38" s="20" t="e">
        <f>#REF!</f>
        <v>#REF!</v>
      </c>
      <c r="X38" s="3" t="e">
        <f>#REF!</f>
        <v>#REF!</v>
      </c>
      <c r="Y38" s="3" t="e">
        <f>#REF!</f>
        <v>#REF!</v>
      </c>
      <c r="Z38" s="10" t="e">
        <f>#REF!</f>
        <v>#REF!</v>
      </c>
    </row>
    <row r="39" spans="2:26" ht="24.9" customHeight="1" x14ac:dyDescent="0.3">
      <c r="B39" s="131">
        <v>20</v>
      </c>
      <c r="C39" s="28"/>
      <c r="D39" s="37"/>
      <c r="E39" s="20" t="e">
        <f>#REF!</f>
        <v>#REF!</v>
      </c>
      <c r="F39" s="3" t="e">
        <f>#REF!</f>
        <v>#REF!</v>
      </c>
      <c r="G39" s="3" t="e">
        <f>#REF!</f>
        <v>#REF!</v>
      </c>
      <c r="H39" s="3" t="e">
        <f>#REF!</f>
        <v>#REF!</v>
      </c>
      <c r="I39" s="3" t="e">
        <f>#REF!</f>
        <v>#REF!</v>
      </c>
      <c r="J39" s="10" t="e">
        <f>#REF!</f>
        <v>#REF!</v>
      </c>
      <c r="K39" s="20" t="e">
        <f>#REF!</f>
        <v>#REF!</v>
      </c>
      <c r="L39" s="3" t="e">
        <f>#REF!</f>
        <v>#REF!</v>
      </c>
      <c r="M39" s="3" t="e">
        <f>#REF!</f>
        <v>#REF!</v>
      </c>
      <c r="N39" s="3" t="e">
        <f>#REF!</f>
        <v>#REF!</v>
      </c>
      <c r="O39" s="3" t="e">
        <f>#REF!</f>
        <v>#REF!</v>
      </c>
      <c r="P39" s="10" t="e">
        <f>#REF!</f>
        <v>#REF!</v>
      </c>
      <c r="Q39" s="20" t="e">
        <f>#REF!</f>
        <v>#REF!</v>
      </c>
      <c r="R39" s="3" t="e">
        <f>#REF!</f>
        <v>#REF!</v>
      </c>
      <c r="S39" s="3" t="e">
        <f>#REF!</f>
        <v>#REF!</v>
      </c>
      <c r="T39" s="3" t="e">
        <f>#REF!</f>
        <v>#REF!</v>
      </c>
      <c r="U39" s="3" t="e">
        <f>#REF!</f>
        <v>#REF!</v>
      </c>
      <c r="V39" s="10" t="e">
        <f>#REF!</f>
        <v>#REF!</v>
      </c>
      <c r="W39" s="20" t="e">
        <f>#REF!</f>
        <v>#REF!</v>
      </c>
      <c r="X39" s="3" t="e">
        <f>#REF!</f>
        <v>#REF!</v>
      </c>
      <c r="Y39" s="3" t="e">
        <f>#REF!</f>
        <v>#REF!</v>
      </c>
      <c r="Z39" s="10" t="e">
        <f>#REF!</f>
        <v>#REF!</v>
      </c>
    </row>
    <row r="40" spans="2:26" ht="24.9" customHeight="1" x14ac:dyDescent="0.3">
      <c r="B40" s="131">
        <v>21</v>
      </c>
      <c r="C40" s="28"/>
      <c r="D40" s="37"/>
      <c r="E40" s="20" t="e">
        <f>#REF!</f>
        <v>#REF!</v>
      </c>
      <c r="F40" s="3" t="e">
        <f>#REF!</f>
        <v>#REF!</v>
      </c>
      <c r="G40" s="3" t="e">
        <f>#REF!</f>
        <v>#REF!</v>
      </c>
      <c r="H40" s="3" t="e">
        <f>#REF!</f>
        <v>#REF!</v>
      </c>
      <c r="I40" s="3" t="e">
        <f>#REF!</f>
        <v>#REF!</v>
      </c>
      <c r="J40" s="10" t="e">
        <f>#REF!</f>
        <v>#REF!</v>
      </c>
      <c r="K40" s="20" t="e">
        <f>#REF!</f>
        <v>#REF!</v>
      </c>
      <c r="L40" s="3" t="e">
        <f>#REF!</f>
        <v>#REF!</v>
      </c>
      <c r="M40" s="3" t="e">
        <f>#REF!</f>
        <v>#REF!</v>
      </c>
      <c r="N40" s="3" t="e">
        <f>#REF!</f>
        <v>#REF!</v>
      </c>
      <c r="O40" s="3" t="e">
        <f>#REF!</f>
        <v>#REF!</v>
      </c>
      <c r="P40" s="10" t="e">
        <f>#REF!</f>
        <v>#REF!</v>
      </c>
      <c r="Q40" s="20" t="e">
        <f>#REF!</f>
        <v>#REF!</v>
      </c>
      <c r="R40" s="3" t="e">
        <f>#REF!</f>
        <v>#REF!</v>
      </c>
      <c r="S40" s="3" t="e">
        <f>#REF!</f>
        <v>#REF!</v>
      </c>
      <c r="T40" s="3" t="e">
        <f>#REF!</f>
        <v>#REF!</v>
      </c>
      <c r="U40" s="3" t="e">
        <f>#REF!</f>
        <v>#REF!</v>
      </c>
      <c r="V40" s="10" t="e">
        <f>#REF!</f>
        <v>#REF!</v>
      </c>
      <c r="W40" s="20" t="e">
        <f>#REF!</f>
        <v>#REF!</v>
      </c>
      <c r="X40" s="3" t="e">
        <f>#REF!</f>
        <v>#REF!</v>
      </c>
      <c r="Y40" s="3" t="e">
        <f>#REF!</f>
        <v>#REF!</v>
      </c>
      <c r="Z40" s="10" t="e">
        <f>#REF!</f>
        <v>#REF!</v>
      </c>
    </row>
    <row r="41" spans="2:26" ht="24.9" customHeight="1" x14ac:dyDescent="0.3">
      <c r="B41" s="131">
        <v>22</v>
      </c>
      <c r="C41" s="28"/>
      <c r="D41" s="37"/>
      <c r="E41" s="20" t="e">
        <f>#REF!</f>
        <v>#REF!</v>
      </c>
      <c r="F41" s="3" t="e">
        <f>#REF!</f>
        <v>#REF!</v>
      </c>
      <c r="G41" s="3" t="e">
        <f>#REF!</f>
        <v>#REF!</v>
      </c>
      <c r="H41" s="3" t="e">
        <f>#REF!</f>
        <v>#REF!</v>
      </c>
      <c r="I41" s="3" t="e">
        <f>#REF!</f>
        <v>#REF!</v>
      </c>
      <c r="J41" s="10" t="e">
        <f>#REF!</f>
        <v>#REF!</v>
      </c>
      <c r="K41" s="20" t="e">
        <f>#REF!</f>
        <v>#REF!</v>
      </c>
      <c r="L41" s="3" t="e">
        <f>#REF!</f>
        <v>#REF!</v>
      </c>
      <c r="M41" s="3" t="e">
        <f>#REF!</f>
        <v>#REF!</v>
      </c>
      <c r="N41" s="3" t="e">
        <f>#REF!</f>
        <v>#REF!</v>
      </c>
      <c r="O41" s="3" t="e">
        <f>#REF!</f>
        <v>#REF!</v>
      </c>
      <c r="P41" s="10" t="e">
        <f>#REF!</f>
        <v>#REF!</v>
      </c>
      <c r="Q41" s="20" t="e">
        <f>#REF!</f>
        <v>#REF!</v>
      </c>
      <c r="R41" s="3" t="e">
        <f>#REF!</f>
        <v>#REF!</v>
      </c>
      <c r="S41" s="3" t="e">
        <f>#REF!</f>
        <v>#REF!</v>
      </c>
      <c r="T41" s="3" t="e">
        <f>#REF!</f>
        <v>#REF!</v>
      </c>
      <c r="U41" s="3" t="e">
        <f>#REF!</f>
        <v>#REF!</v>
      </c>
      <c r="V41" s="10" t="e">
        <f>#REF!</f>
        <v>#REF!</v>
      </c>
      <c r="W41" s="20" t="e">
        <f>#REF!</f>
        <v>#REF!</v>
      </c>
      <c r="X41" s="3" t="e">
        <f>#REF!</f>
        <v>#REF!</v>
      </c>
      <c r="Y41" s="3" t="e">
        <f>#REF!</f>
        <v>#REF!</v>
      </c>
      <c r="Z41" s="10" t="e">
        <f>#REF!</f>
        <v>#REF!</v>
      </c>
    </row>
    <row r="42" spans="2:26" ht="24.9" customHeight="1" x14ac:dyDescent="0.3">
      <c r="B42" s="131">
        <v>23</v>
      </c>
      <c r="C42" s="28"/>
      <c r="D42" s="37"/>
      <c r="E42" s="20" t="e">
        <f>#REF!</f>
        <v>#REF!</v>
      </c>
      <c r="F42" s="3" t="e">
        <f>#REF!</f>
        <v>#REF!</v>
      </c>
      <c r="G42" s="3" t="e">
        <f>#REF!</f>
        <v>#REF!</v>
      </c>
      <c r="H42" s="3" t="e">
        <f>#REF!</f>
        <v>#REF!</v>
      </c>
      <c r="I42" s="3" t="e">
        <f>#REF!</f>
        <v>#REF!</v>
      </c>
      <c r="J42" s="10" t="e">
        <f>#REF!</f>
        <v>#REF!</v>
      </c>
      <c r="K42" s="20" t="e">
        <f>#REF!</f>
        <v>#REF!</v>
      </c>
      <c r="L42" s="3" t="e">
        <f>#REF!</f>
        <v>#REF!</v>
      </c>
      <c r="M42" s="3" t="e">
        <f>#REF!</f>
        <v>#REF!</v>
      </c>
      <c r="N42" s="3" t="e">
        <f>#REF!</f>
        <v>#REF!</v>
      </c>
      <c r="O42" s="3" t="e">
        <f>#REF!</f>
        <v>#REF!</v>
      </c>
      <c r="P42" s="10" t="e">
        <f>#REF!</f>
        <v>#REF!</v>
      </c>
      <c r="Q42" s="20" t="e">
        <f>#REF!</f>
        <v>#REF!</v>
      </c>
      <c r="R42" s="3" t="e">
        <f>#REF!</f>
        <v>#REF!</v>
      </c>
      <c r="S42" s="3" t="e">
        <f>#REF!</f>
        <v>#REF!</v>
      </c>
      <c r="T42" s="3" t="e">
        <f>#REF!</f>
        <v>#REF!</v>
      </c>
      <c r="U42" s="3" t="e">
        <f>#REF!</f>
        <v>#REF!</v>
      </c>
      <c r="V42" s="10" t="e">
        <f>#REF!</f>
        <v>#REF!</v>
      </c>
      <c r="W42" s="20" t="e">
        <f>#REF!</f>
        <v>#REF!</v>
      </c>
      <c r="X42" s="3" t="e">
        <f>#REF!</f>
        <v>#REF!</v>
      </c>
      <c r="Y42" s="3" t="e">
        <f>#REF!</f>
        <v>#REF!</v>
      </c>
      <c r="Z42" s="10" t="e">
        <f>#REF!</f>
        <v>#REF!</v>
      </c>
    </row>
    <row r="43" spans="2:26" ht="24.9" customHeight="1" x14ac:dyDescent="0.3">
      <c r="B43" s="131">
        <v>24</v>
      </c>
      <c r="C43" s="28"/>
      <c r="D43" s="37"/>
      <c r="E43" s="20" t="e">
        <f>#REF!</f>
        <v>#REF!</v>
      </c>
      <c r="F43" s="3" t="e">
        <f>#REF!</f>
        <v>#REF!</v>
      </c>
      <c r="G43" s="3" t="e">
        <f>#REF!</f>
        <v>#REF!</v>
      </c>
      <c r="H43" s="3" t="e">
        <f>#REF!</f>
        <v>#REF!</v>
      </c>
      <c r="I43" s="3" t="e">
        <f>#REF!</f>
        <v>#REF!</v>
      </c>
      <c r="J43" s="10" t="e">
        <f>#REF!</f>
        <v>#REF!</v>
      </c>
      <c r="K43" s="20" t="e">
        <f>#REF!</f>
        <v>#REF!</v>
      </c>
      <c r="L43" s="3" t="e">
        <f>#REF!</f>
        <v>#REF!</v>
      </c>
      <c r="M43" s="3" t="e">
        <f>#REF!</f>
        <v>#REF!</v>
      </c>
      <c r="N43" s="3" t="e">
        <f>#REF!</f>
        <v>#REF!</v>
      </c>
      <c r="O43" s="3" t="e">
        <f>#REF!</f>
        <v>#REF!</v>
      </c>
      <c r="P43" s="10" t="e">
        <f>#REF!</f>
        <v>#REF!</v>
      </c>
      <c r="Q43" s="20" t="e">
        <f>#REF!</f>
        <v>#REF!</v>
      </c>
      <c r="R43" s="3" t="e">
        <f>#REF!</f>
        <v>#REF!</v>
      </c>
      <c r="S43" s="3" t="e">
        <f>#REF!</f>
        <v>#REF!</v>
      </c>
      <c r="T43" s="3" t="e">
        <f>#REF!</f>
        <v>#REF!</v>
      </c>
      <c r="U43" s="3" t="e">
        <f>#REF!</f>
        <v>#REF!</v>
      </c>
      <c r="V43" s="10" t="e">
        <f>#REF!</f>
        <v>#REF!</v>
      </c>
      <c r="W43" s="20" t="e">
        <f>#REF!</f>
        <v>#REF!</v>
      </c>
      <c r="X43" s="3" t="e">
        <f>#REF!</f>
        <v>#REF!</v>
      </c>
      <c r="Y43" s="3" t="e">
        <f>#REF!</f>
        <v>#REF!</v>
      </c>
      <c r="Z43" s="10" t="e">
        <f>#REF!</f>
        <v>#REF!</v>
      </c>
    </row>
    <row r="44" spans="2:26" ht="24.9" customHeight="1" thickBot="1" x14ac:dyDescent="0.35">
      <c r="B44" s="132">
        <v>25</v>
      </c>
      <c r="C44" s="133"/>
      <c r="D44" s="134"/>
      <c r="E44" s="167" t="e">
        <f>#REF!</f>
        <v>#REF!</v>
      </c>
      <c r="F44" s="168" t="e">
        <f>#REF!</f>
        <v>#REF!</v>
      </c>
      <c r="G44" s="168" t="e">
        <f>#REF!</f>
        <v>#REF!</v>
      </c>
      <c r="H44" s="168" t="e">
        <f>#REF!</f>
        <v>#REF!</v>
      </c>
      <c r="I44" s="168" t="e">
        <f>#REF!</f>
        <v>#REF!</v>
      </c>
      <c r="J44" s="169" t="e">
        <f>#REF!</f>
        <v>#REF!</v>
      </c>
      <c r="K44" s="167" t="e">
        <f>#REF!</f>
        <v>#REF!</v>
      </c>
      <c r="L44" s="168" t="e">
        <f>#REF!</f>
        <v>#REF!</v>
      </c>
      <c r="M44" s="168" t="e">
        <f>#REF!</f>
        <v>#REF!</v>
      </c>
      <c r="N44" s="168" t="e">
        <f>#REF!</f>
        <v>#REF!</v>
      </c>
      <c r="O44" s="168" t="e">
        <f>#REF!</f>
        <v>#REF!</v>
      </c>
      <c r="P44" s="169" t="e">
        <f>#REF!</f>
        <v>#REF!</v>
      </c>
      <c r="Q44" s="167" t="e">
        <f>#REF!</f>
        <v>#REF!</v>
      </c>
      <c r="R44" s="168" t="e">
        <f>#REF!</f>
        <v>#REF!</v>
      </c>
      <c r="S44" s="168" t="e">
        <f>#REF!</f>
        <v>#REF!</v>
      </c>
      <c r="T44" s="168" t="e">
        <f>#REF!</f>
        <v>#REF!</v>
      </c>
      <c r="U44" s="168" t="e">
        <f>#REF!</f>
        <v>#REF!</v>
      </c>
      <c r="V44" s="169" t="e">
        <f>#REF!</f>
        <v>#REF!</v>
      </c>
      <c r="W44" s="167" t="e">
        <f>#REF!</f>
        <v>#REF!</v>
      </c>
      <c r="X44" s="168" t="e">
        <f>#REF!</f>
        <v>#REF!</v>
      </c>
      <c r="Y44" s="168" t="e">
        <f>#REF!</f>
        <v>#REF!</v>
      </c>
      <c r="Z44" s="169" t="e">
        <f>#REF!</f>
        <v>#REF!</v>
      </c>
    </row>
    <row r="45" spans="2:26" ht="24.9" customHeight="1" thickBot="1" x14ac:dyDescent="0.35">
      <c r="B45" s="196" t="s">
        <v>163</v>
      </c>
      <c r="C45" s="197"/>
      <c r="D45" s="198"/>
      <c r="E45" s="190" t="e">
        <f>#REF!</f>
        <v>#REF!</v>
      </c>
      <c r="F45" s="191" t="e">
        <f>#REF!</f>
        <v>#REF!</v>
      </c>
      <c r="G45" s="191" t="e">
        <f>#REF!</f>
        <v>#REF!</v>
      </c>
      <c r="H45" s="191" t="e">
        <f>#REF!</f>
        <v>#REF!</v>
      </c>
      <c r="I45" s="191" t="e">
        <f>#REF!</f>
        <v>#REF!</v>
      </c>
      <c r="J45" s="192" t="e">
        <f>#REF!</f>
        <v>#REF!</v>
      </c>
      <c r="K45" s="190" t="e">
        <f>#REF!</f>
        <v>#REF!</v>
      </c>
      <c r="L45" s="191" t="e">
        <f>#REF!</f>
        <v>#REF!</v>
      </c>
      <c r="M45" s="191" t="e">
        <f>#REF!</f>
        <v>#REF!</v>
      </c>
      <c r="N45" s="191" t="e">
        <f>#REF!</f>
        <v>#REF!</v>
      </c>
      <c r="O45" s="191" t="e">
        <f>#REF!</f>
        <v>#REF!</v>
      </c>
      <c r="P45" s="192" t="e">
        <f>#REF!</f>
        <v>#REF!</v>
      </c>
      <c r="Q45" s="190" t="e">
        <f>#REF!</f>
        <v>#REF!</v>
      </c>
      <c r="R45" s="191" t="e">
        <f>#REF!</f>
        <v>#REF!</v>
      </c>
      <c r="S45" s="191" t="e">
        <f>#REF!</f>
        <v>#REF!</v>
      </c>
      <c r="T45" s="191" t="e">
        <f>#REF!</f>
        <v>#REF!</v>
      </c>
      <c r="U45" s="191" t="e">
        <f>#REF!</f>
        <v>#REF!</v>
      </c>
      <c r="V45" s="192" t="e">
        <f>#REF!</f>
        <v>#REF!</v>
      </c>
      <c r="W45" s="190" t="e">
        <f>#REF!</f>
        <v>#REF!</v>
      </c>
      <c r="X45" s="191" t="e">
        <f>#REF!</f>
        <v>#REF!</v>
      </c>
      <c r="Y45" s="191" t="e">
        <f>#REF!</f>
        <v>#REF!</v>
      </c>
      <c r="Z45" s="192" t="e">
        <f>#REF!</f>
        <v>#REF!</v>
      </c>
    </row>
    <row r="46" spans="2:26" ht="24.9" customHeight="1" thickBot="1" x14ac:dyDescent="0.35">
      <c r="B46" s="199" t="s">
        <v>164</v>
      </c>
      <c r="C46" s="200"/>
      <c r="D46" s="201"/>
      <c r="E46" s="172" t="e">
        <f>#REF!</f>
        <v>#REF!</v>
      </c>
      <c r="F46" s="170" t="e">
        <f>#REF!</f>
        <v>#REF!</v>
      </c>
      <c r="G46" s="170" t="e">
        <f>#REF!</f>
        <v>#REF!</v>
      </c>
      <c r="H46" s="170" t="e">
        <f>#REF!</f>
        <v>#REF!</v>
      </c>
      <c r="I46" s="170" t="e">
        <f>#REF!</f>
        <v>#REF!</v>
      </c>
      <c r="J46" s="171" t="e">
        <f>#REF!</f>
        <v>#REF!</v>
      </c>
      <c r="K46" s="172" t="e">
        <f>#REF!</f>
        <v>#REF!</v>
      </c>
      <c r="L46" s="170" t="e">
        <f>#REF!</f>
        <v>#REF!</v>
      </c>
      <c r="M46" s="170" t="e">
        <f>#REF!</f>
        <v>#REF!</v>
      </c>
      <c r="N46" s="170" t="e">
        <f>#REF!</f>
        <v>#REF!</v>
      </c>
      <c r="O46" s="170" t="e">
        <f>#REF!</f>
        <v>#REF!</v>
      </c>
      <c r="P46" s="171" t="e">
        <f>#REF!</f>
        <v>#REF!</v>
      </c>
      <c r="Q46" s="172" t="e">
        <f>#REF!</f>
        <v>#REF!</v>
      </c>
      <c r="R46" s="170" t="e">
        <f>#REF!</f>
        <v>#REF!</v>
      </c>
      <c r="S46" s="170" t="e">
        <f>#REF!</f>
        <v>#REF!</v>
      </c>
      <c r="T46" s="170" t="e">
        <f>#REF!</f>
        <v>#REF!</v>
      </c>
      <c r="U46" s="170" t="e">
        <f>#REF!</f>
        <v>#REF!</v>
      </c>
      <c r="V46" s="171" t="e">
        <f>#REF!</f>
        <v>#REF!</v>
      </c>
      <c r="W46" s="172" t="e">
        <f>#REF!</f>
        <v>#REF!</v>
      </c>
      <c r="X46" s="170" t="e">
        <f>#REF!</f>
        <v>#REF!</v>
      </c>
      <c r="Y46" s="170" t="e">
        <f>#REF!</f>
        <v>#REF!</v>
      </c>
      <c r="Z46" s="171" t="e">
        <f>#REF!</f>
        <v>#REF!</v>
      </c>
    </row>
    <row r="47" spans="2:26" ht="24.9" customHeight="1" x14ac:dyDescent="0.3"/>
    <row r="48" spans="2:26" ht="24.9" customHeight="1" x14ac:dyDescent="0.3"/>
    <row r="54" spans="3:11" x14ac:dyDescent="0.3">
      <c r="C54" s="55"/>
      <c r="G54" s="84"/>
      <c r="H54" s="55"/>
      <c r="I54" s="55"/>
      <c r="J54" s="55"/>
      <c r="K54" s="55"/>
    </row>
    <row r="55" spans="3:11" x14ac:dyDescent="0.3">
      <c r="C55" s="55"/>
      <c r="G55" s="84"/>
      <c r="H55" s="55"/>
      <c r="I55" s="55"/>
      <c r="J55" s="55"/>
      <c r="K55" s="55"/>
    </row>
    <row r="56" spans="3:11" x14ac:dyDescent="0.3">
      <c r="C56" s="55"/>
      <c r="G56" s="84"/>
      <c r="H56" s="55"/>
      <c r="I56" s="55"/>
      <c r="J56" s="55"/>
      <c r="K56" s="55"/>
    </row>
    <row r="57" spans="3:11" x14ac:dyDescent="0.3">
      <c r="C57" s="55"/>
      <c r="G57" s="84"/>
      <c r="H57" s="55"/>
      <c r="I57" s="55"/>
      <c r="J57" s="55"/>
      <c r="K57" s="55"/>
    </row>
    <row r="58" spans="3:11" x14ac:dyDescent="0.3">
      <c r="C58" s="55"/>
      <c r="G58" s="84"/>
      <c r="H58" s="55"/>
      <c r="I58" s="55"/>
      <c r="J58" s="55"/>
      <c r="K58" s="55"/>
    </row>
    <row r="59" spans="3:11" x14ac:dyDescent="0.3">
      <c r="C59" s="55"/>
      <c r="G59" s="84"/>
      <c r="H59" s="55"/>
      <c r="I59" s="55"/>
      <c r="J59" s="55"/>
      <c r="K59" s="55"/>
    </row>
    <row r="60" spans="3:11" x14ac:dyDescent="0.3">
      <c r="C60" s="55"/>
      <c r="G60" s="84"/>
      <c r="H60" s="55"/>
      <c r="I60" s="55"/>
      <c r="J60" s="55"/>
      <c r="K60" s="55"/>
    </row>
    <row r="61" spans="3:11" x14ac:dyDescent="0.3">
      <c r="C61" s="55"/>
      <c r="G61" s="84"/>
      <c r="H61" s="55"/>
      <c r="I61" s="55"/>
      <c r="J61" s="55"/>
      <c r="K61" s="55"/>
    </row>
    <row r="62" spans="3:11" x14ac:dyDescent="0.3">
      <c r="C62" s="55"/>
      <c r="G62" s="84"/>
      <c r="H62" s="55"/>
      <c r="I62" s="55"/>
      <c r="J62" s="55"/>
      <c r="K62" s="55"/>
    </row>
    <row r="63" spans="3:11" x14ac:dyDescent="0.3">
      <c r="C63" s="55"/>
      <c r="G63" s="84"/>
      <c r="H63" s="55"/>
      <c r="I63" s="55"/>
      <c r="J63" s="55"/>
      <c r="K63" s="55"/>
    </row>
    <row r="64" spans="3:11" x14ac:dyDescent="0.3">
      <c r="J64" s="55"/>
      <c r="K64" s="55"/>
    </row>
    <row r="65" spans="3:11" x14ac:dyDescent="0.3">
      <c r="J65" s="55"/>
      <c r="K65" s="55"/>
    </row>
    <row r="66" spans="3:11" x14ac:dyDescent="0.3">
      <c r="C66" s="55"/>
      <c r="G66" s="84"/>
      <c r="H66" s="84"/>
      <c r="I66" s="84"/>
      <c r="J66" s="84"/>
      <c r="K66" s="55"/>
    </row>
  </sheetData>
  <mergeCells count="7">
    <mergeCell ref="Q18:V18"/>
    <mergeCell ref="W18:Z18"/>
    <mergeCell ref="B45:D45"/>
    <mergeCell ref="B46:D46"/>
    <mergeCell ref="C18:D18"/>
    <mergeCell ref="E18:J18"/>
    <mergeCell ref="K18:P18"/>
  </mergeCells>
  <pageMargins left="0.23622047244094491" right="0.23622047244094491" top="0.55118110236220474" bottom="0.55118110236220474" header="0" footer="0"/>
  <pageSetup paperSize="9" scale="58" fitToHeight="0" orientation="landscape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6:X66"/>
  <sheetViews>
    <sheetView showZeros="0" topLeftCell="A16" zoomScale="70" zoomScaleNormal="70" workbookViewId="0">
      <selection activeCell="F21" sqref="F21"/>
    </sheetView>
  </sheetViews>
  <sheetFormatPr defaultRowHeight="14.4" x14ac:dyDescent="0.3"/>
  <cols>
    <col min="4" max="4" width="9.109375" customWidth="1"/>
    <col min="5" max="20" width="9.88671875" bestFit="1" customWidth="1"/>
  </cols>
  <sheetData>
    <row r="16" spans="2:21" ht="24.9" customHeight="1" x14ac:dyDescent="0.3">
      <c r="B16" s="127" t="s">
        <v>140</v>
      </c>
      <c r="C16" s="45"/>
      <c r="D16" s="45"/>
      <c r="E16" s="45"/>
      <c r="F16" s="45"/>
      <c r="G16" s="45"/>
      <c r="H16" s="45"/>
      <c r="I16" s="45"/>
      <c r="J16" s="45"/>
      <c r="K16" s="45"/>
      <c r="L16" s="45"/>
      <c r="M16" s="45"/>
      <c r="N16" s="45"/>
      <c r="O16" s="45"/>
      <c r="P16" s="45"/>
      <c r="Q16" s="45"/>
      <c r="R16" s="45"/>
      <c r="S16" s="45"/>
      <c r="T16" s="45"/>
      <c r="U16" s="45"/>
    </row>
    <row r="17" spans="2:24" ht="24.9" customHeight="1" thickBot="1" x14ac:dyDescent="0.3"/>
    <row r="18" spans="2:24" ht="24.9" customHeight="1" thickTop="1" thickBot="1" x14ac:dyDescent="0.35">
      <c r="B18" s="1" t="s">
        <v>0</v>
      </c>
      <c r="C18" s="202" t="s">
        <v>1</v>
      </c>
      <c r="D18" s="195"/>
      <c r="E18" s="193" t="s">
        <v>20</v>
      </c>
      <c r="F18" s="194"/>
      <c r="G18" s="194"/>
      <c r="H18" s="195"/>
      <c r="I18" s="193" t="s">
        <v>21</v>
      </c>
      <c r="J18" s="194"/>
      <c r="K18" s="194"/>
      <c r="L18" s="195"/>
      <c r="M18" s="193" t="s">
        <v>26</v>
      </c>
      <c r="N18" s="194"/>
      <c r="O18" s="194"/>
      <c r="P18" s="195"/>
      <c r="Q18" s="193" t="s">
        <v>162</v>
      </c>
      <c r="R18" s="194"/>
      <c r="S18" s="194"/>
      <c r="T18" s="195"/>
      <c r="U18" s="193" t="e">
        <f>#REF!</f>
        <v>#REF!</v>
      </c>
      <c r="V18" s="194"/>
      <c r="W18" s="194"/>
      <c r="X18" s="195"/>
    </row>
    <row r="19" spans="2:24" ht="24.9" customHeight="1" thickBot="1" x14ac:dyDescent="0.35">
      <c r="B19" s="31" t="s">
        <v>2</v>
      </c>
      <c r="C19" s="25" t="s">
        <v>3</v>
      </c>
      <c r="D19" s="68" t="s">
        <v>48</v>
      </c>
      <c r="E19" s="25" t="s">
        <v>10</v>
      </c>
      <c r="F19" s="42" t="s">
        <v>23</v>
      </c>
      <c r="G19" s="43" t="s">
        <v>8</v>
      </c>
      <c r="H19" s="26" t="s">
        <v>9</v>
      </c>
      <c r="I19" s="25" t="s">
        <v>10</v>
      </c>
      <c r="J19" s="42" t="s">
        <v>23</v>
      </c>
      <c r="K19" s="43" t="s">
        <v>8</v>
      </c>
      <c r="L19" s="26" t="s">
        <v>9</v>
      </c>
      <c r="M19" s="25" t="s">
        <v>10</v>
      </c>
      <c r="N19" s="42" t="s">
        <v>23</v>
      </c>
      <c r="O19" s="43" t="s">
        <v>8</v>
      </c>
      <c r="P19" s="26" t="s">
        <v>9</v>
      </c>
      <c r="Q19" s="25" t="s">
        <v>10</v>
      </c>
      <c r="R19" s="42" t="s">
        <v>23</v>
      </c>
      <c r="S19" s="43" t="s">
        <v>8</v>
      </c>
      <c r="T19" s="26" t="s">
        <v>9</v>
      </c>
      <c r="U19" s="25" t="s">
        <v>10</v>
      </c>
      <c r="V19" s="42" t="s">
        <v>23</v>
      </c>
      <c r="W19" s="43" t="s">
        <v>8</v>
      </c>
      <c r="X19" s="26" t="s">
        <v>9</v>
      </c>
    </row>
    <row r="20" spans="2:24" ht="24.9" customHeight="1" x14ac:dyDescent="0.3">
      <c r="B20" s="129">
        <v>1</v>
      </c>
      <c r="C20" s="130">
        <v>692</v>
      </c>
      <c r="D20" s="8" t="s">
        <v>63</v>
      </c>
      <c r="E20" s="130" t="e">
        <f>#REF!</f>
        <v>#REF!</v>
      </c>
      <c r="F20" s="7" t="e">
        <f>#REF!</f>
        <v>#REF!</v>
      </c>
      <c r="G20" s="7" t="e">
        <f>#REF!</f>
        <v>#REF!</v>
      </c>
      <c r="H20" s="8" t="e">
        <f>#REF!</f>
        <v>#REF!</v>
      </c>
      <c r="I20" s="27" t="e">
        <f>#REF!</f>
        <v>#REF!</v>
      </c>
      <c r="J20" s="40" t="e">
        <f>#REF!</f>
        <v>#REF!</v>
      </c>
      <c r="K20" s="40" t="e">
        <f>#REF!</f>
        <v>#REF!</v>
      </c>
      <c r="L20" s="69" t="e">
        <f>#REF!</f>
        <v>#REF!</v>
      </c>
      <c r="M20" s="130" t="e">
        <f>#REF!</f>
        <v>#REF!</v>
      </c>
      <c r="N20" s="7" t="e">
        <f>#REF!</f>
        <v>#REF!</v>
      </c>
      <c r="O20" s="7" t="e">
        <f>#REF!</f>
        <v>#REF!</v>
      </c>
      <c r="P20" s="8" t="e">
        <f>#REF!</f>
        <v>#REF!</v>
      </c>
      <c r="Q20" s="27" t="e">
        <f>#REF!+#REF!</f>
        <v>#REF!</v>
      </c>
      <c r="R20" s="27" t="e">
        <f>((IF(#REF!=0,#REF!,#REF!))+(IF(#REF!=0,#REF!,#REF!)))/2</f>
        <v>#REF!</v>
      </c>
      <c r="S20" s="27" t="e">
        <f>((IF(#REF!=0,#REF!,#REF!))+(IF(#REF!=0,#REF!,#REF!)))/2</f>
        <v>#REF!</v>
      </c>
      <c r="T20" s="87" t="e">
        <f>((IF(#REF!=0,#REF!,#REF!))+(IF(#REF!=0,#REF!,#REF!)))/2</f>
        <v>#REF!</v>
      </c>
      <c r="U20" s="130" t="e">
        <f>#REF!</f>
        <v>#REF!</v>
      </c>
      <c r="V20" s="7" t="e">
        <f>#REF!</f>
        <v>#REF!</v>
      </c>
      <c r="W20" s="7" t="e">
        <f>#REF!</f>
        <v>#REF!</v>
      </c>
      <c r="X20" s="8" t="e">
        <f>#REF!</f>
        <v>#REF!</v>
      </c>
    </row>
    <row r="21" spans="2:24" ht="24.9" customHeight="1" x14ac:dyDescent="0.3">
      <c r="B21" s="131">
        <v>2</v>
      </c>
      <c r="C21" s="20">
        <v>693</v>
      </c>
      <c r="D21" s="10" t="s">
        <v>63</v>
      </c>
      <c r="E21" s="23" t="e">
        <f>#REF!</f>
        <v>#REF!</v>
      </c>
      <c r="F21" s="40" t="e">
        <f>#REF!</f>
        <v>#REF!</v>
      </c>
      <c r="G21" s="40" t="e">
        <f>#REF!</f>
        <v>#REF!</v>
      </c>
      <c r="H21" s="24" t="e">
        <f>#REF!</f>
        <v>#REF!</v>
      </c>
      <c r="I21" s="27" t="e">
        <f>#REF!</f>
        <v>#REF!</v>
      </c>
      <c r="J21" s="40" t="e">
        <f>#REF!</f>
        <v>#REF!</v>
      </c>
      <c r="K21" s="40" t="e">
        <f>#REF!</f>
        <v>#REF!</v>
      </c>
      <c r="L21" s="69" t="e">
        <f>#REF!</f>
        <v>#REF!</v>
      </c>
      <c r="M21" s="23" t="e">
        <f>#REF!</f>
        <v>#REF!</v>
      </c>
      <c r="N21" s="40" t="e">
        <f>#REF!</f>
        <v>#REF!</v>
      </c>
      <c r="O21" s="40" t="e">
        <f>#REF!</f>
        <v>#REF!</v>
      </c>
      <c r="P21" s="24" t="e">
        <f>#REF!</f>
        <v>#REF!</v>
      </c>
      <c r="Q21" s="27" t="e">
        <f>#REF!+#REF!</f>
        <v>#REF!</v>
      </c>
      <c r="R21" s="27" t="e">
        <f>((IF(#REF!=0,#REF!,#REF!))+(IF(#REF!=0,#REF!,#REF!)))/2</f>
        <v>#REF!</v>
      </c>
      <c r="S21" s="27" t="e">
        <f>((IF(#REF!=0,#REF!,#REF!))+(IF(#REF!=0,#REF!,#REF!)))/2</f>
        <v>#REF!</v>
      </c>
      <c r="T21" s="87" t="e">
        <f>((IF(#REF!=0,#REF!,#REF!))+(IF(#REF!=0,#REF!,#REF!)))/2</f>
        <v>#REF!</v>
      </c>
      <c r="U21" s="23" t="e">
        <f>#REF!</f>
        <v>#REF!</v>
      </c>
      <c r="V21" s="40" t="e">
        <f>#REF!</f>
        <v>#REF!</v>
      </c>
      <c r="W21" s="40" t="e">
        <f>#REF!</f>
        <v>#REF!</v>
      </c>
      <c r="X21" s="24" t="e">
        <f>#REF!</f>
        <v>#REF!</v>
      </c>
    </row>
    <row r="22" spans="2:24" ht="24.9" customHeight="1" x14ac:dyDescent="0.3">
      <c r="B22" s="131">
        <v>3</v>
      </c>
      <c r="C22" s="20">
        <v>694</v>
      </c>
      <c r="D22" s="10" t="s">
        <v>63</v>
      </c>
      <c r="E22" s="23" t="e">
        <f>#REF!</f>
        <v>#REF!</v>
      </c>
      <c r="F22" s="40" t="e">
        <f>#REF!</f>
        <v>#REF!</v>
      </c>
      <c r="G22" s="40" t="e">
        <f>#REF!</f>
        <v>#REF!</v>
      </c>
      <c r="H22" s="24" t="e">
        <f>#REF!</f>
        <v>#REF!</v>
      </c>
      <c r="I22" s="27" t="e">
        <f>#REF!</f>
        <v>#REF!</v>
      </c>
      <c r="J22" s="40" t="e">
        <f>#REF!</f>
        <v>#REF!</v>
      </c>
      <c r="K22" s="40" t="e">
        <f>#REF!</f>
        <v>#REF!</v>
      </c>
      <c r="L22" s="69" t="e">
        <f>#REF!</f>
        <v>#REF!</v>
      </c>
      <c r="M22" s="23" t="e">
        <f>#REF!</f>
        <v>#REF!</v>
      </c>
      <c r="N22" s="40" t="e">
        <f>#REF!</f>
        <v>#REF!</v>
      </c>
      <c r="O22" s="40" t="e">
        <f>#REF!</f>
        <v>#REF!</v>
      </c>
      <c r="P22" s="24" t="e">
        <f>#REF!</f>
        <v>#REF!</v>
      </c>
      <c r="Q22" s="27" t="e">
        <f>#REF!+#REF!</f>
        <v>#REF!</v>
      </c>
      <c r="R22" s="27" t="e">
        <f>((IF(#REF!=0,#REF!,#REF!))+(IF(#REF!=0,#REF!,#REF!)))/2</f>
        <v>#REF!</v>
      </c>
      <c r="S22" s="27" t="e">
        <f>((IF(#REF!=0,#REF!,#REF!))+(IF(#REF!=0,#REF!,#REF!)))/2</f>
        <v>#REF!</v>
      </c>
      <c r="T22" s="87" t="e">
        <f>((IF(#REF!=0,#REF!,#REF!))+(IF(#REF!=0,#REF!,#REF!)))/2</f>
        <v>#REF!</v>
      </c>
      <c r="U22" s="23" t="e">
        <f>#REF!</f>
        <v>#REF!</v>
      </c>
      <c r="V22" s="40" t="e">
        <f>#REF!</f>
        <v>#REF!</v>
      </c>
      <c r="W22" s="40" t="e">
        <f>#REF!</f>
        <v>#REF!</v>
      </c>
      <c r="X22" s="24" t="e">
        <f>#REF!</f>
        <v>#REF!</v>
      </c>
    </row>
    <row r="23" spans="2:24" ht="24.9" customHeight="1" x14ac:dyDescent="0.3">
      <c r="B23" s="131">
        <v>4</v>
      </c>
      <c r="C23" s="23">
        <v>695</v>
      </c>
      <c r="D23" s="10" t="s">
        <v>63</v>
      </c>
      <c r="E23" s="23" t="e">
        <f>#REF!</f>
        <v>#REF!</v>
      </c>
      <c r="F23" s="40" t="e">
        <f>#REF!</f>
        <v>#REF!</v>
      </c>
      <c r="G23" s="40" t="e">
        <f>#REF!</f>
        <v>#REF!</v>
      </c>
      <c r="H23" s="24" t="e">
        <f>#REF!</f>
        <v>#REF!</v>
      </c>
      <c r="I23" s="27" t="e">
        <f>#REF!</f>
        <v>#REF!</v>
      </c>
      <c r="J23" s="40" t="e">
        <f>#REF!</f>
        <v>#REF!</v>
      </c>
      <c r="K23" s="40" t="e">
        <f>#REF!</f>
        <v>#REF!</v>
      </c>
      <c r="L23" s="69" t="e">
        <f>#REF!</f>
        <v>#REF!</v>
      </c>
      <c r="M23" s="23" t="e">
        <f>#REF!</f>
        <v>#REF!</v>
      </c>
      <c r="N23" s="40" t="e">
        <f>#REF!</f>
        <v>#REF!</v>
      </c>
      <c r="O23" s="40" t="e">
        <f>#REF!</f>
        <v>#REF!</v>
      </c>
      <c r="P23" s="24" t="e">
        <f>#REF!</f>
        <v>#REF!</v>
      </c>
      <c r="Q23" s="27" t="e">
        <f>#REF!+#REF!</f>
        <v>#REF!</v>
      </c>
      <c r="R23" s="27" t="e">
        <f>((IF(#REF!=0,#REF!,#REF!))+(IF(#REF!=0,#REF!,#REF!)))/2</f>
        <v>#REF!</v>
      </c>
      <c r="S23" s="27" t="e">
        <f>((IF(#REF!=0,#REF!,#REF!))+(IF(#REF!=0,#REF!,#REF!)))/2</f>
        <v>#REF!</v>
      </c>
      <c r="T23" s="87" t="e">
        <f>((IF(#REF!=0,#REF!,#REF!))+(IF(#REF!=0,#REF!,#REF!)))/2</f>
        <v>#REF!</v>
      </c>
      <c r="U23" s="23" t="e">
        <f>#REF!</f>
        <v>#REF!</v>
      </c>
      <c r="V23" s="40" t="e">
        <f>#REF!</f>
        <v>#REF!</v>
      </c>
      <c r="W23" s="40" t="e">
        <f>#REF!</f>
        <v>#REF!</v>
      </c>
      <c r="X23" s="24" t="e">
        <f>#REF!</f>
        <v>#REF!</v>
      </c>
    </row>
    <row r="24" spans="2:24" ht="24.9" customHeight="1" x14ac:dyDescent="0.3">
      <c r="B24" s="131">
        <v>5</v>
      </c>
      <c r="C24" s="20">
        <v>696</v>
      </c>
      <c r="D24" s="10" t="s">
        <v>64</v>
      </c>
      <c r="E24" s="23" t="e">
        <f>#REF!</f>
        <v>#REF!</v>
      </c>
      <c r="F24" s="40" t="e">
        <f>#REF!</f>
        <v>#REF!</v>
      </c>
      <c r="G24" s="40" t="e">
        <f>#REF!</f>
        <v>#REF!</v>
      </c>
      <c r="H24" s="24" t="e">
        <f>#REF!</f>
        <v>#REF!</v>
      </c>
      <c r="I24" s="27" t="e">
        <f>#REF!</f>
        <v>#REF!</v>
      </c>
      <c r="J24" s="40" t="e">
        <f>#REF!</f>
        <v>#REF!</v>
      </c>
      <c r="K24" s="40" t="e">
        <f>#REF!</f>
        <v>#REF!</v>
      </c>
      <c r="L24" s="69" t="e">
        <f>#REF!</f>
        <v>#REF!</v>
      </c>
      <c r="M24" s="23" t="e">
        <f>#REF!</f>
        <v>#REF!</v>
      </c>
      <c r="N24" s="40" t="e">
        <f>#REF!</f>
        <v>#REF!</v>
      </c>
      <c r="O24" s="40" t="e">
        <f>#REF!</f>
        <v>#REF!</v>
      </c>
      <c r="P24" s="24" t="e">
        <f>#REF!</f>
        <v>#REF!</v>
      </c>
      <c r="Q24" s="27" t="e">
        <f>#REF!+#REF!</f>
        <v>#REF!</v>
      </c>
      <c r="R24" s="27" t="e">
        <f>((IF(#REF!=0,#REF!,#REF!))+(IF(#REF!=0,#REF!,#REF!)))/2</f>
        <v>#REF!</v>
      </c>
      <c r="S24" s="27" t="e">
        <f>((IF(#REF!=0,#REF!,#REF!))+(IF(#REF!=0,#REF!,#REF!)))/2</f>
        <v>#REF!</v>
      </c>
      <c r="T24" s="87" t="e">
        <f>((IF(#REF!=0,#REF!,#REF!))+(IF(#REF!=0,#REF!,#REF!)))/2</f>
        <v>#REF!</v>
      </c>
      <c r="U24" s="23" t="e">
        <f>#REF!</f>
        <v>#REF!</v>
      </c>
      <c r="V24" s="40" t="e">
        <f>#REF!</f>
        <v>#REF!</v>
      </c>
      <c r="W24" s="40" t="e">
        <f>#REF!</f>
        <v>#REF!</v>
      </c>
      <c r="X24" s="24" t="e">
        <f>#REF!</f>
        <v>#REF!</v>
      </c>
    </row>
    <row r="25" spans="2:24" ht="24.9" customHeight="1" x14ac:dyDescent="0.3">
      <c r="B25" s="131">
        <v>6</v>
      </c>
      <c r="C25" s="20">
        <v>697</v>
      </c>
      <c r="D25" s="10" t="s">
        <v>63</v>
      </c>
      <c r="E25" s="23" t="e">
        <f>#REF!</f>
        <v>#REF!</v>
      </c>
      <c r="F25" s="40" t="e">
        <f>#REF!</f>
        <v>#REF!</v>
      </c>
      <c r="G25" s="40" t="e">
        <f>#REF!</f>
        <v>#REF!</v>
      </c>
      <c r="H25" s="24" t="e">
        <f>#REF!</f>
        <v>#REF!</v>
      </c>
      <c r="I25" s="27" t="e">
        <f>#REF!</f>
        <v>#REF!</v>
      </c>
      <c r="J25" s="40" t="e">
        <f>#REF!</f>
        <v>#REF!</v>
      </c>
      <c r="K25" s="40" t="e">
        <f>#REF!</f>
        <v>#REF!</v>
      </c>
      <c r="L25" s="69" t="e">
        <f>#REF!</f>
        <v>#REF!</v>
      </c>
      <c r="M25" s="23" t="e">
        <f>#REF!</f>
        <v>#REF!</v>
      </c>
      <c r="N25" s="40" t="e">
        <f>#REF!</f>
        <v>#REF!</v>
      </c>
      <c r="O25" s="40" t="e">
        <f>#REF!</f>
        <v>#REF!</v>
      </c>
      <c r="P25" s="24" t="e">
        <f>#REF!</f>
        <v>#REF!</v>
      </c>
      <c r="Q25" s="27" t="e">
        <f>#REF!+#REF!</f>
        <v>#REF!</v>
      </c>
      <c r="R25" s="27" t="e">
        <f>((IF(#REF!=0,#REF!,#REF!))+(IF(#REF!=0,#REF!,#REF!)))/2</f>
        <v>#REF!</v>
      </c>
      <c r="S25" s="27" t="e">
        <f>((IF(#REF!=0,#REF!,#REF!))+(IF(#REF!=0,#REF!,#REF!)))/2</f>
        <v>#REF!</v>
      </c>
      <c r="T25" s="87" t="e">
        <f>((IF(#REF!=0,#REF!,#REF!))+(IF(#REF!=0,#REF!,#REF!)))/2</f>
        <v>#REF!</v>
      </c>
      <c r="U25" s="23" t="e">
        <f>#REF!</f>
        <v>#REF!</v>
      </c>
      <c r="V25" s="40" t="e">
        <f>#REF!</f>
        <v>#REF!</v>
      </c>
      <c r="W25" s="40" t="e">
        <f>#REF!</f>
        <v>#REF!</v>
      </c>
      <c r="X25" s="24" t="e">
        <f>#REF!</f>
        <v>#REF!</v>
      </c>
    </row>
    <row r="26" spans="2:24" ht="24.9" customHeight="1" x14ac:dyDescent="0.3">
      <c r="B26" s="131">
        <v>7</v>
      </c>
      <c r="C26" s="23">
        <v>698</v>
      </c>
      <c r="D26" s="10" t="s">
        <v>63</v>
      </c>
      <c r="E26" s="23" t="e">
        <f>#REF!</f>
        <v>#REF!</v>
      </c>
      <c r="F26" s="40" t="e">
        <f>#REF!</f>
        <v>#REF!</v>
      </c>
      <c r="G26" s="40" t="e">
        <f>#REF!</f>
        <v>#REF!</v>
      </c>
      <c r="H26" s="24" t="e">
        <f>#REF!</f>
        <v>#REF!</v>
      </c>
      <c r="I26" s="27" t="e">
        <f>#REF!</f>
        <v>#REF!</v>
      </c>
      <c r="J26" s="40" t="e">
        <f>#REF!</f>
        <v>#REF!</v>
      </c>
      <c r="K26" s="40" t="e">
        <f>#REF!</f>
        <v>#REF!</v>
      </c>
      <c r="L26" s="69" t="e">
        <f>#REF!</f>
        <v>#REF!</v>
      </c>
      <c r="M26" s="23" t="e">
        <f>#REF!</f>
        <v>#REF!</v>
      </c>
      <c r="N26" s="40" t="e">
        <f>#REF!</f>
        <v>#REF!</v>
      </c>
      <c r="O26" s="40" t="e">
        <f>#REF!</f>
        <v>#REF!</v>
      </c>
      <c r="P26" s="24" t="e">
        <f>#REF!</f>
        <v>#REF!</v>
      </c>
      <c r="Q26" s="27" t="e">
        <f>#REF!+#REF!</f>
        <v>#REF!</v>
      </c>
      <c r="R26" s="27" t="e">
        <f>((IF(#REF!=0,#REF!,#REF!))+(IF(#REF!=0,#REF!,#REF!)))/2</f>
        <v>#REF!</v>
      </c>
      <c r="S26" s="27" t="e">
        <f>((IF(#REF!=0,#REF!,#REF!))+(IF(#REF!=0,#REF!,#REF!)))/2</f>
        <v>#REF!</v>
      </c>
      <c r="T26" s="87" t="e">
        <f>((IF(#REF!=0,#REF!,#REF!))+(IF(#REF!=0,#REF!,#REF!)))/2</f>
        <v>#REF!</v>
      </c>
      <c r="U26" s="23" t="e">
        <f>#REF!</f>
        <v>#REF!</v>
      </c>
      <c r="V26" s="40" t="e">
        <f>#REF!</f>
        <v>#REF!</v>
      </c>
      <c r="W26" s="40" t="e">
        <f>#REF!</f>
        <v>#REF!</v>
      </c>
      <c r="X26" s="24" t="e">
        <f>#REF!</f>
        <v>#REF!</v>
      </c>
    </row>
    <row r="27" spans="2:24" ht="24.9" customHeight="1" x14ac:dyDescent="0.3">
      <c r="B27" s="131">
        <v>8</v>
      </c>
      <c r="C27" s="20">
        <v>699</v>
      </c>
      <c r="D27" s="10" t="s">
        <v>63</v>
      </c>
      <c r="E27" s="23" t="e">
        <f>#REF!</f>
        <v>#REF!</v>
      </c>
      <c r="F27" s="40" t="e">
        <f>#REF!</f>
        <v>#REF!</v>
      </c>
      <c r="G27" s="40" t="e">
        <f>#REF!</f>
        <v>#REF!</v>
      </c>
      <c r="H27" s="24" t="e">
        <f>#REF!</f>
        <v>#REF!</v>
      </c>
      <c r="I27" s="27" t="e">
        <f>#REF!</f>
        <v>#REF!</v>
      </c>
      <c r="J27" s="40" t="e">
        <f>#REF!</f>
        <v>#REF!</v>
      </c>
      <c r="K27" s="40" t="e">
        <f>#REF!</f>
        <v>#REF!</v>
      </c>
      <c r="L27" s="69" t="e">
        <f>#REF!</f>
        <v>#REF!</v>
      </c>
      <c r="M27" s="23" t="e">
        <f>#REF!</f>
        <v>#REF!</v>
      </c>
      <c r="N27" s="40" t="e">
        <f>#REF!</f>
        <v>#REF!</v>
      </c>
      <c r="O27" s="40" t="e">
        <f>#REF!</f>
        <v>#REF!</v>
      </c>
      <c r="P27" s="24" t="e">
        <f>#REF!</f>
        <v>#REF!</v>
      </c>
      <c r="Q27" s="27" t="e">
        <f>#REF!+#REF!</f>
        <v>#REF!</v>
      </c>
      <c r="R27" s="27" t="e">
        <f>((IF(#REF!=0,#REF!,#REF!))+(IF(#REF!=0,#REF!,#REF!)))/2</f>
        <v>#REF!</v>
      </c>
      <c r="S27" s="27" t="e">
        <f>((IF(#REF!=0,#REF!,#REF!))+(IF(#REF!=0,#REF!,#REF!)))/2</f>
        <v>#REF!</v>
      </c>
      <c r="T27" s="87" t="e">
        <f>((IF(#REF!=0,#REF!,#REF!))+(IF(#REF!=0,#REF!,#REF!)))/2</f>
        <v>#REF!</v>
      </c>
      <c r="U27" s="23" t="e">
        <f>#REF!</f>
        <v>#REF!</v>
      </c>
      <c r="V27" s="40" t="e">
        <f>#REF!</f>
        <v>#REF!</v>
      </c>
      <c r="W27" s="40" t="e">
        <f>#REF!</f>
        <v>#REF!</v>
      </c>
      <c r="X27" s="24" t="e">
        <f>#REF!</f>
        <v>#REF!</v>
      </c>
    </row>
    <row r="28" spans="2:24" ht="24.9" customHeight="1" x14ac:dyDescent="0.3">
      <c r="B28" s="131">
        <v>9</v>
      </c>
      <c r="C28" s="20">
        <v>700</v>
      </c>
      <c r="D28" s="10" t="s">
        <v>63</v>
      </c>
      <c r="E28" s="23" t="e">
        <f>#REF!</f>
        <v>#REF!</v>
      </c>
      <c r="F28" s="40" t="e">
        <f>#REF!</f>
        <v>#REF!</v>
      </c>
      <c r="G28" s="40" t="e">
        <f>#REF!</f>
        <v>#REF!</v>
      </c>
      <c r="H28" s="24" t="e">
        <f>#REF!</f>
        <v>#REF!</v>
      </c>
      <c r="I28" s="27" t="e">
        <f>#REF!</f>
        <v>#REF!</v>
      </c>
      <c r="J28" s="40" t="e">
        <f>#REF!</f>
        <v>#REF!</v>
      </c>
      <c r="K28" s="40" t="e">
        <f>#REF!</f>
        <v>#REF!</v>
      </c>
      <c r="L28" s="69" t="e">
        <f>#REF!</f>
        <v>#REF!</v>
      </c>
      <c r="M28" s="23" t="e">
        <f>#REF!</f>
        <v>#REF!</v>
      </c>
      <c r="N28" s="40" t="e">
        <f>#REF!</f>
        <v>#REF!</v>
      </c>
      <c r="O28" s="40" t="e">
        <f>#REF!</f>
        <v>#REF!</v>
      </c>
      <c r="P28" s="24" t="e">
        <f>#REF!</f>
        <v>#REF!</v>
      </c>
      <c r="Q28" s="27" t="e">
        <f>#REF!+#REF!</f>
        <v>#REF!</v>
      </c>
      <c r="R28" s="27" t="e">
        <f>((IF(#REF!=0,#REF!,#REF!))+(IF(#REF!=0,#REF!,#REF!)))/2</f>
        <v>#REF!</v>
      </c>
      <c r="S28" s="27" t="e">
        <f>((IF(#REF!=0,#REF!,#REF!))+(IF(#REF!=0,#REF!,#REF!)))/2</f>
        <v>#REF!</v>
      </c>
      <c r="T28" s="87" t="e">
        <f>((IF(#REF!=0,#REF!,#REF!))+(IF(#REF!=0,#REF!,#REF!)))/2</f>
        <v>#REF!</v>
      </c>
      <c r="U28" s="23" t="e">
        <f>#REF!</f>
        <v>#REF!</v>
      </c>
      <c r="V28" s="40" t="e">
        <f>#REF!</f>
        <v>#REF!</v>
      </c>
      <c r="W28" s="40" t="e">
        <f>#REF!</f>
        <v>#REF!</v>
      </c>
      <c r="X28" s="24" t="e">
        <f>#REF!</f>
        <v>#REF!</v>
      </c>
    </row>
    <row r="29" spans="2:24" ht="24.9" customHeight="1" x14ac:dyDescent="0.3">
      <c r="B29" s="131">
        <v>10</v>
      </c>
      <c r="C29" s="23">
        <v>701</v>
      </c>
      <c r="D29" s="10" t="s">
        <v>63</v>
      </c>
      <c r="E29" s="23" t="e">
        <f>#REF!</f>
        <v>#REF!</v>
      </c>
      <c r="F29" s="40" t="e">
        <f>#REF!</f>
        <v>#REF!</v>
      </c>
      <c r="G29" s="40" t="e">
        <f>#REF!</f>
        <v>#REF!</v>
      </c>
      <c r="H29" s="24" t="e">
        <f>#REF!</f>
        <v>#REF!</v>
      </c>
      <c r="I29" s="27" t="e">
        <f>#REF!</f>
        <v>#REF!</v>
      </c>
      <c r="J29" s="40" t="e">
        <f>#REF!</f>
        <v>#REF!</v>
      </c>
      <c r="K29" s="40" t="e">
        <f>#REF!</f>
        <v>#REF!</v>
      </c>
      <c r="L29" s="69" t="e">
        <f>#REF!</f>
        <v>#REF!</v>
      </c>
      <c r="M29" s="23" t="e">
        <f>#REF!</f>
        <v>#REF!</v>
      </c>
      <c r="N29" s="40" t="e">
        <f>#REF!</f>
        <v>#REF!</v>
      </c>
      <c r="O29" s="40" t="e">
        <f>#REF!</f>
        <v>#REF!</v>
      </c>
      <c r="P29" s="24" t="e">
        <f>#REF!</f>
        <v>#REF!</v>
      </c>
      <c r="Q29" s="27" t="e">
        <f>#REF!+#REF!</f>
        <v>#REF!</v>
      </c>
      <c r="R29" s="27" t="e">
        <f>((IF(#REF!=0,#REF!,#REF!))+(IF(#REF!=0,#REF!,#REF!)))/2</f>
        <v>#REF!</v>
      </c>
      <c r="S29" s="27" t="e">
        <f>((IF(#REF!=0,#REF!,#REF!))+(IF(#REF!=0,#REF!,#REF!)))/2</f>
        <v>#REF!</v>
      </c>
      <c r="T29" s="87" t="e">
        <f>((IF(#REF!=0,#REF!,#REF!))+(IF(#REF!=0,#REF!,#REF!)))/2</f>
        <v>#REF!</v>
      </c>
      <c r="U29" s="23" t="e">
        <f>#REF!</f>
        <v>#REF!</v>
      </c>
      <c r="V29" s="40" t="e">
        <f>#REF!</f>
        <v>#REF!</v>
      </c>
      <c r="W29" s="40" t="e">
        <f>#REF!</f>
        <v>#REF!</v>
      </c>
      <c r="X29" s="24" t="e">
        <f>#REF!</f>
        <v>#REF!</v>
      </c>
    </row>
    <row r="30" spans="2:24" ht="24.9" customHeight="1" x14ac:dyDescent="0.3">
      <c r="B30" s="131">
        <v>11</v>
      </c>
      <c r="C30" s="20">
        <v>702</v>
      </c>
      <c r="D30" s="10" t="s">
        <v>63</v>
      </c>
      <c r="E30" s="23" t="e">
        <f>#REF!</f>
        <v>#REF!</v>
      </c>
      <c r="F30" s="40" t="e">
        <f>#REF!</f>
        <v>#REF!</v>
      </c>
      <c r="G30" s="40" t="e">
        <f>#REF!</f>
        <v>#REF!</v>
      </c>
      <c r="H30" s="24" t="e">
        <f>#REF!</f>
        <v>#REF!</v>
      </c>
      <c r="I30" s="27" t="e">
        <f>#REF!</f>
        <v>#REF!</v>
      </c>
      <c r="J30" s="40" t="e">
        <f>#REF!</f>
        <v>#REF!</v>
      </c>
      <c r="K30" s="40" t="e">
        <f>#REF!</f>
        <v>#REF!</v>
      </c>
      <c r="L30" s="69" t="e">
        <f>#REF!</f>
        <v>#REF!</v>
      </c>
      <c r="M30" s="23" t="e">
        <f>#REF!</f>
        <v>#REF!</v>
      </c>
      <c r="N30" s="40" t="e">
        <f>#REF!</f>
        <v>#REF!</v>
      </c>
      <c r="O30" s="40" t="e">
        <f>#REF!</f>
        <v>#REF!</v>
      </c>
      <c r="P30" s="24" t="e">
        <f>#REF!</f>
        <v>#REF!</v>
      </c>
      <c r="Q30" s="27" t="e">
        <f>#REF!+#REF!</f>
        <v>#REF!</v>
      </c>
      <c r="R30" s="27" t="e">
        <f>((IF(#REF!=0,#REF!,#REF!))+(IF(#REF!=0,#REF!,#REF!)))/2</f>
        <v>#REF!</v>
      </c>
      <c r="S30" s="27" t="e">
        <f>((IF(#REF!=0,#REF!,#REF!))+(IF(#REF!=0,#REF!,#REF!)))/2</f>
        <v>#REF!</v>
      </c>
      <c r="T30" s="87" t="e">
        <f>((IF(#REF!=0,#REF!,#REF!))+(IF(#REF!=0,#REF!,#REF!)))/2</f>
        <v>#REF!</v>
      </c>
      <c r="U30" s="23" t="e">
        <f>#REF!</f>
        <v>#REF!</v>
      </c>
      <c r="V30" s="40" t="e">
        <f>#REF!</f>
        <v>#REF!</v>
      </c>
      <c r="W30" s="40" t="e">
        <f>#REF!</f>
        <v>#REF!</v>
      </c>
      <c r="X30" s="24" t="e">
        <f>#REF!</f>
        <v>#REF!</v>
      </c>
    </row>
    <row r="31" spans="2:24" ht="24.9" customHeight="1" x14ac:dyDescent="0.3">
      <c r="B31" s="131">
        <v>12</v>
      </c>
      <c r="C31" s="20">
        <v>703</v>
      </c>
      <c r="D31" s="10" t="s">
        <v>63</v>
      </c>
      <c r="E31" s="23" t="e">
        <f>#REF!</f>
        <v>#REF!</v>
      </c>
      <c r="F31" s="40" t="e">
        <f>#REF!</f>
        <v>#REF!</v>
      </c>
      <c r="G31" s="40" t="e">
        <f>#REF!</f>
        <v>#REF!</v>
      </c>
      <c r="H31" s="24" t="e">
        <f>#REF!</f>
        <v>#REF!</v>
      </c>
      <c r="I31" s="27" t="e">
        <f>#REF!</f>
        <v>#REF!</v>
      </c>
      <c r="J31" s="40" t="e">
        <f>#REF!</f>
        <v>#REF!</v>
      </c>
      <c r="K31" s="40" t="e">
        <f>#REF!</f>
        <v>#REF!</v>
      </c>
      <c r="L31" s="69" t="e">
        <f>#REF!</f>
        <v>#REF!</v>
      </c>
      <c r="M31" s="23" t="e">
        <f>#REF!</f>
        <v>#REF!</v>
      </c>
      <c r="N31" s="40" t="e">
        <f>#REF!</f>
        <v>#REF!</v>
      </c>
      <c r="O31" s="40" t="e">
        <f>#REF!</f>
        <v>#REF!</v>
      </c>
      <c r="P31" s="24" t="e">
        <f>#REF!</f>
        <v>#REF!</v>
      </c>
      <c r="Q31" s="27" t="e">
        <f>#REF!+#REF!</f>
        <v>#REF!</v>
      </c>
      <c r="R31" s="27" t="e">
        <f>((IF(#REF!=0,#REF!,#REF!))+(IF(#REF!=0,#REF!,#REF!)))/2</f>
        <v>#REF!</v>
      </c>
      <c r="S31" s="27" t="e">
        <f>((IF(#REF!=0,#REF!,#REF!))+(IF(#REF!=0,#REF!,#REF!)))/2</f>
        <v>#REF!</v>
      </c>
      <c r="T31" s="87" t="e">
        <f>((IF(#REF!=0,#REF!,#REF!))+(IF(#REF!=0,#REF!,#REF!)))/2</f>
        <v>#REF!</v>
      </c>
      <c r="U31" s="23" t="e">
        <f>#REF!</f>
        <v>#REF!</v>
      </c>
      <c r="V31" s="40" t="e">
        <f>#REF!</f>
        <v>#REF!</v>
      </c>
      <c r="W31" s="40" t="e">
        <f>#REF!</f>
        <v>#REF!</v>
      </c>
      <c r="X31" s="24" t="e">
        <f>#REF!</f>
        <v>#REF!</v>
      </c>
    </row>
    <row r="32" spans="2:24" ht="24.9" customHeight="1" x14ac:dyDescent="0.3">
      <c r="B32" s="131">
        <v>13</v>
      </c>
      <c r="C32" s="20">
        <v>704</v>
      </c>
      <c r="D32" s="10" t="s">
        <v>63</v>
      </c>
      <c r="E32" s="23" t="e">
        <f>#REF!</f>
        <v>#REF!</v>
      </c>
      <c r="F32" s="40" t="e">
        <f>#REF!</f>
        <v>#REF!</v>
      </c>
      <c r="G32" s="40" t="e">
        <f>#REF!</f>
        <v>#REF!</v>
      </c>
      <c r="H32" s="24" t="e">
        <f>#REF!</f>
        <v>#REF!</v>
      </c>
      <c r="I32" s="27" t="e">
        <f>#REF!</f>
        <v>#REF!</v>
      </c>
      <c r="J32" s="40" t="e">
        <f>#REF!</f>
        <v>#REF!</v>
      </c>
      <c r="K32" s="40" t="e">
        <f>#REF!</f>
        <v>#REF!</v>
      </c>
      <c r="L32" s="69" t="e">
        <f>#REF!</f>
        <v>#REF!</v>
      </c>
      <c r="M32" s="23" t="e">
        <f>#REF!</f>
        <v>#REF!</v>
      </c>
      <c r="N32" s="40" t="e">
        <f>#REF!</f>
        <v>#REF!</v>
      </c>
      <c r="O32" s="40" t="e">
        <f>#REF!</f>
        <v>#REF!</v>
      </c>
      <c r="P32" s="24" t="e">
        <f>#REF!</f>
        <v>#REF!</v>
      </c>
      <c r="Q32" s="27" t="e">
        <f>#REF!+#REF!</f>
        <v>#REF!</v>
      </c>
      <c r="R32" s="27" t="e">
        <f>((IF(#REF!=0,#REF!,#REF!))+(IF(#REF!=0,#REF!,#REF!)))/2</f>
        <v>#REF!</v>
      </c>
      <c r="S32" s="27" t="e">
        <f>((IF(#REF!=0,#REF!,#REF!))+(IF(#REF!=0,#REF!,#REF!)))/2</f>
        <v>#REF!</v>
      </c>
      <c r="T32" s="87" t="e">
        <f>((IF(#REF!=0,#REF!,#REF!))+(IF(#REF!=0,#REF!,#REF!)))/2</f>
        <v>#REF!</v>
      </c>
      <c r="U32" s="23" t="e">
        <f>#REF!</f>
        <v>#REF!</v>
      </c>
      <c r="V32" s="40" t="e">
        <f>#REF!</f>
        <v>#REF!</v>
      </c>
      <c r="W32" s="40" t="e">
        <f>#REF!</f>
        <v>#REF!</v>
      </c>
      <c r="X32" s="24" t="e">
        <f>#REF!</f>
        <v>#REF!</v>
      </c>
    </row>
    <row r="33" spans="2:24" ht="24.9" customHeight="1" x14ac:dyDescent="0.3">
      <c r="B33" s="131">
        <v>14</v>
      </c>
      <c r="C33" s="20">
        <v>705</v>
      </c>
      <c r="D33" s="10" t="s">
        <v>63</v>
      </c>
      <c r="E33" s="23" t="e">
        <f>#REF!</f>
        <v>#REF!</v>
      </c>
      <c r="F33" s="40" t="e">
        <f>#REF!</f>
        <v>#REF!</v>
      </c>
      <c r="G33" s="40" t="e">
        <f>#REF!</f>
        <v>#REF!</v>
      </c>
      <c r="H33" s="24" t="e">
        <f>#REF!</f>
        <v>#REF!</v>
      </c>
      <c r="I33" s="27" t="e">
        <f>#REF!</f>
        <v>#REF!</v>
      </c>
      <c r="J33" s="40" t="e">
        <f>#REF!</f>
        <v>#REF!</v>
      </c>
      <c r="K33" s="40" t="e">
        <f>#REF!</f>
        <v>#REF!</v>
      </c>
      <c r="L33" s="69" t="e">
        <f>#REF!</f>
        <v>#REF!</v>
      </c>
      <c r="M33" s="23" t="e">
        <f>#REF!</f>
        <v>#REF!</v>
      </c>
      <c r="N33" s="40" t="e">
        <f>#REF!</f>
        <v>#REF!</v>
      </c>
      <c r="O33" s="40" t="e">
        <f>#REF!</f>
        <v>#REF!</v>
      </c>
      <c r="P33" s="24" t="e">
        <f>#REF!</f>
        <v>#REF!</v>
      </c>
      <c r="Q33" s="27" t="e">
        <f>#REF!+#REF!</f>
        <v>#REF!</v>
      </c>
      <c r="R33" s="27" t="e">
        <f>((IF(#REF!=0,#REF!,#REF!))+(IF(#REF!=0,#REF!,#REF!)))/2</f>
        <v>#REF!</v>
      </c>
      <c r="S33" s="27" t="e">
        <f>((IF(#REF!=0,#REF!,#REF!))+(IF(#REF!=0,#REF!,#REF!)))/2</f>
        <v>#REF!</v>
      </c>
      <c r="T33" s="87" t="e">
        <f>((IF(#REF!=0,#REF!,#REF!))+(IF(#REF!=0,#REF!,#REF!)))/2</f>
        <v>#REF!</v>
      </c>
      <c r="U33" s="23" t="e">
        <f>#REF!</f>
        <v>#REF!</v>
      </c>
      <c r="V33" s="40" t="e">
        <f>#REF!</f>
        <v>#REF!</v>
      </c>
      <c r="W33" s="40" t="e">
        <f>#REF!</f>
        <v>#REF!</v>
      </c>
      <c r="X33" s="24" t="e">
        <f>#REF!</f>
        <v>#REF!</v>
      </c>
    </row>
    <row r="34" spans="2:24" ht="24.9" customHeight="1" x14ac:dyDescent="0.3">
      <c r="B34" s="131">
        <v>15</v>
      </c>
      <c r="C34" s="20">
        <v>706</v>
      </c>
      <c r="D34" s="10" t="s">
        <v>63</v>
      </c>
      <c r="E34" s="23" t="e">
        <f>#REF!</f>
        <v>#REF!</v>
      </c>
      <c r="F34" s="40" t="e">
        <f>#REF!</f>
        <v>#REF!</v>
      </c>
      <c r="G34" s="40" t="e">
        <f>#REF!</f>
        <v>#REF!</v>
      </c>
      <c r="H34" s="24" t="e">
        <f>#REF!</f>
        <v>#REF!</v>
      </c>
      <c r="I34" s="27" t="e">
        <f>#REF!</f>
        <v>#REF!</v>
      </c>
      <c r="J34" s="40" t="e">
        <f>#REF!</f>
        <v>#REF!</v>
      </c>
      <c r="K34" s="40" t="e">
        <f>#REF!</f>
        <v>#REF!</v>
      </c>
      <c r="L34" s="69" t="e">
        <f>#REF!</f>
        <v>#REF!</v>
      </c>
      <c r="M34" s="23" t="e">
        <f>#REF!</f>
        <v>#REF!</v>
      </c>
      <c r="N34" s="40" t="e">
        <f>#REF!</f>
        <v>#REF!</v>
      </c>
      <c r="O34" s="40" t="e">
        <f>#REF!</f>
        <v>#REF!</v>
      </c>
      <c r="P34" s="24" t="e">
        <f>#REF!</f>
        <v>#REF!</v>
      </c>
      <c r="Q34" s="27" t="e">
        <f>#REF!+#REF!</f>
        <v>#REF!</v>
      </c>
      <c r="R34" s="27" t="e">
        <f>((IF(#REF!=0,#REF!,#REF!))+(IF(#REF!=0,#REF!,#REF!)))/2</f>
        <v>#REF!</v>
      </c>
      <c r="S34" s="27" t="e">
        <f>((IF(#REF!=0,#REF!,#REF!))+(IF(#REF!=0,#REF!,#REF!)))/2</f>
        <v>#REF!</v>
      </c>
      <c r="T34" s="87" t="e">
        <f>((IF(#REF!=0,#REF!,#REF!))+(IF(#REF!=0,#REF!,#REF!)))/2</f>
        <v>#REF!</v>
      </c>
      <c r="U34" s="23" t="e">
        <f>#REF!</f>
        <v>#REF!</v>
      </c>
      <c r="V34" s="40" t="e">
        <f>#REF!</f>
        <v>#REF!</v>
      </c>
      <c r="W34" s="40" t="e">
        <f>#REF!</f>
        <v>#REF!</v>
      </c>
      <c r="X34" s="24" t="e">
        <f>#REF!</f>
        <v>#REF!</v>
      </c>
    </row>
    <row r="35" spans="2:24" ht="24.9" customHeight="1" x14ac:dyDescent="0.25">
      <c r="B35" s="131">
        <v>16</v>
      </c>
      <c r="C35" s="20"/>
      <c r="D35" s="10"/>
      <c r="E35" s="23" t="e">
        <f>#REF!</f>
        <v>#REF!</v>
      </c>
      <c r="F35" s="40" t="e">
        <f>#REF!</f>
        <v>#REF!</v>
      </c>
      <c r="G35" s="40" t="e">
        <f>#REF!</f>
        <v>#REF!</v>
      </c>
      <c r="H35" s="24" t="e">
        <f>#REF!</f>
        <v>#REF!</v>
      </c>
      <c r="I35" s="27" t="e">
        <f>#REF!</f>
        <v>#REF!</v>
      </c>
      <c r="J35" s="40" t="e">
        <f>#REF!</f>
        <v>#REF!</v>
      </c>
      <c r="K35" s="40" t="e">
        <f>#REF!</f>
        <v>#REF!</v>
      </c>
      <c r="L35" s="69" t="e">
        <f>#REF!</f>
        <v>#REF!</v>
      </c>
      <c r="M35" s="23" t="e">
        <f>#REF!</f>
        <v>#REF!</v>
      </c>
      <c r="N35" s="40" t="e">
        <f>#REF!</f>
        <v>#REF!</v>
      </c>
      <c r="O35" s="40" t="e">
        <f>#REF!</f>
        <v>#REF!</v>
      </c>
      <c r="P35" s="24" t="e">
        <f>#REF!</f>
        <v>#REF!</v>
      </c>
      <c r="Q35" s="27" t="e">
        <f>#REF!+#REF!</f>
        <v>#REF!</v>
      </c>
      <c r="R35" s="27" t="e">
        <f>((IF(#REF!=0,#REF!,#REF!))+(IF(#REF!=0,#REF!,#REF!)))/2</f>
        <v>#REF!</v>
      </c>
      <c r="S35" s="27" t="e">
        <f>((IF(#REF!=0,#REF!,#REF!))+(IF(#REF!=0,#REF!,#REF!)))/2</f>
        <v>#REF!</v>
      </c>
      <c r="T35" s="87" t="e">
        <f>((IF(#REF!=0,#REF!,#REF!))+(IF(#REF!=0,#REF!,#REF!)))/2</f>
        <v>#REF!</v>
      </c>
      <c r="U35" s="23" t="e">
        <f>#REF!</f>
        <v>#REF!</v>
      </c>
      <c r="V35" s="40" t="e">
        <f>#REF!</f>
        <v>#REF!</v>
      </c>
      <c r="W35" s="40" t="e">
        <f>#REF!</f>
        <v>#REF!</v>
      </c>
      <c r="X35" s="24" t="e">
        <f>#REF!</f>
        <v>#REF!</v>
      </c>
    </row>
    <row r="36" spans="2:24" ht="24.9" customHeight="1" x14ac:dyDescent="0.3">
      <c r="B36" s="131">
        <v>17</v>
      </c>
      <c r="C36" s="20"/>
      <c r="D36" s="10"/>
      <c r="E36" s="23" t="e">
        <f>#REF!</f>
        <v>#REF!</v>
      </c>
      <c r="F36" s="40" t="e">
        <f>#REF!</f>
        <v>#REF!</v>
      </c>
      <c r="G36" s="40" t="e">
        <f>#REF!</f>
        <v>#REF!</v>
      </c>
      <c r="H36" s="24" t="e">
        <f>#REF!</f>
        <v>#REF!</v>
      </c>
      <c r="I36" s="27" t="e">
        <f>#REF!</f>
        <v>#REF!</v>
      </c>
      <c r="J36" s="40" t="e">
        <f>#REF!</f>
        <v>#REF!</v>
      </c>
      <c r="K36" s="40" t="e">
        <f>#REF!</f>
        <v>#REF!</v>
      </c>
      <c r="L36" s="69" t="e">
        <f>#REF!</f>
        <v>#REF!</v>
      </c>
      <c r="M36" s="23" t="e">
        <f>#REF!</f>
        <v>#REF!</v>
      </c>
      <c r="N36" s="40" t="e">
        <f>#REF!</f>
        <v>#REF!</v>
      </c>
      <c r="O36" s="40" t="e">
        <f>#REF!</f>
        <v>#REF!</v>
      </c>
      <c r="P36" s="24" t="e">
        <f>#REF!</f>
        <v>#REF!</v>
      </c>
      <c r="Q36" s="27" t="e">
        <f>#REF!+#REF!</f>
        <v>#REF!</v>
      </c>
      <c r="R36" s="27" t="e">
        <f>((IF(#REF!=0,#REF!,#REF!))+(IF(#REF!=0,#REF!,#REF!)))/2</f>
        <v>#REF!</v>
      </c>
      <c r="S36" s="27" t="e">
        <f>((IF(#REF!=0,#REF!,#REF!))+(IF(#REF!=0,#REF!,#REF!)))/2</f>
        <v>#REF!</v>
      </c>
      <c r="T36" s="87" t="e">
        <f>((IF(#REF!=0,#REF!,#REF!))+(IF(#REF!=0,#REF!,#REF!)))/2</f>
        <v>#REF!</v>
      </c>
      <c r="U36" s="23" t="e">
        <f>#REF!</f>
        <v>#REF!</v>
      </c>
      <c r="V36" s="40" t="e">
        <f>#REF!</f>
        <v>#REF!</v>
      </c>
      <c r="W36" s="40" t="e">
        <f>#REF!</f>
        <v>#REF!</v>
      </c>
      <c r="X36" s="24" t="e">
        <f>#REF!</f>
        <v>#REF!</v>
      </c>
    </row>
    <row r="37" spans="2:24" ht="24.9" customHeight="1" x14ac:dyDescent="0.3">
      <c r="B37" s="131">
        <v>18</v>
      </c>
      <c r="C37" s="20"/>
      <c r="D37" s="10"/>
      <c r="E37" s="23" t="e">
        <f>#REF!</f>
        <v>#REF!</v>
      </c>
      <c r="F37" s="40" t="e">
        <f>#REF!</f>
        <v>#REF!</v>
      </c>
      <c r="G37" s="40" t="e">
        <f>#REF!</f>
        <v>#REF!</v>
      </c>
      <c r="H37" s="24" t="e">
        <f>#REF!</f>
        <v>#REF!</v>
      </c>
      <c r="I37" s="27" t="e">
        <f>#REF!</f>
        <v>#REF!</v>
      </c>
      <c r="J37" s="40" t="e">
        <f>#REF!</f>
        <v>#REF!</v>
      </c>
      <c r="K37" s="40" t="e">
        <f>#REF!</f>
        <v>#REF!</v>
      </c>
      <c r="L37" s="69" t="e">
        <f>#REF!</f>
        <v>#REF!</v>
      </c>
      <c r="M37" s="23" t="e">
        <f>#REF!</f>
        <v>#REF!</v>
      </c>
      <c r="N37" s="40" t="e">
        <f>#REF!</f>
        <v>#REF!</v>
      </c>
      <c r="O37" s="40" t="e">
        <f>#REF!</f>
        <v>#REF!</v>
      </c>
      <c r="P37" s="24" t="e">
        <f>#REF!</f>
        <v>#REF!</v>
      </c>
      <c r="Q37" s="27" t="e">
        <f>#REF!+#REF!</f>
        <v>#REF!</v>
      </c>
      <c r="R37" s="27" t="e">
        <f>((IF(#REF!=0,#REF!,#REF!))+(IF(#REF!=0,#REF!,#REF!)))/2</f>
        <v>#REF!</v>
      </c>
      <c r="S37" s="27" t="e">
        <f>((IF(#REF!=0,#REF!,#REF!))+(IF(#REF!=0,#REF!,#REF!)))/2</f>
        <v>#REF!</v>
      </c>
      <c r="T37" s="87" t="e">
        <f>((IF(#REF!=0,#REF!,#REF!))+(IF(#REF!=0,#REF!,#REF!)))/2</f>
        <v>#REF!</v>
      </c>
      <c r="U37" s="23" t="e">
        <f>#REF!</f>
        <v>#REF!</v>
      </c>
      <c r="V37" s="40" t="e">
        <f>#REF!</f>
        <v>#REF!</v>
      </c>
      <c r="W37" s="40" t="e">
        <f>#REF!</f>
        <v>#REF!</v>
      </c>
      <c r="X37" s="24" t="e">
        <f>#REF!</f>
        <v>#REF!</v>
      </c>
    </row>
    <row r="38" spans="2:24" ht="24.9" customHeight="1" x14ac:dyDescent="0.3">
      <c r="B38" s="131">
        <v>19</v>
      </c>
      <c r="C38" s="20"/>
      <c r="D38" s="10"/>
      <c r="E38" s="23" t="e">
        <f>#REF!</f>
        <v>#REF!</v>
      </c>
      <c r="F38" s="40" t="e">
        <f>#REF!</f>
        <v>#REF!</v>
      </c>
      <c r="G38" s="40" t="e">
        <f>#REF!</f>
        <v>#REF!</v>
      </c>
      <c r="H38" s="24" t="e">
        <f>#REF!</f>
        <v>#REF!</v>
      </c>
      <c r="I38" s="27" t="e">
        <f>#REF!</f>
        <v>#REF!</v>
      </c>
      <c r="J38" s="40" t="e">
        <f>#REF!</f>
        <v>#REF!</v>
      </c>
      <c r="K38" s="40" t="e">
        <f>#REF!</f>
        <v>#REF!</v>
      </c>
      <c r="L38" s="69" t="e">
        <f>#REF!</f>
        <v>#REF!</v>
      </c>
      <c r="M38" s="23" t="e">
        <f>#REF!</f>
        <v>#REF!</v>
      </c>
      <c r="N38" s="40" t="e">
        <f>#REF!</f>
        <v>#REF!</v>
      </c>
      <c r="O38" s="40" t="e">
        <f>#REF!</f>
        <v>#REF!</v>
      </c>
      <c r="P38" s="24" t="e">
        <f>#REF!</f>
        <v>#REF!</v>
      </c>
      <c r="Q38" s="27" t="e">
        <f>#REF!+#REF!</f>
        <v>#REF!</v>
      </c>
      <c r="R38" s="27" t="e">
        <f>((IF(#REF!=0,#REF!,#REF!))+(IF(#REF!=0,#REF!,#REF!)))/2</f>
        <v>#REF!</v>
      </c>
      <c r="S38" s="27" t="e">
        <f>((IF(#REF!=0,#REF!,#REF!))+(IF(#REF!=0,#REF!,#REF!)))/2</f>
        <v>#REF!</v>
      </c>
      <c r="T38" s="87" t="e">
        <f>((IF(#REF!=0,#REF!,#REF!))+(IF(#REF!=0,#REF!,#REF!)))/2</f>
        <v>#REF!</v>
      </c>
      <c r="U38" s="23" t="e">
        <f>#REF!</f>
        <v>#REF!</v>
      </c>
      <c r="V38" s="40" t="e">
        <f>#REF!</f>
        <v>#REF!</v>
      </c>
      <c r="W38" s="40" t="e">
        <f>#REF!</f>
        <v>#REF!</v>
      </c>
      <c r="X38" s="24" t="e">
        <f>#REF!</f>
        <v>#REF!</v>
      </c>
    </row>
    <row r="39" spans="2:24" ht="24.9" customHeight="1" x14ac:dyDescent="0.3">
      <c r="B39" s="131">
        <v>20</v>
      </c>
      <c r="C39" s="20"/>
      <c r="D39" s="10"/>
      <c r="E39" s="23" t="e">
        <f>#REF!</f>
        <v>#REF!</v>
      </c>
      <c r="F39" s="40" t="e">
        <f>#REF!</f>
        <v>#REF!</v>
      </c>
      <c r="G39" s="40" t="e">
        <f>#REF!</f>
        <v>#REF!</v>
      </c>
      <c r="H39" s="24" t="e">
        <f>#REF!</f>
        <v>#REF!</v>
      </c>
      <c r="I39" s="27" t="e">
        <f>#REF!</f>
        <v>#REF!</v>
      </c>
      <c r="J39" s="40" t="e">
        <f>#REF!</f>
        <v>#REF!</v>
      </c>
      <c r="K39" s="40" t="e">
        <f>#REF!</f>
        <v>#REF!</v>
      </c>
      <c r="L39" s="69" t="e">
        <f>#REF!</f>
        <v>#REF!</v>
      </c>
      <c r="M39" s="23" t="e">
        <f>#REF!</f>
        <v>#REF!</v>
      </c>
      <c r="N39" s="40" t="e">
        <f>#REF!</f>
        <v>#REF!</v>
      </c>
      <c r="O39" s="40" t="e">
        <f>#REF!</f>
        <v>#REF!</v>
      </c>
      <c r="P39" s="24" t="e">
        <f>#REF!</f>
        <v>#REF!</v>
      </c>
      <c r="Q39" s="27" t="e">
        <f>#REF!+#REF!</f>
        <v>#REF!</v>
      </c>
      <c r="R39" s="27" t="e">
        <f>((IF(#REF!=0,#REF!,#REF!))+(IF(#REF!=0,#REF!,#REF!)))/2</f>
        <v>#REF!</v>
      </c>
      <c r="S39" s="27" t="e">
        <f>((IF(#REF!=0,#REF!,#REF!))+(IF(#REF!=0,#REF!,#REF!)))/2</f>
        <v>#REF!</v>
      </c>
      <c r="T39" s="87" t="e">
        <f>((IF(#REF!=0,#REF!,#REF!))+(IF(#REF!=0,#REF!,#REF!)))/2</f>
        <v>#REF!</v>
      </c>
      <c r="U39" s="23" t="e">
        <f>#REF!</f>
        <v>#REF!</v>
      </c>
      <c r="V39" s="40" t="e">
        <f>#REF!</f>
        <v>#REF!</v>
      </c>
      <c r="W39" s="40" t="e">
        <f>#REF!</f>
        <v>#REF!</v>
      </c>
      <c r="X39" s="24" t="e">
        <f>#REF!</f>
        <v>#REF!</v>
      </c>
    </row>
    <row r="40" spans="2:24" ht="24.9" customHeight="1" x14ac:dyDescent="0.3">
      <c r="B40" s="131">
        <v>21</v>
      </c>
      <c r="C40" s="20"/>
      <c r="D40" s="10"/>
      <c r="E40" s="23" t="e">
        <f>#REF!</f>
        <v>#REF!</v>
      </c>
      <c r="F40" s="40" t="e">
        <f>#REF!</f>
        <v>#REF!</v>
      </c>
      <c r="G40" s="40" t="e">
        <f>#REF!</f>
        <v>#REF!</v>
      </c>
      <c r="H40" s="24" t="e">
        <f>#REF!</f>
        <v>#REF!</v>
      </c>
      <c r="I40" s="27" t="e">
        <f>#REF!</f>
        <v>#REF!</v>
      </c>
      <c r="J40" s="40" t="e">
        <f>#REF!</f>
        <v>#REF!</v>
      </c>
      <c r="K40" s="40" t="e">
        <f>#REF!</f>
        <v>#REF!</v>
      </c>
      <c r="L40" s="69" t="e">
        <f>#REF!</f>
        <v>#REF!</v>
      </c>
      <c r="M40" s="23" t="e">
        <f>#REF!</f>
        <v>#REF!</v>
      </c>
      <c r="N40" s="40" t="e">
        <f>#REF!</f>
        <v>#REF!</v>
      </c>
      <c r="O40" s="40" t="e">
        <f>#REF!</f>
        <v>#REF!</v>
      </c>
      <c r="P40" s="24" t="e">
        <f>#REF!</f>
        <v>#REF!</v>
      </c>
      <c r="Q40" s="27" t="e">
        <f>#REF!+#REF!</f>
        <v>#REF!</v>
      </c>
      <c r="R40" s="27" t="e">
        <f>((IF(#REF!=0,#REF!,#REF!))+(IF(#REF!=0,#REF!,#REF!)))/2</f>
        <v>#REF!</v>
      </c>
      <c r="S40" s="27" t="e">
        <f>((IF(#REF!=0,#REF!,#REF!))+(IF(#REF!=0,#REF!,#REF!)))/2</f>
        <v>#REF!</v>
      </c>
      <c r="T40" s="87" t="e">
        <f>((IF(#REF!=0,#REF!,#REF!))+(IF(#REF!=0,#REF!,#REF!)))/2</f>
        <v>#REF!</v>
      </c>
      <c r="U40" s="23" t="e">
        <f>#REF!</f>
        <v>#REF!</v>
      </c>
      <c r="V40" s="40" t="e">
        <f>#REF!</f>
        <v>#REF!</v>
      </c>
      <c r="W40" s="40" t="e">
        <f>#REF!</f>
        <v>#REF!</v>
      </c>
      <c r="X40" s="24" t="e">
        <f>#REF!</f>
        <v>#REF!</v>
      </c>
    </row>
    <row r="41" spans="2:24" ht="24.9" customHeight="1" x14ac:dyDescent="0.3">
      <c r="B41" s="131">
        <v>22</v>
      </c>
      <c r="C41" s="20"/>
      <c r="D41" s="10"/>
      <c r="E41" s="23" t="e">
        <f>#REF!</f>
        <v>#REF!</v>
      </c>
      <c r="F41" s="40" t="e">
        <f>#REF!</f>
        <v>#REF!</v>
      </c>
      <c r="G41" s="40" t="e">
        <f>#REF!</f>
        <v>#REF!</v>
      </c>
      <c r="H41" s="24" t="e">
        <f>#REF!</f>
        <v>#REF!</v>
      </c>
      <c r="I41" s="27" t="e">
        <f>#REF!</f>
        <v>#REF!</v>
      </c>
      <c r="J41" s="40" t="e">
        <f>#REF!</f>
        <v>#REF!</v>
      </c>
      <c r="K41" s="40" t="e">
        <f>#REF!</f>
        <v>#REF!</v>
      </c>
      <c r="L41" s="69" t="e">
        <f>#REF!</f>
        <v>#REF!</v>
      </c>
      <c r="M41" s="23" t="e">
        <f>#REF!</f>
        <v>#REF!</v>
      </c>
      <c r="N41" s="40" t="e">
        <f>#REF!</f>
        <v>#REF!</v>
      </c>
      <c r="O41" s="40" t="e">
        <f>#REF!</f>
        <v>#REF!</v>
      </c>
      <c r="P41" s="24" t="e">
        <f>#REF!</f>
        <v>#REF!</v>
      </c>
      <c r="Q41" s="27" t="e">
        <f>#REF!+#REF!</f>
        <v>#REF!</v>
      </c>
      <c r="R41" s="27" t="e">
        <f>((IF(#REF!=0,#REF!,#REF!))+(IF(#REF!=0,#REF!,#REF!)))/2</f>
        <v>#REF!</v>
      </c>
      <c r="S41" s="27" t="e">
        <f>((IF(#REF!=0,#REF!,#REF!))+(IF(#REF!=0,#REF!,#REF!)))/2</f>
        <v>#REF!</v>
      </c>
      <c r="T41" s="87" t="e">
        <f>((IF(#REF!=0,#REF!,#REF!))+(IF(#REF!=0,#REF!,#REF!)))/2</f>
        <v>#REF!</v>
      </c>
      <c r="U41" s="23" t="e">
        <f>#REF!</f>
        <v>#REF!</v>
      </c>
      <c r="V41" s="40" t="e">
        <f>#REF!</f>
        <v>#REF!</v>
      </c>
      <c r="W41" s="40" t="e">
        <f>#REF!</f>
        <v>#REF!</v>
      </c>
      <c r="X41" s="24" t="e">
        <f>#REF!</f>
        <v>#REF!</v>
      </c>
    </row>
    <row r="42" spans="2:24" ht="24.9" customHeight="1" x14ac:dyDescent="0.3">
      <c r="B42" s="131">
        <v>23</v>
      </c>
      <c r="C42" s="20"/>
      <c r="D42" s="10"/>
      <c r="E42" s="23" t="e">
        <f>#REF!</f>
        <v>#REF!</v>
      </c>
      <c r="F42" s="40" t="e">
        <f>#REF!</f>
        <v>#REF!</v>
      </c>
      <c r="G42" s="40" t="e">
        <f>#REF!</f>
        <v>#REF!</v>
      </c>
      <c r="H42" s="24" t="e">
        <f>#REF!</f>
        <v>#REF!</v>
      </c>
      <c r="I42" s="27" t="e">
        <f>#REF!</f>
        <v>#REF!</v>
      </c>
      <c r="J42" s="40" t="e">
        <f>#REF!</f>
        <v>#REF!</v>
      </c>
      <c r="K42" s="40" t="e">
        <f>#REF!</f>
        <v>#REF!</v>
      </c>
      <c r="L42" s="69" t="e">
        <f>#REF!</f>
        <v>#REF!</v>
      </c>
      <c r="M42" s="23" t="e">
        <f>#REF!</f>
        <v>#REF!</v>
      </c>
      <c r="N42" s="40" t="e">
        <f>#REF!</f>
        <v>#REF!</v>
      </c>
      <c r="O42" s="40" t="e">
        <f>#REF!</f>
        <v>#REF!</v>
      </c>
      <c r="P42" s="24" t="e">
        <f>#REF!</f>
        <v>#REF!</v>
      </c>
      <c r="Q42" s="27" t="e">
        <f>#REF!+#REF!</f>
        <v>#REF!</v>
      </c>
      <c r="R42" s="27" t="e">
        <f>((IF(#REF!=0,#REF!,#REF!))+(IF(#REF!=0,#REF!,#REF!)))/2</f>
        <v>#REF!</v>
      </c>
      <c r="S42" s="27" t="e">
        <f>((IF(#REF!=0,#REF!,#REF!))+(IF(#REF!=0,#REF!,#REF!)))/2</f>
        <v>#REF!</v>
      </c>
      <c r="T42" s="87" t="e">
        <f>((IF(#REF!=0,#REF!,#REF!))+(IF(#REF!=0,#REF!,#REF!)))/2</f>
        <v>#REF!</v>
      </c>
      <c r="U42" s="23" t="e">
        <f>#REF!</f>
        <v>#REF!</v>
      </c>
      <c r="V42" s="40" t="e">
        <f>#REF!</f>
        <v>#REF!</v>
      </c>
      <c r="W42" s="40" t="e">
        <f>#REF!</f>
        <v>#REF!</v>
      </c>
      <c r="X42" s="24" t="e">
        <f>#REF!</f>
        <v>#REF!</v>
      </c>
    </row>
    <row r="43" spans="2:24" ht="24.9" customHeight="1" x14ac:dyDescent="0.3">
      <c r="B43" s="131">
        <v>24</v>
      </c>
      <c r="C43" s="20"/>
      <c r="D43" s="10"/>
      <c r="E43" s="23" t="e">
        <f>#REF!</f>
        <v>#REF!</v>
      </c>
      <c r="F43" s="40" t="e">
        <f>#REF!</f>
        <v>#REF!</v>
      </c>
      <c r="G43" s="40" t="e">
        <f>#REF!</f>
        <v>#REF!</v>
      </c>
      <c r="H43" s="24" t="e">
        <f>#REF!</f>
        <v>#REF!</v>
      </c>
      <c r="I43" s="27" t="e">
        <f>#REF!</f>
        <v>#REF!</v>
      </c>
      <c r="J43" s="40" t="e">
        <f>#REF!</f>
        <v>#REF!</v>
      </c>
      <c r="K43" s="40" t="e">
        <f>#REF!</f>
        <v>#REF!</v>
      </c>
      <c r="L43" s="69" t="e">
        <f>#REF!</f>
        <v>#REF!</v>
      </c>
      <c r="M43" s="23" t="e">
        <f>#REF!</f>
        <v>#REF!</v>
      </c>
      <c r="N43" s="40" t="e">
        <f>#REF!</f>
        <v>#REF!</v>
      </c>
      <c r="O43" s="40" t="e">
        <f>#REF!</f>
        <v>#REF!</v>
      </c>
      <c r="P43" s="24" t="e">
        <f>#REF!</f>
        <v>#REF!</v>
      </c>
      <c r="Q43" s="27" t="e">
        <f>#REF!+#REF!</f>
        <v>#REF!</v>
      </c>
      <c r="R43" s="27" t="e">
        <f>((IF(#REF!=0,#REF!,#REF!))+(IF(#REF!=0,#REF!,#REF!)))/2</f>
        <v>#REF!</v>
      </c>
      <c r="S43" s="27" t="e">
        <f>((IF(#REF!=0,#REF!,#REF!))+(IF(#REF!=0,#REF!,#REF!)))/2</f>
        <v>#REF!</v>
      </c>
      <c r="T43" s="87" t="e">
        <f>((IF(#REF!=0,#REF!,#REF!))+(IF(#REF!=0,#REF!,#REF!)))/2</f>
        <v>#REF!</v>
      </c>
      <c r="U43" s="23" t="e">
        <f>#REF!</f>
        <v>#REF!</v>
      </c>
      <c r="V43" s="40" t="e">
        <f>#REF!</f>
        <v>#REF!</v>
      </c>
      <c r="W43" s="40" t="e">
        <f>#REF!</f>
        <v>#REF!</v>
      </c>
      <c r="X43" s="24" t="e">
        <f>#REF!</f>
        <v>#REF!</v>
      </c>
    </row>
    <row r="44" spans="2:24" ht="24.9" customHeight="1" thickBot="1" x14ac:dyDescent="0.35">
      <c r="B44" s="132">
        <v>25</v>
      </c>
      <c r="C44" s="135"/>
      <c r="D44" s="136"/>
      <c r="E44" s="137" t="e">
        <f>#REF!</f>
        <v>#REF!</v>
      </c>
      <c r="F44" s="173" t="e">
        <f>#REF!</f>
        <v>#REF!</v>
      </c>
      <c r="G44" s="173" t="e">
        <f>#REF!</f>
        <v>#REF!</v>
      </c>
      <c r="H44" s="179" t="e">
        <f>#REF!</f>
        <v>#REF!</v>
      </c>
      <c r="I44" s="174" t="e">
        <f>#REF!</f>
        <v>#REF!</v>
      </c>
      <c r="J44" s="173" t="e">
        <f>#REF!</f>
        <v>#REF!</v>
      </c>
      <c r="K44" s="173" t="e">
        <f>#REF!</f>
        <v>#REF!</v>
      </c>
      <c r="L44" s="180" t="e">
        <f>#REF!</f>
        <v>#REF!</v>
      </c>
      <c r="M44" s="137" t="e">
        <f>#REF!</f>
        <v>#REF!</v>
      </c>
      <c r="N44" s="173" t="e">
        <f>#REF!</f>
        <v>#REF!</v>
      </c>
      <c r="O44" s="173" t="e">
        <f>#REF!</f>
        <v>#REF!</v>
      </c>
      <c r="P44" s="179" t="e">
        <f>#REF!</f>
        <v>#REF!</v>
      </c>
      <c r="Q44" s="174" t="e">
        <f>#REF!+#REF!</f>
        <v>#REF!</v>
      </c>
      <c r="R44" s="174" t="e">
        <f>((IF(#REF!=0,#REF!,#REF!))+(IF(#REF!=0,#REF!,#REF!)))/2</f>
        <v>#REF!</v>
      </c>
      <c r="S44" s="174" t="e">
        <f>((IF(#REF!=0,#REF!,#REF!))+(IF(#REF!=0,#REF!,#REF!)))/2</f>
        <v>#REF!</v>
      </c>
      <c r="T44" s="182" t="e">
        <f>((IF(#REF!=0,#REF!,#REF!))+(IF(#REF!=0,#REF!,#REF!)))/2</f>
        <v>#REF!</v>
      </c>
      <c r="U44" s="137" t="e">
        <f>#REF!</f>
        <v>#REF!</v>
      </c>
      <c r="V44" s="173" t="e">
        <f>#REF!</f>
        <v>#REF!</v>
      </c>
      <c r="W44" s="173" t="e">
        <f>#REF!</f>
        <v>#REF!</v>
      </c>
      <c r="X44" s="179" t="e">
        <f>#REF!</f>
        <v>#REF!</v>
      </c>
    </row>
    <row r="45" spans="2:24" ht="24.9" customHeight="1" x14ac:dyDescent="0.3">
      <c r="B45" s="196" t="s">
        <v>163</v>
      </c>
      <c r="C45" s="197"/>
      <c r="D45" s="198"/>
      <c r="E45" s="175" t="e">
        <f>#REF!</f>
        <v>#REF!</v>
      </c>
      <c r="F45" s="176" t="e">
        <f>#REF!</f>
        <v>#REF!</v>
      </c>
      <c r="G45" s="176" t="e">
        <f>#REF!</f>
        <v>#REF!</v>
      </c>
      <c r="H45" s="178" t="e">
        <f>#REF!</f>
        <v>#REF!</v>
      </c>
      <c r="I45" s="177" t="e">
        <f>#REF!</f>
        <v>#REF!</v>
      </c>
      <c r="J45" s="176" t="e">
        <f>#REF!</f>
        <v>#REF!</v>
      </c>
      <c r="K45" s="176" t="e">
        <f>#REF!</f>
        <v>#REF!</v>
      </c>
      <c r="L45" s="181" t="e">
        <f>#REF!</f>
        <v>#REF!</v>
      </c>
      <c r="M45" s="175" t="e">
        <f>#REF!</f>
        <v>#REF!</v>
      </c>
      <c r="N45" s="176" t="e">
        <f>#REF!</f>
        <v>#REF!</v>
      </c>
      <c r="O45" s="176" t="e">
        <f>#REF!</f>
        <v>#REF!</v>
      </c>
      <c r="P45" s="178" t="e">
        <f>#REF!</f>
        <v>#REF!</v>
      </c>
      <c r="Q45" s="177" t="e">
        <f>#REF!+#REF!</f>
        <v>#REF!</v>
      </c>
      <c r="R45" s="177" t="e">
        <f>((IF(#REF!=0,#REF!,#REF!))+(IF(#REF!=0,#REF!,#REF!)))/2</f>
        <v>#REF!</v>
      </c>
      <c r="S45" s="177" t="e">
        <f>((IF(#REF!=0,#REF!,#REF!))+(IF(#REF!=0,#REF!,#REF!)))/2</f>
        <v>#REF!</v>
      </c>
      <c r="T45" s="183" t="e">
        <f>((IF(#REF!=0,#REF!,#REF!))+(IF(#REF!=0,#REF!,#REF!)))/2</f>
        <v>#REF!</v>
      </c>
      <c r="U45" s="175" t="e">
        <f>#REF!</f>
        <v>#REF!</v>
      </c>
      <c r="V45" s="176" t="e">
        <f>#REF!</f>
        <v>#REF!</v>
      </c>
      <c r="W45" s="176" t="e">
        <f>#REF!</f>
        <v>#REF!</v>
      </c>
      <c r="X45" s="178" t="e">
        <f>#REF!</f>
        <v>#REF!</v>
      </c>
    </row>
    <row r="46" spans="2:24" ht="24.9" customHeight="1" thickBot="1" x14ac:dyDescent="0.35">
      <c r="B46" s="199" t="s">
        <v>164</v>
      </c>
      <c r="C46" s="200"/>
      <c r="D46" s="201"/>
      <c r="E46" s="184" t="e">
        <f>#REF!</f>
        <v>#REF!</v>
      </c>
      <c r="F46" s="185" t="e">
        <f>#REF!</f>
        <v>#REF!</v>
      </c>
      <c r="G46" s="185" t="e">
        <f>#REF!</f>
        <v>#REF!</v>
      </c>
      <c r="H46" s="186" t="e">
        <f>#REF!</f>
        <v>#REF!</v>
      </c>
      <c r="I46" s="187" t="e">
        <f>#REF!</f>
        <v>#REF!</v>
      </c>
      <c r="J46" s="185" t="e">
        <f>#REF!</f>
        <v>#REF!</v>
      </c>
      <c r="K46" s="185" t="e">
        <f>#REF!</f>
        <v>#REF!</v>
      </c>
      <c r="L46" s="188" t="e">
        <f>#REF!</f>
        <v>#REF!</v>
      </c>
      <c r="M46" s="184" t="e">
        <f>#REF!</f>
        <v>#REF!</v>
      </c>
      <c r="N46" s="185" t="e">
        <f>#REF!</f>
        <v>#REF!</v>
      </c>
      <c r="O46" s="185" t="e">
        <f>#REF!</f>
        <v>#REF!</v>
      </c>
      <c r="P46" s="186" t="e">
        <f>#REF!</f>
        <v>#REF!</v>
      </c>
      <c r="Q46" s="187" t="e">
        <f>#REF!+#REF!</f>
        <v>#REF!</v>
      </c>
      <c r="R46" s="187" t="e">
        <f>((IF(#REF!=0,#REF!,#REF!))+(IF(#REF!=0,#REF!,#REF!)))/2</f>
        <v>#REF!</v>
      </c>
      <c r="S46" s="187" t="e">
        <f>((IF(#REF!=0,#REF!,#REF!))+(IF(#REF!=0,#REF!,#REF!)))/2</f>
        <v>#REF!</v>
      </c>
      <c r="T46" s="189" t="e">
        <f>((IF(#REF!=0,#REF!,#REF!))+(IF(#REF!=0,#REF!,#REF!)))/2</f>
        <v>#REF!</v>
      </c>
      <c r="U46" s="184" t="e">
        <f>#REF!</f>
        <v>#REF!</v>
      </c>
      <c r="V46" s="185" t="e">
        <f>#REF!</f>
        <v>#REF!</v>
      </c>
      <c r="W46" s="185" t="e">
        <f>#REF!</f>
        <v>#REF!</v>
      </c>
      <c r="X46" s="186" t="e">
        <f>#REF!</f>
        <v>#REF!</v>
      </c>
    </row>
    <row r="47" spans="2:24" ht="24.9" customHeight="1" x14ac:dyDescent="0.3"/>
    <row r="48" spans="2:24" ht="24.9" customHeight="1" x14ac:dyDescent="0.3"/>
    <row r="54" spans="3:3" x14ac:dyDescent="0.3">
      <c r="C54" s="55"/>
    </row>
    <row r="55" spans="3:3" x14ac:dyDescent="0.3">
      <c r="C55" s="55"/>
    </row>
    <row r="56" spans="3:3" x14ac:dyDescent="0.3">
      <c r="C56" s="55"/>
    </row>
    <row r="57" spans="3:3" x14ac:dyDescent="0.3">
      <c r="C57" s="55"/>
    </row>
    <row r="58" spans="3:3" x14ac:dyDescent="0.3">
      <c r="C58" s="55"/>
    </row>
    <row r="59" spans="3:3" x14ac:dyDescent="0.3">
      <c r="C59" s="55"/>
    </row>
    <row r="60" spans="3:3" x14ac:dyDescent="0.3">
      <c r="C60" s="55"/>
    </row>
    <row r="61" spans="3:3" x14ac:dyDescent="0.3">
      <c r="C61" s="55"/>
    </row>
    <row r="62" spans="3:3" x14ac:dyDescent="0.3">
      <c r="C62" s="55"/>
    </row>
    <row r="63" spans="3:3" x14ac:dyDescent="0.3">
      <c r="C63" s="55"/>
    </row>
    <row r="66" spans="3:3" x14ac:dyDescent="0.3">
      <c r="C66" s="55"/>
    </row>
  </sheetData>
  <mergeCells count="8">
    <mergeCell ref="B45:D45"/>
    <mergeCell ref="B46:D46"/>
    <mergeCell ref="U18:X18"/>
    <mergeCell ref="C18:D18"/>
    <mergeCell ref="E18:H18"/>
    <mergeCell ref="I18:L18"/>
    <mergeCell ref="M18:P18"/>
    <mergeCell ref="Q18:T18"/>
  </mergeCells>
  <pageMargins left="0.23622047244094491" right="0.23622047244094491" top="0.55118110236220474" bottom="0.55118110236220474" header="0" footer="0"/>
  <pageSetup paperSize="9" scale="61" fitToHeight="0" orientation="landscape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6:Z66"/>
  <sheetViews>
    <sheetView showZeros="0" topLeftCell="A16" zoomScale="70" zoomScaleNormal="70" workbookViewId="0">
      <selection activeCell="C20" sqref="C20:Z35"/>
    </sheetView>
  </sheetViews>
  <sheetFormatPr defaultRowHeight="14.4" x14ac:dyDescent="0.3"/>
  <cols>
    <col min="4" max="4" width="11.44140625" customWidth="1"/>
    <col min="7" max="7" width="9" customWidth="1"/>
    <col min="20" max="26" width="9.88671875" bestFit="1" customWidth="1"/>
  </cols>
  <sheetData>
    <row r="16" spans="2:23" ht="24.9" customHeight="1" x14ac:dyDescent="0.3">
      <c r="B16" s="127" t="s">
        <v>137</v>
      </c>
      <c r="C16" s="45"/>
      <c r="D16" s="45"/>
      <c r="E16" s="45"/>
      <c r="F16" s="45"/>
      <c r="G16" s="45"/>
      <c r="H16" s="45"/>
      <c r="I16" s="45"/>
      <c r="J16" s="45"/>
      <c r="K16" s="45"/>
      <c r="L16" s="45"/>
      <c r="M16" s="45"/>
      <c r="N16" s="45"/>
      <c r="O16" s="45"/>
      <c r="P16" s="45"/>
      <c r="Q16" s="45"/>
      <c r="R16" s="128"/>
      <c r="S16" s="45"/>
      <c r="T16" s="128"/>
      <c r="U16" s="45"/>
      <c r="V16" s="45"/>
      <c r="W16" s="45"/>
    </row>
    <row r="17" spans="2:26" ht="24.9" customHeight="1" thickBot="1" x14ac:dyDescent="0.3"/>
    <row r="18" spans="2:26" ht="24.9" customHeight="1" thickTop="1" thickBot="1" x14ac:dyDescent="0.35">
      <c r="B18" s="1" t="s">
        <v>0</v>
      </c>
      <c r="C18" s="202" t="s">
        <v>1</v>
      </c>
      <c r="D18" s="195"/>
      <c r="E18" s="235" t="s">
        <v>43</v>
      </c>
      <c r="F18" s="233"/>
      <c r="G18" s="233"/>
      <c r="H18" s="233"/>
      <c r="I18" s="233"/>
      <c r="J18" s="233"/>
      <c r="K18" s="230" t="s">
        <v>138</v>
      </c>
      <c r="L18" s="231"/>
      <c r="M18" s="231"/>
      <c r="N18" s="231"/>
      <c r="O18" s="231"/>
      <c r="P18" s="232"/>
      <c r="Q18" s="230" t="s">
        <v>139</v>
      </c>
      <c r="R18" s="231"/>
      <c r="S18" s="231"/>
      <c r="T18" s="231"/>
      <c r="U18" s="231"/>
      <c r="V18" s="232"/>
      <c r="W18" s="233" t="s">
        <v>19</v>
      </c>
      <c r="X18" s="233"/>
      <c r="Y18" s="233"/>
      <c r="Z18" s="234"/>
    </row>
    <row r="19" spans="2:26" ht="24.9" customHeight="1" thickBot="1" x14ac:dyDescent="0.35">
      <c r="B19" s="31" t="s">
        <v>2</v>
      </c>
      <c r="C19" s="25" t="s">
        <v>3</v>
      </c>
      <c r="D19" s="68" t="s">
        <v>47</v>
      </c>
      <c r="E19" s="53" t="s">
        <v>5</v>
      </c>
      <c r="F19" s="50" t="s">
        <v>6</v>
      </c>
      <c r="G19" s="50" t="s">
        <v>7</v>
      </c>
      <c r="H19" s="50" t="s">
        <v>23</v>
      </c>
      <c r="I19" s="51" t="s">
        <v>8</v>
      </c>
      <c r="J19" s="54" t="s">
        <v>9</v>
      </c>
      <c r="K19" s="53" t="s">
        <v>5</v>
      </c>
      <c r="L19" s="50" t="s">
        <v>6</v>
      </c>
      <c r="M19" s="50" t="s">
        <v>7</v>
      </c>
      <c r="N19" s="50" t="s">
        <v>23</v>
      </c>
      <c r="O19" s="51" t="s">
        <v>8</v>
      </c>
      <c r="P19" s="52" t="s">
        <v>9</v>
      </c>
      <c r="Q19" s="53" t="s">
        <v>5</v>
      </c>
      <c r="R19" s="50" t="s">
        <v>6</v>
      </c>
      <c r="S19" s="50" t="s">
        <v>7</v>
      </c>
      <c r="T19" s="50" t="s">
        <v>23</v>
      </c>
      <c r="U19" s="51" t="s">
        <v>8</v>
      </c>
      <c r="V19" s="52" t="s">
        <v>9</v>
      </c>
      <c r="W19" s="49" t="s">
        <v>10</v>
      </c>
      <c r="X19" s="50" t="s">
        <v>23</v>
      </c>
      <c r="Y19" s="51" t="s">
        <v>8</v>
      </c>
      <c r="Z19" s="52" t="s">
        <v>9</v>
      </c>
    </row>
    <row r="20" spans="2:26" ht="24.9" customHeight="1" x14ac:dyDescent="0.3">
      <c r="B20" s="129">
        <v>1</v>
      </c>
      <c r="C20" s="27">
        <v>692</v>
      </c>
      <c r="D20" s="69" t="s">
        <v>49</v>
      </c>
      <c r="E20" s="130" t="e">
        <f>#REF!</f>
        <v>#REF!</v>
      </c>
      <c r="F20" s="7" t="e">
        <f>#REF!</f>
        <v>#REF!</v>
      </c>
      <c r="G20" s="7" t="e">
        <f>#REF!</f>
        <v>#REF!</v>
      </c>
      <c r="H20" s="7" t="e">
        <f>#REF!</f>
        <v>#REF!</v>
      </c>
      <c r="I20" s="7" t="e">
        <f>#REF!</f>
        <v>#REF!</v>
      </c>
      <c r="J20" s="8" t="e">
        <f>#REF!</f>
        <v>#REF!</v>
      </c>
      <c r="K20" s="130" t="e">
        <f>#REF!</f>
        <v>#REF!</v>
      </c>
      <c r="L20" s="7" t="e">
        <f>#REF!</f>
        <v>#REF!</v>
      </c>
      <c r="M20" s="7" t="e">
        <f>#REF!</f>
        <v>#REF!</v>
      </c>
      <c r="N20" s="7" t="e">
        <f>#REF!</f>
        <v>#REF!</v>
      </c>
      <c r="O20" s="7" t="e">
        <f>#REF!</f>
        <v>#REF!</v>
      </c>
      <c r="P20" s="8" t="e">
        <f>#REF!</f>
        <v>#REF!</v>
      </c>
      <c r="Q20" s="130" t="e">
        <f>#REF!</f>
        <v>#REF!</v>
      </c>
      <c r="R20" s="7" t="e">
        <f>#REF!</f>
        <v>#REF!</v>
      </c>
      <c r="S20" s="7" t="e">
        <f>#REF!</f>
        <v>#REF!</v>
      </c>
      <c r="T20" s="7" t="e">
        <f>#REF!</f>
        <v>#REF!</v>
      </c>
      <c r="U20" s="7" t="e">
        <f>#REF!</f>
        <v>#REF!</v>
      </c>
      <c r="V20" s="8" t="e">
        <f>#REF!</f>
        <v>#REF!</v>
      </c>
      <c r="W20" s="130" t="e">
        <f>#REF!</f>
        <v>#REF!</v>
      </c>
      <c r="X20" s="7" t="e">
        <f>#REF!</f>
        <v>#REF!</v>
      </c>
      <c r="Y20" s="7" t="e">
        <f>#REF!</f>
        <v>#REF!</v>
      </c>
      <c r="Z20" s="8" t="e">
        <f>#REF!</f>
        <v>#REF!</v>
      </c>
    </row>
    <row r="21" spans="2:26" ht="24.9" customHeight="1" x14ac:dyDescent="0.3">
      <c r="B21" s="131">
        <v>2</v>
      </c>
      <c r="C21" s="28">
        <v>693</v>
      </c>
      <c r="D21" s="37" t="s">
        <v>50</v>
      </c>
      <c r="E21" s="20" t="e">
        <f>#REF!</f>
        <v>#REF!</v>
      </c>
      <c r="F21" s="3" t="e">
        <f>#REF!</f>
        <v>#REF!</v>
      </c>
      <c r="G21" s="3" t="e">
        <f>#REF!</f>
        <v>#REF!</v>
      </c>
      <c r="H21" s="3" t="e">
        <f>#REF!</f>
        <v>#REF!</v>
      </c>
      <c r="I21" s="3" t="e">
        <f>#REF!</f>
        <v>#REF!</v>
      </c>
      <c r="J21" s="10" t="e">
        <f>#REF!</f>
        <v>#REF!</v>
      </c>
      <c r="K21" s="20" t="e">
        <f>#REF!</f>
        <v>#REF!</v>
      </c>
      <c r="L21" s="3" t="e">
        <f>#REF!</f>
        <v>#REF!</v>
      </c>
      <c r="M21" s="3" t="e">
        <f>#REF!</f>
        <v>#REF!</v>
      </c>
      <c r="N21" s="3" t="e">
        <f>#REF!</f>
        <v>#REF!</v>
      </c>
      <c r="O21" s="3" t="e">
        <f>#REF!</f>
        <v>#REF!</v>
      </c>
      <c r="P21" s="10" t="e">
        <f>#REF!</f>
        <v>#REF!</v>
      </c>
      <c r="Q21" s="20" t="e">
        <f>#REF!</f>
        <v>#REF!</v>
      </c>
      <c r="R21" s="3" t="e">
        <f>#REF!</f>
        <v>#REF!</v>
      </c>
      <c r="S21" s="3" t="e">
        <f>#REF!</f>
        <v>#REF!</v>
      </c>
      <c r="T21" s="3" t="e">
        <f>#REF!</f>
        <v>#REF!</v>
      </c>
      <c r="U21" s="3" t="e">
        <f>#REF!</f>
        <v>#REF!</v>
      </c>
      <c r="V21" s="10" t="e">
        <f>#REF!</f>
        <v>#REF!</v>
      </c>
      <c r="W21" s="20" t="e">
        <f>#REF!</f>
        <v>#REF!</v>
      </c>
      <c r="X21" s="3" t="e">
        <f>#REF!</f>
        <v>#REF!</v>
      </c>
      <c r="Y21" s="3" t="e">
        <f>#REF!</f>
        <v>#REF!</v>
      </c>
      <c r="Z21" s="10" t="e">
        <f>#REF!</f>
        <v>#REF!</v>
      </c>
    </row>
    <row r="22" spans="2:26" ht="24.9" customHeight="1" x14ac:dyDescent="0.3">
      <c r="B22" s="131">
        <v>3</v>
      </c>
      <c r="C22" s="28">
        <v>694</v>
      </c>
      <c r="D22" s="37" t="s">
        <v>51</v>
      </c>
      <c r="E22" s="20" t="e">
        <f>#REF!</f>
        <v>#REF!</v>
      </c>
      <c r="F22" s="3" t="e">
        <f>#REF!</f>
        <v>#REF!</v>
      </c>
      <c r="G22" s="3" t="e">
        <f>#REF!</f>
        <v>#REF!</v>
      </c>
      <c r="H22" s="3" t="e">
        <f>#REF!</f>
        <v>#REF!</v>
      </c>
      <c r="I22" s="3" t="e">
        <f>#REF!</f>
        <v>#REF!</v>
      </c>
      <c r="J22" s="10" t="e">
        <f>#REF!</f>
        <v>#REF!</v>
      </c>
      <c r="K22" s="20" t="e">
        <f>#REF!</f>
        <v>#REF!</v>
      </c>
      <c r="L22" s="3" t="e">
        <f>#REF!</f>
        <v>#REF!</v>
      </c>
      <c r="M22" s="3" t="e">
        <f>#REF!</f>
        <v>#REF!</v>
      </c>
      <c r="N22" s="3" t="e">
        <f>#REF!</f>
        <v>#REF!</v>
      </c>
      <c r="O22" s="3" t="e">
        <f>#REF!</f>
        <v>#REF!</v>
      </c>
      <c r="P22" s="10" t="e">
        <f>#REF!</f>
        <v>#REF!</v>
      </c>
      <c r="Q22" s="20" t="e">
        <f>#REF!</f>
        <v>#REF!</v>
      </c>
      <c r="R22" s="3" t="e">
        <f>#REF!</f>
        <v>#REF!</v>
      </c>
      <c r="S22" s="3" t="e">
        <f>#REF!</f>
        <v>#REF!</v>
      </c>
      <c r="T22" s="3" t="e">
        <f>#REF!</f>
        <v>#REF!</v>
      </c>
      <c r="U22" s="3" t="e">
        <f>#REF!</f>
        <v>#REF!</v>
      </c>
      <c r="V22" s="10" t="e">
        <f>#REF!</f>
        <v>#REF!</v>
      </c>
      <c r="W22" s="20" t="e">
        <f>#REF!</f>
        <v>#REF!</v>
      </c>
      <c r="X22" s="3" t="e">
        <f>#REF!</f>
        <v>#REF!</v>
      </c>
      <c r="Y22" s="3" t="e">
        <f>#REF!</f>
        <v>#REF!</v>
      </c>
      <c r="Z22" s="10" t="e">
        <f>#REF!</f>
        <v>#REF!</v>
      </c>
    </row>
    <row r="23" spans="2:26" ht="24.9" customHeight="1" x14ac:dyDescent="0.3">
      <c r="B23" s="131">
        <v>4</v>
      </c>
      <c r="C23" s="28">
        <v>695</v>
      </c>
      <c r="D23" s="37" t="s">
        <v>52</v>
      </c>
      <c r="E23" s="20" t="e">
        <f>#REF!</f>
        <v>#REF!</v>
      </c>
      <c r="F23" s="3" t="e">
        <f>#REF!</f>
        <v>#REF!</v>
      </c>
      <c r="G23" s="3" t="e">
        <f>#REF!</f>
        <v>#REF!</v>
      </c>
      <c r="H23" s="3" t="e">
        <f>#REF!</f>
        <v>#REF!</v>
      </c>
      <c r="I23" s="3" t="e">
        <f>#REF!</f>
        <v>#REF!</v>
      </c>
      <c r="J23" s="10" t="e">
        <f>#REF!</f>
        <v>#REF!</v>
      </c>
      <c r="K23" s="20" t="e">
        <f>#REF!</f>
        <v>#REF!</v>
      </c>
      <c r="L23" s="3" t="e">
        <f>#REF!</f>
        <v>#REF!</v>
      </c>
      <c r="M23" s="3" t="e">
        <f>#REF!</f>
        <v>#REF!</v>
      </c>
      <c r="N23" s="3" t="e">
        <f>#REF!</f>
        <v>#REF!</v>
      </c>
      <c r="O23" s="3" t="e">
        <f>#REF!</f>
        <v>#REF!</v>
      </c>
      <c r="P23" s="10" t="e">
        <f>#REF!</f>
        <v>#REF!</v>
      </c>
      <c r="Q23" s="20" t="e">
        <f>#REF!</f>
        <v>#REF!</v>
      </c>
      <c r="R23" s="3" t="e">
        <f>#REF!</f>
        <v>#REF!</v>
      </c>
      <c r="S23" s="3" t="e">
        <f>#REF!</f>
        <v>#REF!</v>
      </c>
      <c r="T23" s="3" t="e">
        <f>#REF!</f>
        <v>#REF!</v>
      </c>
      <c r="U23" s="3" t="e">
        <f>#REF!</f>
        <v>#REF!</v>
      </c>
      <c r="V23" s="10" t="e">
        <f>#REF!</f>
        <v>#REF!</v>
      </c>
      <c r="W23" s="20" t="e">
        <f>#REF!</f>
        <v>#REF!</v>
      </c>
      <c r="X23" s="3" t="e">
        <f>#REF!</f>
        <v>#REF!</v>
      </c>
      <c r="Y23" s="3" t="e">
        <f>#REF!</f>
        <v>#REF!</v>
      </c>
      <c r="Z23" s="10" t="e">
        <f>#REF!</f>
        <v>#REF!</v>
      </c>
    </row>
    <row r="24" spans="2:26" ht="24.9" customHeight="1" x14ac:dyDescent="0.3">
      <c r="B24" s="131">
        <v>5</v>
      </c>
      <c r="C24" s="28">
        <v>696</v>
      </c>
      <c r="D24" s="37" t="s">
        <v>53</v>
      </c>
      <c r="E24" s="20" t="e">
        <f>#REF!</f>
        <v>#REF!</v>
      </c>
      <c r="F24" s="3" t="e">
        <f>#REF!</f>
        <v>#REF!</v>
      </c>
      <c r="G24" s="3" t="e">
        <f>#REF!</f>
        <v>#REF!</v>
      </c>
      <c r="H24" s="3" t="e">
        <f>#REF!</f>
        <v>#REF!</v>
      </c>
      <c r="I24" s="3" t="e">
        <f>#REF!</f>
        <v>#REF!</v>
      </c>
      <c r="J24" s="10" t="e">
        <f>#REF!</f>
        <v>#REF!</v>
      </c>
      <c r="K24" s="20" t="e">
        <f>#REF!</f>
        <v>#REF!</v>
      </c>
      <c r="L24" s="3" t="e">
        <f>#REF!</f>
        <v>#REF!</v>
      </c>
      <c r="M24" s="3" t="e">
        <f>#REF!</f>
        <v>#REF!</v>
      </c>
      <c r="N24" s="3" t="e">
        <f>#REF!</f>
        <v>#REF!</v>
      </c>
      <c r="O24" s="3" t="e">
        <f>#REF!</f>
        <v>#REF!</v>
      </c>
      <c r="P24" s="10" t="e">
        <f>#REF!</f>
        <v>#REF!</v>
      </c>
      <c r="Q24" s="20" t="e">
        <f>#REF!</f>
        <v>#REF!</v>
      </c>
      <c r="R24" s="3" t="e">
        <f>#REF!</f>
        <v>#REF!</v>
      </c>
      <c r="S24" s="3" t="e">
        <f>#REF!</f>
        <v>#REF!</v>
      </c>
      <c r="T24" s="3" t="e">
        <f>#REF!</f>
        <v>#REF!</v>
      </c>
      <c r="U24" s="3" t="e">
        <f>#REF!</f>
        <v>#REF!</v>
      </c>
      <c r="V24" s="10" t="e">
        <f>#REF!</f>
        <v>#REF!</v>
      </c>
      <c r="W24" s="20" t="e">
        <f>#REF!</f>
        <v>#REF!</v>
      </c>
      <c r="X24" s="3" t="e">
        <f>#REF!</f>
        <v>#REF!</v>
      </c>
      <c r="Y24" s="3" t="e">
        <f>#REF!</f>
        <v>#REF!</v>
      </c>
      <c r="Z24" s="10" t="e">
        <f>#REF!</f>
        <v>#REF!</v>
      </c>
    </row>
    <row r="25" spans="2:26" ht="24.9" customHeight="1" x14ac:dyDescent="0.3">
      <c r="B25" s="131">
        <v>6</v>
      </c>
      <c r="C25" s="28">
        <v>697</v>
      </c>
      <c r="D25" s="37" t="s">
        <v>54</v>
      </c>
      <c r="E25" s="20" t="e">
        <f>#REF!</f>
        <v>#REF!</v>
      </c>
      <c r="F25" s="3" t="e">
        <f>#REF!</f>
        <v>#REF!</v>
      </c>
      <c r="G25" s="3" t="e">
        <f>#REF!</f>
        <v>#REF!</v>
      </c>
      <c r="H25" s="3" t="e">
        <f>#REF!</f>
        <v>#REF!</v>
      </c>
      <c r="I25" s="3" t="e">
        <f>#REF!</f>
        <v>#REF!</v>
      </c>
      <c r="J25" s="10" t="e">
        <f>#REF!</f>
        <v>#REF!</v>
      </c>
      <c r="K25" s="20" t="e">
        <f>#REF!</f>
        <v>#REF!</v>
      </c>
      <c r="L25" s="3" t="e">
        <f>#REF!</f>
        <v>#REF!</v>
      </c>
      <c r="M25" s="3" t="e">
        <f>#REF!</f>
        <v>#REF!</v>
      </c>
      <c r="N25" s="3" t="e">
        <f>#REF!</f>
        <v>#REF!</v>
      </c>
      <c r="O25" s="3" t="e">
        <f>#REF!</f>
        <v>#REF!</v>
      </c>
      <c r="P25" s="10" t="e">
        <f>#REF!</f>
        <v>#REF!</v>
      </c>
      <c r="Q25" s="20" t="e">
        <f>#REF!</f>
        <v>#REF!</v>
      </c>
      <c r="R25" s="3" t="e">
        <f>#REF!</f>
        <v>#REF!</v>
      </c>
      <c r="S25" s="3" t="e">
        <f>#REF!</f>
        <v>#REF!</v>
      </c>
      <c r="T25" s="3" t="e">
        <f>#REF!</f>
        <v>#REF!</v>
      </c>
      <c r="U25" s="3" t="e">
        <f>#REF!</f>
        <v>#REF!</v>
      </c>
      <c r="V25" s="10" t="e">
        <f>#REF!</f>
        <v>#REF!</v>
      </c>
      <c r="W25" s="20" t="e">
        <f>#REF!</f>
        <v>#REF!</v>
      </c>
      <c r="X25" s="3" t="e">
        <f>#REF!</f>
        <v>#REF!</v>
      </c>
      <c r="Y25" s="3" t="e">
        <f>#REF!</f>
        <v>#REF!</v>
      </c>
      <c r="Z25" s="10" t="e">
        <f>#REF!</f>
        <v>#REF!</v>
      </c>
    </row>
    <row r="26" spans="2:26" ht="24.9" customHeight="1" x14ac:dyDescent="0.3">
      <c r="B26" s="131">
        <v>7</v>
      </c>
      <c r="C26" s="28">
        <v>698</v>
      </c>
      <c r="D26" s="37" t="s">
        <v>55</v>
      </c>
      <c r="E26" s="20" t="e">
        <f>#REF!</f>
        <v>#REF!</v>
      </c>
      <c r="F26" s="3" t="e">
        <f>#REF!</f>
        <v>#REF!</v>
      </c>
      <c r="G26" s="3" t="e">
        <f>#REF!</f>
        <v>#REF!</v>
      </c>
      <c r="H26" s="3" t="e">
        <f>#REF!</f>
        <v>#REF!</v>
      </c>
      <c r="I26" s="3" t="e">
        <f>#REF!</f>
        <v>#REF!</v>
      </c>
      <c r="J26" s="10" t="e">
        <f>#REF!</f>
        <v>#REF!</v>
      </c>
      <c r="K26" s="20" t="e">
        <f>#REF!</f>
        <v>#REF!</v>
      </c>
      <c r="L26" s="3" t="e">
        <f>#REF!</f>
        <v>#REF!</v>
      </c>
      <c r="M26" s="3" t="e">
        <f>#REF!</f>
        <v>#REF!</v>
      </c>
      <c r="N26" s="3" t="e">
        <f>#REF!</f>
        <v>#REF!</v>
      </c>
      <c r="O26" s="3" t="e">
        <f>#REF!</f>
        <v>#REF!</v>
      </c>
      <c r="P26" s="10" t="e">
        <f>#REF!</f>
        <v>#REF!</v>
      </c>
      <c r="Q26" s="20" t="e">
        <f>#REF!</f>
        <v>#REF!</v>
      </c>
      <c r="R26" s="3" t="e">
        <f>#REF!</f>
        <v>#REF!</v>
      </c>
      <c r="S26" s="3" t="e">
        <f>#REF!</f>
        <v>#REF!</v>
      </c>
      <c r="T26" s="3" t="e">
        <f>#REF!</f>
        <v>#REF!</v>
      </c>
      <c r="U26" s="3" t="e">
        <f>#REF!</f>
        <v>#REF!</v>
      </c>
      <c r="V26" s="10" t="e">
        <f>#REF!</f>
        <v>#REF!</v>
      </c>
      <c r="W26" s="20" t="e">
        <f>#REF!</f>
        <v>#REF!</v>
      </c>
      <c r="X26" s="3" t="e">
        <f>#REF!</f>
        <v>#REF!</v>
      </c>
      <c r="Y26" s="3" t="e">
        <f>#REF!</f>
        <v>#REF!</v>
      </c>
      <c r="Z26" s="10" t="e">
        <f>#REF!</f>
        <v>#REF!</v>
      </c>
    </row>
    <row r="27" spans="2:26" ht="24.9" customHeight="1" x14ac:dyDescent="0.3">
      <c r="B27" s="131">
        <v>8</v>
      </c>
      <c r="C27" s="28">
        <v>699</v>
      </c>
      <c r="D27" s="37" t="s">
        <v>56</v>
      </c>
      <c r="E27" s="20" t="e">
        <f>#REF!</f>
        <v>#REF!</v>
      </c>
      <c r="F27" s="3" t="e">
        <f>#REF!</f>
        <v>#REF!</v>
      </c>
      <c r="G27" s="3" t="e">
        <f>#REF!</f>
        <v>#REF!</v>
      </c>
      <c r="H27" s="3" t="e">
        <f>#REF!</f>
        <v>#REF!</v>
      </c>
      <c r="I27" s="3" t="e">
        <f>#REF!</f>
        <v>#REF!</v>
      </c>
      <c r="J27" s="10" t="e">
        <f>#REF!</f>
        <v>#REF!</v>
      </c>
      <c r="K27" s="20" t="e">
        <f>#REF!</f>
        <v>#REF!</v>
      </c>
      <c r="L27" s="3" t="e">
        <f>#REF!</f>
        <v>#REF!</v>
      </c>
      <c r="M27" s="3" t="e">
        <f>#REF!</f>
        <v>#REF!</v>
      </c>
      <c r="N27" s="3" t="e">
        <f>#REF!</f>
        <v>#REF!</v>
      </c>
      <c r="O27" s="3" t="e">
        <f>#REF!</f>
        <v>#REF!</v>
      </c>
      <c r="P27" s="10" t="e">
        <f>#REF!</f>
        <v>#REF!</v>
      </c>
      <c r="Q27" s="20" t="e">
        <f>#REF!</f>
        <v>#REF!</v>
      </c>
      <c r="R27" s="3" t="e">
        <f>#REF!</f>
        <v>#REF!</v>
      </c>
      <c r="S27" s="3" t="e">
        <f>#REF!</f>
        <v>#REF!</v>
      </c>
      <c r="T27" s="3" t="e">
        <f>#REF!</f>
        <v>#REF!</v>
      </c>
      <c r="U27" s="3" t="e">
        <f>#REF!</f>
        <v>#REF!</v>
      </c>
      <c r="V27" s="10" t="e">
        <f>#REF!</f>
        <v>#REF!</v>
      </c>
      <c r="W27" s="20" t="e">
        <f>#REF!</f>
        <v>#REF!</v>
      </c>
      <c r="X27" s="3" t="e">
        <f>#REF!</f>
        <v>#REF!</v>
      </c>
      <c r="Y27" s="3" t="e">
        <f>#REF!</f>
        <v>#REF!</v>
      </c>
      <c r="Z27" s="10" t="e">
        <f>#REF!</f>
        <v>#REF!</v>
      </c>
    </row>
    <row r="28" spans="2:26" ht="24.9" customHeight="1" x14ac:dyDescent="0.3">
      <c r="B28" s="131">
        <v>9</v>
      </c>
      <c r="C28" s="28">
        <v>700</v>
      </c>
      <c r="D28" s="37" t="s">
        <v>57</v>
      </c>
      <c r="E28" s="20" t="e">
        <f>#REF!</f>
        <v>#REF!</v>
      </c>
      <c r="F28" s="3" t="e">
        <f>#REF!</f>
        <v>#REF!</v>
      </c>
      <c r="G28" s="3" t="e">
        <f>#REF!</f>
        <v>#REF!</v>
      </c>
      <c r="H28" s="3" t="e">
        <f>#REF!</f>
        <v>#REF!</v>
      </c>
      <c r="I28" s="3" t="e">
        <f>#REF!</f>
        <v>#REF!</v>
      </c>
      <c r="J28" s="10" t="e">
        <f>#REF!</f>
        <v>#REF!</v>
      </c>
      <c r="K28" s="20" t="e">
        <f>#REF!</f>
        <v>#REF!</v>
      </c>
      <c r="L28" s="3" t="e">
        <f>#REF!</f>
        <v>#REF!</v>
      </c>
      <c r="M28" s="3" t="e">
        <f>#REF!</f>
        <v>#REF!</v>
      </c>
      <c r="N28" s="3" t="e">
        <f>#REF!</f>
        <v>#REF!</v>
      </c>
      <c r="O28" s="3" t="e">
        <f>#REF!</f>
        <v>#REF!</v>
      </c>
      <c r="P28" s="10" t="e">
        <f>#REF!</f>
        <v>#REF!</v>
      </c>
      <c r="Q28" s="20" t="e">
        <f>#REF!</f>
        <v>#REF!</v>
      </c>
      <c r="R28" s="3" t="e">
        <f>#REF!</f>
        <v>#REF!</v>
      </c>
      <c r="S28" s="3" t="e">
        <f>#REF!</f>
        <v>#REF!</v>
      </c>
      <c r="T28" s="3" t="e">
        <f>#REF!</f>
        <v>#REF!</v>
      </c>
      <c r="U28" s="3" t="e">
        <f>#REF!</f>
        <v>#REF!</v>
      </c>
      <c r="V28" s="10" t="e">
        <f>#REF!</f>
        <v>#REF!</v>
      </c>
      <c r="W28" s="20" t="e">
        <f>#REF!</f>
        <v>#REF!</v>
      </c>
      <c r="X28" s="3" t="e">
        <f>#REF!</f>
        <v>#REF!</v>
      </c>
      <c r="Y28" s="3" t="e">
        <f>#REF!</f>
        <v>#REF!</v>
      </c>
      <c r="Z28" s="10" t="e">
        <f>#REF!</f>
        <v>#REF!</v>
      </c>
    </row>
    <row r="29" spans="2:26" ht="24.9" customHeight="1" x14ac:dyDescent="0.3">
      <c r="B29" s="131">
        <v>10</v>
      </c>
      <c r="C29" s="28">
        <v>701</v>
      </c>
      <c r="D29" s="37" t="s">
        <v>58</v>
      </c>
      <c r="E29" s="20" t="e">
        <f>#REF!</f>
        <v>#REF!</v>
      </c>
      <c r="F29" s="3" t="e">
        <f>#REF!</f>
        <v>#REF!</v>
      </c>
      <c r="G29" s="3" t="e">
        <f>#REF!</f>
        <v>#REF!</v>
      </c>
      <c r="H29" s="3" t="e">
        <f>#REF!</f>
        <v>#REF!</v>
      </c>
      <c r="I29" s="3" t="e">
        <f>#REF!</f>
        <v>#REF!</v>
      </c>
      <c r="J29" s="10" t="e">
        <f>#REF!</f>
        <v>#REF!</v>
      </c>
      <c r="K29" s="20" t="e">
        <f>#REF!</f>
        <v>#REF!</v>
      </c>
      <c r="L29" s="3" t="e">
        <f>#REF!</f>
        <v>#REF!</v>
      </c>
      <c r="M29" s="3" t="e">
        <f>#REF!</f>
        <v>#REF!</v>
      </c>
      <c r="N29" s="3" t="e">
        <f>#REF!</f>
        <v>#REF!</v>
      </c>
      <c r="O29" s="3" t="e">
        <f>#REF!</f>
        <v>#REF!</v>
      </c>
      <c r="P29" s="10" t="e">
        <f>#REF!</f>
        <v>#REF!</v>
      </c>
      <c r="Q29" s="20" t="e">
        <f>#REF!</f>
        <v>#REF!</v>
      </c>
      <c r="R29" s="3" t="e">
        <f>#REF!</f>
        <v>#REF!</v>
      </c>
      <c r="S29" s="3" t="e">
        <f>#REF!</f>
        <v>#REF!</v>
      </c>
      <c r="T29" s="3" t="e">
        <f>#REF!</f>
        <v>#REF!</v>
      </c>
      <c r="U29" s="3" t="e">
        <f>#REF!</f>
        <v>#REF!</v>
      </c>
      <c r="V29" s="10" t="e">
        <f>#REF!</f>
        <v>#REF!</v>
      </c>
      <c r="W29" s="20" t="e">
        <f>#REF!</f>
        <v>#REF!</v>
      </c>
      <c r="X29" s="3" t="e">
        <f>#REF!</f>
        <v>#REF!</v>
      </c>
      <c r="Y29" s="3" t="e">
        <f>#REF!</f>
        <v>#REF!</v>
      </c>
      <c r="Z29" s="10" t="e">
        <f>#REF!</f>
        <v>#REF!</v>
      </c>
    </row>
    <row r="30" spans="2:26" ht="24.9" customHeight="1" x14ac:dyDescent="0.3">
      <c r="B30" s="131">
        <v>11</v>
      </c>
      <c r="C30" s="28">
        <v>702</v>
      </c>
      <c r="D30" s="37" t="s">
        <v>59</v>
      </c>
      <c r="E30" s="20" t="e">
        <f>#REF!</f>
        <v>#REF!</v>
      </c>
      <c r="F30" s="3" t="e">
        <f>#REF!</f>
        <v>#REF!</v>
      </c>
      <c r="G30" s="3" t="e">
        <f>#REF!</f>
        <v>#REF!</v>
      </c>
      <c r="H30" s="3" t="e">
        <f>#REF!</f>
        <v>#REF!</v>
      </c>
      <c r="I30" s="3" t="e">
        <f>#REF!</f>
        <v>#REF!</v>
      </c>
      <c r="J30" s="10" t="e">
        <f>#REF!</f>
        <v>#REF!</v>
      </c>
      <c r="K30" s="20" t="e">
        <f>#REF!</f>
        <v>#REF!</v>
      </c>
      <c r="L30" s="3" t="e">
        <f>#REF!</f>
        <v>#REF!</v>
      </c>
      <c r="M30" s="3" t="e">
        <f>#REF!</f>
        <v>#REF!</v>
      </c>
      <c r="N30" s="3" t="e">
        <f>#REF!</f>
        <v>#REF!</v>
      </c>
      <c r="O30" s="3" t="e">
        <f>#REF!</f>
        <v>#REF!</v>
      </c>
      <c r="P30" s="10" t="e">
        <f>#REF!</f>
        <v>#REF!</v>
      </c>
      <c r="Q30" s="20" t="e">
        <f>#REF!</f>
        <v>#REF!</v>
      </c>
      <c r="R30" s="3" t="e">
        <f>#REF!</f>
        <v>#REF!</v>
      </c>
      <c r="S30" s="3" t="e">
        <f>#REF!</f>
        <v>#REF!</v>
      </c>
      <c r="T30" s="3" t="e">
        <f>#REF!</f>
        <v>#REF!</v>
      </c>
      <c r="U30" s="3" t="e">
        <f>#REF!</f>
        <v>#REF!</v>
      </c>
      <c r="V30" s="10" t="e">
        <f>#REF!</f>
        <v>#REF!</v>
      </c>
      <c r="W30" s="20" t="e">
        <f>#REF!</f>
        <v>#REF!</v>
      </c>
      <c r="X30" s="3" t="e">
        <f>#REF!</f>
        <v>#REF!</v>
      </c>
      <c r="Y30" s="3" t="e">
        <f>#REF!</f>
        <v>#REF!</v>
      </c>
      <c r="Z30" s="10" t="e">
        <f>#REF!</f>
        <v>#REF!</v>
      </c>
    </row>
    <row r="31" spans="2:26" ht="24.9" customHeight="1" x14ac:dyDescent="0.3">
      <c r="B31" s="131">
        <v>12</v>
      </c>
      <c r="C31" s="28">
        <v>703</v>
      </c>
      <c r="D31" s="37" t="s">
        <v>60</v>
      </c>
      <c r="E31" s="20" t="e">
        <f>#REF!</f>
        <v>#REF!</v>
      </c>
      <c r="F31" s="3" t="e">
        <f>#REF!</f>
        <v>#REF!</v>
      </c>
      <c r="G31" s="3" t="e">
        <f>#REF!</f>
        <v>#REF!</v>
      </c>
      <c r="H31" s="3" t="e">
        <f>#REF!</f>
        <v>#REF!</v>
      </c>
      <c r="I31" s="3" t="e">
        <f>#REF!</f>
        <v>#REF!</v>
      </c>
      <c r="J31" s="10" t="e">
        <f>#REF!</f>
        <v>#REF!</v>
      </c>
      <c r="K31" s="20" t="e">
        <f>#REF!</f>
        <v>#REF!</v>
      </c>
      <c r="L31" s="3" t="e">
        <f>#REF!</f>
        <v>#REF!</v>
      </c>
      <c r="M31" s="3" t="e">
        <f>#REF!</f>
        <v>#REF!</v>
      </c>
      <c r="N31" s="3" t="e">
        <f>#REF!</f>
        <v>#REF!</v>
      </c>
      <c r="O31" s="3" t="e">
        <f>#REF!</f>
        <v>#REF!</v>
      </c>
      <c r="P31" s="10" t="e">
        <f>#REF!</f>
        <v>#REF!</v>
      </c>
      <c r="Q31" s="20" t="e">
        <f>#REF!</f>
        <v>#REF!</v>
      </c>
      <c r="R31" s="3" t="e">
        <f>#REF!</f>
        <v>#REF!</v>
      </c>
      <c r="S31" s="3" t="e">
        <f>#REF!</f>
        <v>#REF!</v>
      </c>
      <c r="T31" s="3" t="e">
        <f>#REF!</f>
        <v>#REF!</v>
      </c>
      <c r="U31" s="3" t="e">
        <f>#REF!</f>
        <v>#REF!</v>
      </c>
      <c r="V31" s="10" t="e">
        <f>#REF!</f>
        <v>#REF!</v>
      </c>
      <c r="W31" s="20" t="e">
        <f>#REF!</f>
        <v>#REF!</v>
      </c>
      <c r="X31" s="3" t="e">
        <f>#REF!</f>
        <v>#REF!</v>
      </c>
      <c r="Y31" s="3" t="e">
        <f>#REF!</f>
        <v>#REF!</v>
      </c>
      <c r="Z31" s="10" t="e">
        <f>#REF!</f>
        <v>#REF!</v>
      </c>
    </row>
    <row r="32" spans="2:26" ht="24.9" customHeight="1" x14ac:dyDescent="0.3">
      <c r="B32" s="131">
        <v>13</v>
      </c>
      <c r="C32" s="28">
        <v>704</v>
      </c>
      <c r="D32" s="37" t="s">
        <v>61</v>
      </c>
      <c r="E32" s="20" t="e">
        <f>#REF!</f>
        <v>#REF!</v>
      </c>
      <c r="F32" s="3" t="e">
        <f>#REF!</f>
        <v>#REF!</v>
      </c>
      <c r="G32" s="3" t="e">
        <f>#REF!</f>
        <v>#REF!</v>
      </c>
      <c r="H32" s="3" t="e">
        <f>#REF!</f>
        <v>#REF!</v>
      </c>
      <c r="I32" s="3" t="e">
        <f>#REF!</f>
        <v>#REF!</v>
      </c>
      <c r="J32" s="10" t="e">
        <f>#REF!</f>
        <v>#REF!</v>
      </c>
      <c r="K32" s="20" t="e">
        <f>#REF!</f>
        <v>#REF!</v>
      </c>
      <c r="L32" s="3" t="e">
        <f>#REF!</f>
        <v>#REF!</v>
      </c>
      <c r="M32" s="3" t="e">
        <f>#REF!</f>
        <v>#REF!</v>
      </c>
      <c r="N32" s="3" t="e">
        <f>#REF!</f>
        <v>#REF!</v>
      </c>
      <c r="O32" s="3" t="e">
        <f>#REF!</f>
        <v>#REF!</v>
      </c>
      <c r="P32" s="10" t="e">
        <f>#REF!</f>
        <v>#REF!</v>
      </c>
      <c r="Q32" s="20" t="e">
        <f>#REF!</f>
        <v>#REF!</v>
      </c>
      <c r="R32" s="3" t="e">
        <f>#REF!</f>
        <v>#REF!</v>
      </c>
      <c r="S32" s="3" t="e">
        <f>#REF!</f>
        <v>#REF!</v>
      </c>
      <c r="T32" s="3" t="e">
        <f>#REF!</f>
        <v>#REF!</v>
      </c>
      <c r="U32" s="3" t="e">
        <f>#REF!</f>
        <v>#REF!</v>
      </c>
      <c r="V32" s="10" t="e">
        <f>#REF!</f>
        <v>#REF!</v>
      </c>
      <c r="W32" s="20" t="e">
        <f>#REF!</f>
        <v>#REF!</v>
      </c>
      <c r="X32" s="3" t="e">
        <f>#REF!</f>
        <v>#REF!</v>
      </c>
      <c r="Y32" s="3" t="e">
        <f>#REF!</f>
        <v>#REF!</v>
      </c>
      <c r="Z32" s="10" t="e">
        <f>#REF!</f>
        <v>#REF!</v>
      </c>
    </row>
    <row r="33" spans="2:26" ht="24.9" customHeight="1" x14ac:dyDescent="0.3">
      <c r="B33" s="131">
        <v>14</v>
      </c>
      <c r="C33" s="28">
        <v>705</v>
      </c>
      <c r="D33" s="37" t="s">
        <v>62</v>
      </c>
      <c r="E33" s="20" t="e">
        <f>#REF!</f>
        <v>#REF!</v>
      </c>
      <c r="F33" s="3" t="e">
        <f>#REF!</f>
        <v>#REF!</v>
      </c>
      <c r="G33" s="3" t="e">
        <f>#REF!</f>
        <v>#REF!</v>
      </c>
      <c r="H33" s="3" t="e">
        <f>#REF!</f>
        <v>#REF!</v>
      </c>
      <c r="I33" s="3" t="e">
        <f>#REF!</f>
        <v>#REF!</v>
      </c>
      <c r="J33" s="10" t="e">
        <f>#REF!</f>
        <v>#REF!</v>
      </c>
      <c r="K33" s="20" t="e">
        <f>#REF!</f>
        <v>#REF!</v>
      </c>
      <c r="L33" s="3" t="e">
        <f>#REF!</f>
        <v>#REF!</v>
      </c>
      <c r="M33" s="3" t="e">
        <f>#REF!</f>
        <v>#REF!</v>
      </c>
      <c r="N33" s="3" t="e">
        <f>#REF!</f>
        <v>#REF!</v>
      </c>
      <c r="O33" s="3" t="e">
        <f>#REF!</f>
        <v>#REF!</v>
      </c>
      <c r="P33" s="10" t="e">
        <f>#REF!</f>
        <v>#REF!</v>
      </c>
      <c r="Q33" s="20" t="e">
        <f>#REF!</f>
        <v>#REF!</v>
      </c>
      <c r="R33" s="3" t="e">
        <f>#REF!</f>
        <v>#REF!</v>
      </c>
      <c r="S33" s="3" t="e">
        <f>#REF!</f>
        <v>#REF!</v>
      </c>
      <c r="T33" s="3" t="e">
        <f>#REF!</f>
        <v>#REF!</v>
      </c>
      <c r="U33" s="3" t="e">
        <f>#REF!</f>
        <v>#REF!</v>
      </c>
      <c r="V33" s="10" t="e">
        <f>#REF!</f>
        <v>#REF!</v>
      </c>
      <c r="W33" s="20" t="e">
        <f>#REF!</f>
        <v>#REF!</v>
      </c>
      <c r="X33" s="3" t="e">
        <f>#REF!</f>
        <v>#REF!</v>
      </c>
      <c r="Y33" s="3" t="e">
        <f>#REF!</f>
        <v>#REF!</v>
      </c>
      <c r="Z33" s="10" t="e">
        <f>#REF!</f>
        <v>#REF!</v>
      </c>
    </row>
    <row r="34" spans="2:26" ht="24.9" customHeight="1" x14ac:dyDescent="0.3">
      <c r="B34" s="131">
        <v>15</v>
      </c>
      <c r="C34" s="28">
        <v>706</v>
      </c>
      <c r="D34" s="37" t="s">
        <v>60</v>
      </c>
      <c r="E34" s="20" t="e">
        <f>#REF!</f>
        <v>#REF!</v>
      </c>
      <c r="F34" s="3" t="e">
        <f>#REF!</f>
        <v>#REF!</v>
      </c>
      <c r="G34" s="3" t="e">
        <f>#REF!</f>
        <v>#REF!</v>
      </c>
      <c r="H34" s="3" t="e">
        <f>#REF!</f>
        <v>#REF!</v>
      </c>
      <c r="I34" s="3" t="e">
        <f>#REF!</f>
        <v>#REF!</v>
      </c>
      <c r="J34" s="10" t="e">
        <f>#REF!</f>
        <v>#REF!</v>
      </c>
      <c r="K34" s="20" t="e">
        <f>#REF!</f>
        <v>#REF!</v>
      </c>
      <c r="L34" s="3" t="e">
        <f>#REF!</f>
        <v>#REF!</v>
      </c>
      <c r="M34" s="3" t="e">
        <f>#REF!</f>
        <v>#REF!</v>
      </c>
      <c r="N34" s="3" t="e">
        <f>#REF!</f>
        <v>#REF!</v>
      </c>
      <c r="O34" s="3" t="e">
        <f>#REF!</f>
        <v>#REF!</v>
      </c>
      <c r="P34" s="10" t="e">
        <f>#REF!</f>
        <v>#REF!</v>
      </c>
      <c r="Q34" s="20" t="e">
        <f>#REF!</f>
        <v>#REF!</v>
      </c>
      <c r="R34" s="3" t="e">
        <f>#REF!</f>
        <v>#REF!</v>
      </c>
      <c r="S34" s="3" t="e">
        <f>#REF!</f>
        <v>#REF!</v>
      </c>
      <c r="T34" s="3" t="e">
        <f>#REF!</f>
        <v>#REF!</v>
      </c>
      <c r="U34" s="3" t="e">
        <f>#REF!</f>
        <v>#REF!</v>
      </c>
      <c r="V34" s="10" t="e">
        <f>#REF!</f>
        <v>#REF!</v>
      </c>
      <c r="W34" s="20" t="e">
        <f>#REF!</f>
        <v>#REF!</v>
      </c>
      <c r="X34" s="3" t="e">
        <f>#REF!</f>
        <v>#REF!</v>
      </c>
      <c r="Y34" s="3" t="e">
        <f>#REF!</f>
        <v>#REF!</v>
      </c>
      <c r="Z34" s="10" t="e">
        <f>#REF!</f>
        <v>#REF!</v>
      </c>
    </row>
    <row r="35" spans="2:26" ht="24.9" customHeight="1" x14ac:dyDescent="0.25">
      <c r="B35" s="131">
        <v>16</v>
      </c>
      <c r="C35" s="28"/>
      <c r="D35" s="37"/>
      <c r="E35" s="20" t="e">
        <f>#REF!</f>
        <v>#REF!</v>
      </c>
      <c r="F35" s="3" t="e">
        <f>#REF!</f>
        <v>#REF!</v>
      </c>
      <c r="G35" s="3" t="e">
        <f>#REF!</f>
        <v>#REF!</v>
      </c>
      <c r="H35" s="3" t="e">
        <f>#REF!</f>
        <v>#REF!</v>
      </c>
      <c r="I35" s="3" t="e">
        <f>#REF!</f>
        <v>#REF!</v>
      </c>
      <c r="J35" s="10" t="e">
        <f>#REF!</f>
        <v>#REF!</v>
      </c>
      <c r="K35" s="20" t="e">
        <f>#REF!</f>
        <v>#REF!</v>
      </c>
      <c r="L35" s="3" t="e">
        <f>#REF!</f>
        <v>#REF!</v>
      </c>
      <c r="M35" s="3" t="e">
        <f>#REF!</f>
        <v>#REF!</v>
      </c>
      <c r="N35" s="3" t="e">
        <f>#REF!</f>
        <v>#REF!</v>
      </c>
      <c r="O35" s="3" t="e">
        <f>#REF!</f>
        <v>#REF!</v>
      </c>
      <c r="P35" s="10" t="e">
        <f>#REF!</f>
        <v>#REF!</v>
      </c>
      <c r="Q35" s="20" t="e">
        <f>#REF!</f>
        <v>#REF!</v>
      </c>
      <c r="R35" s="3" t="e">
        <f>#REF!</f>
        <v>#REF!</v>
      </c>
      <c r="S35" s="3" t="e">
        <f>#REF!</f>
        <v>#REF!</v>
      </c>
      <c r="T35" s="3" t="e">
        <f>#REF!</f>
        <v>#REF!</v>
      </c>
      <c r="U35" s="3" t="e">
        <f>#REF!</f>
        <v>#REF!</v>
      </c>
      <c r="V35" s="10" t="e">
        <f>#REF!</f>
        <v>#REF!</v>
      </c>
      <c r="W35" s="20" t="e">
        <f>#REF!</f>
        <v>#REF!</v>
      </c>
      <c r="X35" s="3" t="e">
        <f>#REF!</f>
        <v>#REF!</v>
      </c>
      <c r="Y35" s="3" t="e">
        <f>#REF!</f>
        <v>#REF!</v>
      </c>
      <c r="Z35" s="10" t="e">
        <f>#REF!</f>
        <v>#REF!</v>
      </c>
    </row>
    <row r="36" spans="2:26" ht="24.9" customHeight="1" x14ac:dyDescent="0.3">
      <c r="B36" s="131">
        <v>17</v>
      </c>
      <c r="C36" s="28"/>
      <c r="D36" s="37"/>
      <c r="E36" s="20" t="e">
        <f>#REF!</f>
        <v>#REF!</v>
      </c>
      <c r="F36" s="3" t="e">
        <f>#REF!</f>
        <v>#REF!</v>
      </c>
      <c r="G36" s="3" t="e">
        <f>#REF!</f>
        <v>#REF!</v>
      </c>
      <c r="H36" s="3" t="e">
        <f>#REF!</f>
        <v>#REF!</v>
      </c>
      <c r="I36" s="3" t="e">
        <f>#REF!</f>
        <v>#REF!</v>
      </c>
      <c r="J36" s="10" t="e">
        <f>#REF!</f>
        <v>#REF!</v>
      </c>
      <c r="K36" s="20" t="e">
        <f>#REF!</f>
        <v>#REF!</v>
      </c>
      <c r="L36" s="3" t="e">
        <f>#REF!</f>
        <v>#REF!</v>
      </c>
      <c r="M36" s="3" t="e">
        <f>#REF!</f>
        <v>#REF!</v>
      </c>
      <c r="N36" s="3" t="e">
        <f>#REF!</f>
        <v>#REF!</v>
      </c>
      <c r="O36" s="3" t="e">
        <f>#REF!</f>
        <v>#REF!</v>
      </c>
      <c r="P36" s="10" t="e">
        <f>#REF!</f>
        <v>#REF!</v>
      </c>
      <c r="Q36" s="20" t="e">
        <f>#REF!</f>
        <v>#REF!</v>
      </c>
      <c r="R36" s="3" t="e">
        <f>#REF!</f>
        <v>#REF!</v>
      </c>
      <c r="S36" s="3" t="e">
        <f>#REF!</f>
        <v>#REF!</v>
      </c>
      <c r="T36" s="3" t="e">
        <f>#REF!</f>
        <v>#REF!</v>
      </c>
      <c r="U36" s="3" t="e">
        <f>#REF!</f>
        <v>#REF!</v>
      </c>
      <c r="V36" s="10" t="e">
        <f>#REF!</f>
        <v>#REF!</v>
      </c>
      <c r="W36" s="20" t="e">
        <f>#REF!</f>
        <v>#REF!</v>
      </c>
      <c r="X36" s="3" t="e">
        <f>#REF!</f>
        <v>#REF!</v>
      </c>
      <c r="Y36" s="3" t="e">
        <f>#REF!</f>
        <v>#REF!</v>
      </c>
      <c r="Z36" s="10" t="e">
        <f>#REF!</f>
        <v>#REF!</v>
      </c>
    </row>
    <row r="37" spans="2:26" ht="24.9" customHeight="1" x14ac:dyDescent="0.3">
      <c r="B37" s="131">
        <v>18</v>
      </c>
      <c r="C37" s="28"/>
      <c r="D37" s="37"/>
      <c r="E37" s="20" t="e">
        <f>#REF!</f>
        <v>#REF!</v>
      </c>
      <c r="F37" s="3" t="e">
        <f>#REF!</f>
        <v>#REF!</v>
      </c>
      <c r="G37" s="3" t="e">
        <f>#REF!</f>
        <v>#REF!</v>
      </c>
      <c r="H37" s="3" t="e">
        <f>#REF!</f>
        <v>#REF!</v>
      </c>
      <c r="I37" s="3" t="e">
        <f>#REF!</f>
        <v>#REF!</v>
      </c>
      <c r="J37" s="10" t="e">
        <f>#REF!</f>
        <v>#REF!</v>
      </c>
      <c r="K37" s="20" t="e">
        <f>#REF!</f>
        <v>#REF!</v>
      </c>
      <c r="L37" s="3" t="e">
        <f>#REF!</f>
        <v>#REF!</v>
      </c>
      <c r="M37" s="3" t="e">
        <f>#REF!</f>
        <v>#REF!</v>
      </c>
      <c r="N37" s="3" t="e">
        <f>#REF!</f>
        <v>#REF!</v>
      </c>
      <c r="O37" s="3" t="e">
        <f>#REF!</f>
        <v>#REF!</v>
      </c>
      <c r="P37" s="10" t="e">
        <f>#REF!</f>
        <v>#REF!</v>
      </c>
      <c r="Q37" s="20" t="e">
        <f>#REF!</f>
        <v>#REF!</v>
      </c>
      <c r="R37" s="3" t="e">
        <f>#REF!</f>
        <v>#REF!</v>
      </c>
      <c r="S37" s="3" t="e">
        <f>#REF!</f>
        <v>#REF!</v>
      </c>
      <c r="T37" s="3" t="e">
        <f>#REF!</f>
        <v>#REF!</v>
      </c>
      <c r="U37" s="3" t="e">
        <f>#REF!</f>
        <v>#REF!</v>
      </c>
      <c r="V37" s="10" t="e">
        <f>#REF!</f>
        <v>#REF!</v>
      </c>
      <c r="W37" s="20" t="e">
        <f>#REF!</f>
        <v>#REF!</v>
      </c>
      <c r="X37" s="3" t="e">
        <f>#REF!</f>
        <v>#REF!</v>
      </c>
      <c r="Y37" s="3" t="e">
        <f>#REF!</f>
        <v>#REF!</v>
      </c>
      <c r="Z37" s="10" t="e">
        <f>#REF!</f>
        <v>#REF!</v>
      </c>
    </row>
    <row r="38" spans="2:26" ht="24.9" customHeight="1" x14ac:dyDescent="0.3">
      <c r="B38" s="131">
        <v>19</v>
      </c>
      <c r="C38" s="28"/>
      <c r="D38" s="37"/>
      <c r="E38" s="20" t="e">
        <f>#REF!</f>
        <v>#REF!</v>
      </c>
      <c r="F38" s="3" t="e">
        <f>#REF!</f>
        <v>#REF!</v>
      </c>
      <c r="G38" s="3" t="e">
        <f>#REF!</f>
        <v>#REF!</v>
      </c>
      <c r="H38" s="3" t="e">
        <f>#REF!</f>
        <v>#REF!</v>
      </c>
      <c r="I38" s="3" t="e">
        <f>#REF!</f>
        <v>#REF!</v>
      </c>
      <c r="J38" s="10" t="e">
        <f>#REF!</f>
        <v>#REF!</v>
      </c>
      <c r="K38" s="20" t="e">
        <f>#REF!</f>
        <v>#REF!</v>
      </c>
      <c r="L38" s="3" t="e">
        <f>#REF!</f>
        <v>#REF!</v>
      </c>
      <c r="M38" s="3" t="e">
        <f>#REF!</f>
        <v>#REF!</v>
      </c>
      <c r="N38" s="3" t="e">
        <f>#REF!</f>
        <v>#REF!</v>
      </c>
      <c r="O38" s="3" t="e">
        <f>#REF!</f>
        <v>#REF!</v>
      </c>
      <c r="P38" s="10" t="e">
        <f>#REF!</f>
        <v>#REF!</v>
      </c>
      <c r="Q38" s="20" t="e">
        <f>#REF!</f>
        <v>#REF!</v>
      </c>
      <c r="R38" s="3" t="e">
        <f>#REF!</f>
        <v>#REF!</v>
      </c>
      <c r="S38" s="3" t="e">
        <f>#REF!</f>
        <v>#REF!</v>
      </c>
      <c r="T38" s="3" t="e">
        <f>#REF!</f>
        <v>#REF!</v>
      </c>
      <c r="U38" s="3" t="e">
        <f>#REF!</f>
        <v>#REF!</v>
      </c>
      <c r="V38" s="10" t="e">
        <f>#REF!</f>
        <v>#REF!</v>
      </c>
      <c r="W38" s="20" t="e">
        <f>#REF!</f>
        <v>#REF!</v>
      </c>
      <c r="X38" s="3" t="e">
        <f>#REF!</f>
        <v>#REF!</v>
      </c>
      <c r="Y38" s="3" t="e">
        <f>#REF!</f>
        <v>#REF!</v>
      </c>
      <c r="Z38" s="10" t="e">
        <f>#REF!</f>
        <v>#REF!</v>
      </c>
    </row>
    <row r="39" spans="2:26" ht="24.9" customHeight="1" x14ac:dyDescent="0.3">
      <c r="B39" s="131">
        <v>20</v>
      </c>
      <c r="C39" s="28"/>
      <c r="D39" s="37"/>
      <c r="E39" s="20" t="e">
        <f>#REF!</f>
        <v>#REF!</v>
      </c>
      <c r="F39" s="3" t="e">
        <f>#REF!</f>
        <v>#REF!</v>
      </c>
      <c r="G39" s="3" t="e">
        <f>#REF!</f>
        <v>#REF!</v>
      </c>
      <c r="H39" s="3" t="e">
        <f>#REF!</f>
        <v>#REF!</v>
      </c>
      <c r="I39" s="3" t="e">
        <f>#REF!</f>
        <v>#REF!</v>
      </c>
      <c r="J39" s="10" t="e">
        <f>#REF!</f>
        <v>#REF!</v>
      </c>
      <c r="K39" s="20" t="e">
        <f>#REF!</f>
        <v>#REF!</v>
      </c>
      <c r="L39" s="3" t="e">
        <f>#REF!</f>
        <v>#REF!</v>
      </c>
      <c r="M39" s="3" t="e">
        <f>#REF!</f>
        <v>#REF!</v>
      </c>
      <c r="N39" s="3" t="e">
        <f>#REF!</f>
        <v>#REF!</v>
      </c>
      <c r="O39" s="3" t="e">
        <f>#REF!</f>
        <v>#REF!</v>
      </c>
      <c r="P39" s="10" t="e">
        <f>#REF!</f>
        <v>#REF!</v>
      </c>
      <c r="Q39" s="20" t="e">
        <f>#REF!</f>
        <v>#REF!</v>
      </c>
      <c r="R39" s="3" t="e">
        <f>#REF!</f>
        <v>#REF!</v>
      </c>
      <c r="S39" s="3" t="e">
        <f>#REF!</f>
        <v>#REF!</v>
      </c>
      <c r="T39" s="3" t="e">
        <f>#REF!</f>
        <v>#REF!</v>
      </c>
      <c r="U39" s="3" t="e">
        <f>#REF!</f>
        <v>#REF!</v>
      </c>
      <c r="V39" s="10" t="e">
        <f>#REF!</f>
        <v>#REF!</v>
      </c>
      <c r="W39" s="20" t="e">
        <f>#REF!</f>
        <v>#REF!</v>
      </c>
      <c r="X39" s="3" t="e">
        <f>#REF!</f>
        <v>#REF!</v>
      </c>
      <c r="Y39" s="3" t="e">
        <f>#REF!</f>
        <v>#REF!</v>
      </c>
      <c r="Z39" s="10" t="e">
        <f>#REF!</f>
        <v>#REF!</v>
      </c>
    </row>
    <row r="40" spans="2:26" ht="24.9" customHeight="1" x14ac:dyDescent="0.3">
      <c r="B40" s="131">
        <v>21</v>
      </c>
      <c r="C40" s="28"/>
      <c r="D40" s="37"/>
      <c r="E40" s="20" t="e">
        <f>#REF!</f>
        <v>#REF!</v>
      </c>
      <c r="F40" s="3" t="e">
        <f>#REF!</f>
        <v>#REF!</v>
      </c>
      <c r="G40" s="3" t="e">
        <f>#REF!</f>
        <v>#REF!</v>
      </c>
      <c r="H40" s="3" t="e">
        <f>#REF!</f>
        <v>#REF!</v>
      </c>
      <c r="I40" s="3" t="e">
        <f>#REF!</f>
        <v>#REF!</v>
      </c>
      <c r="J40" s="10" t="e">
        <f>#REF!</f>
        <v>#REF!</v>
      </c>
      <c r="K40" s="20" t="e">
        <f>#REF!</f>
        <v>#REF!</v>
      </c>
      <c r="L40" s="3" t="e">
        <f>#REF!</f>
        <v>#REF!</v>
      </c>
      <c r="M40" s="3" t="e">
        <f>#REF!</f>
        <v>#REF!</v>
      </c>
      <c r="N40" s="3" t="e">
        <f>#REF!</f>
        <v>#REF!</v>
      </c>
      <c r="O40" s="3" t="e">
        <f>#REF!</f>
        <v>#REF!</v>
      </c>
      <c r="P40" s="10" t="e">
        <f>#REF!</f>
        <v>#REF!</v>
      </c>
      <c r="Q40" s="20" t="e">
        <f>#REF!</f>
        <v>#REF!</v>
      </c>
      <c r="R40" s="3" t="e">
        <f>#REF!</f>
        <v>#REF!</v>
      </c>
      <c r="S40" s="3" t="e">
        <f>#REF!</f>
        <v>#REF!</v>
      </c>
      <c r="T40" s="3" t="e">
        <f>#REF!</f>
        <v>#REF!</v>
      </c>
      <c r="U40" s="3" t="e">
        <f>#REF!</f>
        <v>#REF!</v>
      </c>
      <c r="V40" s="10" t="e">
        <f>#REF!</f>
        <v>#REF!</v>
      </c>
      <c r="W40" s="20" t="e">
        <f>#REF!</f>
        <v>#REF!</v>
      </c>
      <c r="X40" s="3" t="e">
        <f>#REF!</f>
        <v>#REF!</v>
      </c>
      <c r="Y40" s="3" t="e">
        <f>#REF!</f>
        <v>#REF!</v>
      </c>
      <c r="Z40" s="10" t="e">
        <f>#REF!</f>
        <v>#REF!</v>
      </c>
    </row>
    <row r="41" spans="2:26" ht="24.9" customHeight="1" x14ac:dyDescent="0.3">
      <c r="B41" s="131">
        <v>22</v>
      </c>
      <c r="C41" s="28"/>
      <c r="D41" s="37"/>
      <c r="E41" s="20" t="e">
        <f>#REF!</f>
        <v>#REF!</v>
      </c>
      <c r="F41" s="3" t="e">
        <f>#REF!</f>
        <v>#REF!</v>
      </c>
      <c r="G41" s="3" t="e">
        <f>#REF!</f>
        <v>#REF!</v>
      </c>
      <c r="H41" s="3" t="e">
        <f>#REF!</f>
        <v>#REF!</v>
      </c>
      <c r="I41" s="3" t="e">
        <f>#REF!</f>
        <v>#REF!</v>
      </c>
      <c r="J41" s="10" t="e">
        <f>#REF!</f>
        <v>#REF!</v>
      </c>
      <c r="K41" s="20" t="e">
        <f>#REF!</f>
        <v>#REF!</v>
      </c>
      <c r="L41" s="3" t="e">
        <f>#REF!</f>
        <v>#REF!</v>
      </c>
      <c r="M41" s="3" t="e">
        <f>#REF!</f>
        <v>#REF!</v>
      </c>
      <c r="N41" s="3" t="e">
        <f>#REF!</f>
        <v>#REF!</v>
      </c>
      <c r="O41" s="3" t="e">
        <f>#REF!</f>
        <v>#REF!</v>
      </c>
      <c r="P41" s="10" t="e">
        <f>#REF!</f>
        <v>#REF!</v>
      </c>
      <c r="Q41" s="20" t="e">
        <f>#REF!</f>
        <v>#REF!</v>
      </c>
      <c r="R41" s="3" t="e">
        <f>#REF!</f>
        <v>#REF!</v>
      </c>
      <c r="S41" s="3" t="e">
        <f>#REF!</f>
        <v>#REF!</v>
      </c>
      <c r="T41" s="3" t="e">
        <f>#REF!</f>
        <v>#REF!</v>
      </c>
      <c r="U41" s="3" t="e">
        <f>#REF!</f>
        <v>#REF!</v>
      </c>
      <c r="V41" s="10" t="e">
        <f>#REF!</f>
        <v>#REF!</v>
      </c>
      <c r="W41" s="20" t="e">
        <f>#REF!</f>
        <v>#REF!</v>
      </c>
      <c r="X41" s="3" t="e">
        <f>#REF!</f>
        <v>#REF!</v>
      </c>
      <c r="Y41" s="3" t="e">
        <f>#REF!</f>
        <v>#REF!</v>
      </c>
      <c r="Z41" s="10" t="e">
        <f>#REF!</f>
        <v>#REF!</v>
      </c>
    </row>
    <row r="42" spans="2:26" ht="24.9" customHeight="1" x14ac:dyDescent="0.3">
      <c r="B42" s="131">
        <v>23</v>
      </c>
      <c r="C42" s="28"/>
      <c r="D42" s="37"/>
      <c r="E42" s="20" t="e">
        <f>#REF!</f>
        <v>#REF!</v>
      </c>
      <c r="F42" s="3" t="e">
        <f>#REF!</f>
        <v>#REF!</v>
      </c>
      <c r="G42" s="3" t="e">
        <f>#REF!</f>
        <v>#REF!</v>
      </c>
      <c r="H42" s="3" t="e">
        <f>#REF!</f>
        <v>#REF!</v>
      </c>
      <c r="I42" s="3" t="e">
        <f>#REF!</f>
        <v>#REF!</v>
      </c>
      <c r="J42" s="10" t="e">
        <f>#REF!</f>
        <v>#REF!</v>
      </c>
      <c r="K42" s="20" t="e">
        <f>#REF!</f>
        <v>#REF!</v>
      </c>
      <c r="L42" s="3" t="e">
        <f>#REF!</f>
        <v>#REF!</v>
      </c>
      <c r="M42" s="3" t="e">
        <f>#REF!</f>
        <v>#REF!</v>
      </c>
      <c r="N42" s="3" t="e">
        <f>#REF!</f>
        <v>#REF!</v>
      </c>
      <c r="O42" s="3" t="e">
        <f>#REF!</f>
        <v>#REF!</v>
      </c>
      <c r="P42" s="10" t="e">
        <f>#REF!</f>
        <v>#REF!</v>
      </c>
      <c r="Q42" s="20" t="e">
        <f>#REF!</f>
        <v>#REF!</v>
      </c>
      <c r="R42" s="3" t="e">
        <f>#REF!</f>
        <v>#REF!</v>
      </c>
      <c r="S42" s="3" t="e">
        <f>#REF!</f>
        <v>#REF!</v>
      </c>
      <c r="T42" s="3" t="e">
        <f>#REF!</f>
        <v>#REF!</v>
      </c>
      <c r="U42" s="3" t="e">
        <f>#REF!</f>
        <v>#REF!</v>
      </c>
      <c r="V42" s="10" t="e">
        <f>#REF!</f>
        <v>#REF!</v>
      </c>
      <c r="W42" s="20" t="e">
        <f>#REF!</f>
        <v>#REF!</v>
      </c>
      <c r="X42" s="3" t="e">
        <f>#REF!</f>
        <v>#REF!</v>
      </c>
      <c r="Y42" s="3" t="e">
        <f>#REF!</f>
        <v>#REF!</v>
      </c>
      <c r="Z42" s="10" t="e">
        <f>#REF!</f>
        <v>#REF!</v>
      </c>
    </row>
    <row r="43" spans="2:26" ht="24.9" customHeight="1" x14ac:dyDescent="0.3">
      <c r="B43" s="131">
        <v>24</v>
      </c>
      <c r="C43" s="28"/>
      <c r="D43" s="37"/>
      <c r="E43" s="20" t="e">
        <f>#REF!</f>
        <v>#REF!</v>
      </c>
      <c r="F43" s="3" t="e">
        <f>#REF!</f>
        <v>#REF!</v>
      </c>
      <c r="G43" s="3" t="e">
        <f>#REF!</f>
        <v>#REF!</v>
      </c>
      <c r="H43" s="3" t="e">
        <f>#REF!</f>
        <v>#REF!</v>
      </c>
      <c r="I43" s="3" t="e">
        <f>#REF!</f>
        <v>#REF!</v>
      </c>
      <c r="J43" s="10" t="e">
        <f>#REF!</f>
        <v>#REF!</v>
      </c>
      <c r="K43" s="20" t="e">
        <f>#REF!</f>
        <v>#REF!</v>
      </c>
      <c r="L43" s="3" t="e">
        <f>#REF!</f>
        <v>#REF!</v>
      </c>
      <c r="M43" s="3" t="e">
        <f>#REF!</f>
        <v>#REF!</v>
      </c>
      <c r="N43" s="3" t="e">
        <f>#REF!</f>
        <v>#REF!</v>
      </c>
      <c r="O43" s="3" t="e">
        <f>#REF!</f>
        <v>#REF!</v>
      </c>
      <c r="P43" s="10" t="e">
        <f>#REF!</f>
        <v>#REF!</v>
      </c>
      <c r="Q43" s="20" t="e">
        <f>#REF!</f>
        <v>#REF!</v>
      </c>
      <c r="R43" s="3" t="e">
        <f>#REF!</f>
        <v>#REF!</v>
      </c>
      <c r="S43" s="3" t="e">
        <f>#REF!</f>
        <v>#REF!</v>
      </c>
      <c r="T43" s="3" t="e">
        <f>#REF!</f>
        <v>#REF!</v>
      </c>
      <c r="U43" s="3" t="e">
        <f>#REF!</f>
        <v>#REF!</v>
      </c>
      <c r="V43" s="10" t="e">
        <f>#REF!</f>
        <v>#REF!</v>
      </c>
      <c r="W43" s="20" t="e">
        <f>#REF!</f>
        <v>#REF!</v>
      </c>
      <c r="X43" s="3" t="e">
        <f>#REF!</f>
        <v>#REF!</v>
      </c>
      <c r="Y43" s="3" t="e">
        <f>#REF!</f>
        <v>#REF!</v>
      </c>
      <c r="Z43" s="10" t="e">
        <f>#REF!</f>
        <v>#REF!</v>
      </c>
    </row>
    <row r="44" spans="2:26" ht="24.9" customHeight="1" thickBot="1" x14ac:dyDescent="0.35">
      <c r="B44" s="132">
        <v>25</v>
      </c>
      <c r="C44" s="133"/>
      <c r="D44" s="134"/>
      <c r="E44" s="167" t="e">
        <f>#REF!</f>
        <v>#REF!</v>
      </c>
      <c r="F44" s="168" t="e">
        <f>#REF!</f>
        <v>#REF!</v>
      </c>
      <c r="G44" s="168" t="e">
        <f>#REF!</f>
        <v>#REF!</v>
      </c>
      <c r="H44" s="168" t="e">
        <f>#REF!</f>
        <v>#REF!</v>
      </c>
      <c r="I44" s="168" t="e">
        <f>#REF!</f>
        <v>#REF!</v>
      </c>
      <c r="J44" s="169" t="e">
        <f>#REF!</f>
        <v>#REF!</v>
      </c>
      <c r="K44" s="167" t="e">
        <f>#REF!</f>
        <v>#REF!</v>
      </c>
      <c r="L44" s="168" t="e">
        <f>#REF!</f>
        <v>#REF!</v>
      </c>
      <c r="M44" s="168" t="e">
        <f>#REF!</f>
        <v>#REF!</v>
      </c>
      <c r="N44" s="168" t="e">
        <f>#REF!</f>
        <v>#REF!</v>
      </c>
      <c r="O44" s="168" t="e">
        <f>#REF!</f>
        <v>#REF!</v>
      </c>
      <c r="P44" s="169" t="e">
        <f>#REF!</f>
        <v>#REF!</v>
      </c>
      <c r="Q44" s="167" t="e">
        <f>#REF!</f>
        <v>#REF!</v>
      </c>
      <c r="R44" s="168" t="e">
        <f>#REF!</f>
        <v>#REF!</v>
      </c>
      <c r="S44" s="168" t="e">
        <f>#REF!</f>
        <v>#REF!</v>
      </c>
      <c r="T44" s="168" t="e">
        <f>#REF!</f>
        <v>#REF!</v>
      </c>
      <c r="U44" s="168" t="e">
        <f>#REF!</f>
        <v>#REF!</v>
      </c>
      <c r="V44" s="169" t="e">
        <f>#REF!</f>
        <v>#REF!</v>
      </c>
      <c r="W44" s="167" t="e">
        <f>#REF!</f>
        <v>#REF!</v>
      </c>
      <c r="X44" s="168" t="e">
        <f>#REF!</f>
        <v>#REF!</v>
      </c>
      <c r="Y44" s="168" t="e">
        <f>#REF!</f>
        <v>#REF!</v>
      </c>
      <c r="Z44" s="169" t="e">
        <f>#REF!</f>
        <v>#REF!</v>
      </c>
    </row>
    <row r="45" spans="2:26" ht="24.9" customHeight="1" thickBot="1" x14ac:dyDescent="0.35">
      <c r="B45" s="196" t="s">
        <v>163</v>
      </c>
      <c r="C45" s="197"/>
      <c r="D45" s="198"/>
      <c r="E45" s="190" t="e">
        <f>#REF!</f>
        <v>#REF!</v>
      </c>
      <c r="F45" s="191" t="e">
        <f>#REF!</f>
        <v>#REF!</v>
      </c>
      <c r="G45" s="191" t="e">
        <f>#REF!</f>
        <v>#REF!</v>
      </c>
      <c r="H45" s="191" t="e">
        <f>#REF!</f>
        <v>#REF!</v>
      </c>
      <c r="I45" s="191" t="e">
        <f>#REF!</f>
        <v>#REF!</v>
      </c>
      <c r="J45" s="192" t="e">
        <f>#REF!</f>
        <v>#REF!</v>
      </c>
      <c r="K45" s="190" t="e">
        <f>#REF!</f>
        <v>#REF!</v>
      </c>
      <c r="L45" s="191" t="e">
        <f>#REF!</f>
        <v>#REF!</v>
      </c>
      <c r="M45" s="191" t="e">
        <f>#REF!</f>
        <v>#REF!</v>
      </c>
      <c r="N45" s="191" t="e">
        <f>#REF!</f>
        <v>#REF!</v>
      </c>
      <c r="O45" s="191" t="e">
        <f>#REF!</f>
        <v>#REF!</v>
      </c>
      <c r="P45" s="192" t="e">
        <f>#REF!</f>
        <v>#REF!</v>
      </c>
      <c r="Q45" s="190" t="e">
        <f>#REF!</f>
        <v>#REF!</v>
      </c>
      <c r="R45" s="191" t="e">
        <f>#REF!</f>
        <v>#REF!</v>
      </c>
      <c r="S45" s="191" t="e">
        <f>#REF!</f>
        <v>#REF!</v>
      </c>
      <c r="T45" s="191" t="e">
        <f>#REF!</f>
        <v>#REF!</v>
      </c>
      <c r="U45" s="191" t="e">
        <f>#REF!</f>
        <v>#REF!</v>
      </c>
      <c r="V45" s="192" t="e">
        <f>#REF!</f>
        <v>#REF!</v>
      </c>
      <c r="W45" s="190" t="e">
        <f>#REF!</f>
        <v>#REF!</v>
      </c>
      <c r="X45" s="191" t="e">
        <f>#REF!</f>
        <v>#REF!</v>
      </c>
      <c r="Y45" s="191" t="e">
        <f>#REF!</f>
        <v>#REF!</v>
      </c>
      <c r="Z45" s="192" t="e">
        <f>#REF!</f>
        <v>#REF!</v>
      </c>
    </row>
    <row r="46" spans="2:26" ht="24.9" customHeight="1" thickBot="1" x14ac:dyDescent="0.35">
      <c r="B46" s="199" t="s">
        <v>164</v>
      </c>
      <c r="C46" s="200"/>
      <c r="D46" s="201"/>
      <c r="E46" s="172" t="e">
        <f>#REF!</f>
        <v>#REF!</v>
      </c>
      <c r="F46" s="170" t="e">
        <f>#REF!</f>
        <v>#REF!</v>
      </c>
      <c r="G46" s="170" t="e">
        <f>#REF!</f>
        <v>#REF!</v>
      </c>
      <c r="H46" s="170" t="e">
        <f>#REF!</f>
        <v>#REF!</v>
      </c>
      <c r="I46" s="170" t="e">
        <f>#REF!</f>
        <v>#REF!</v>
      </c>
      <c r="J46" s="171" t="e">
        <f>#REF!</f>
        <v>#REF!</v>
      </c>
      <c r="K46" s="172" t="e">
        <f>#REF!</f>
        <v>#REF!</v>
      </c>
      <c r="L46" s="170" t="e">
        <f>#REF!</f>
        <v>#REF!</v>
      </c>
      <c r="M46" s="170" t="e">
        <f>#REF!</f>
        <v>#REF!</v>
      </c>
      <c r="N46" s="170" t="e">
        <f>#REF!</f>
        <v>#REF!</v>
      </c>
      <c r="O46" s="170" t="e">
        <f>#REF!</f>
        <v>#REF!</v>
      </c>
      <c r="P46" s="171" t="e">
        <f>#REF!</f>
        <v>#REF!</v>
      </c>
      <c r="Q46" s="172" t="e">
        <f>#REF!</f>
        <v>#REF!</v>
      </c>
      <c r="R46" s="170" t="e">
        <f>#REF!</f>
        <v>#REF!</v>
      </c>
      <c r="S46" s="170" t="e">
        <f>#REF!</f>
        <v>#REF!</v>
      </c>
      <c r="T46" s="170" t="e">
        <f>#REF!</f>
        <v>#REF!</v>
      </c>
      <c r="U46" s="170" t="e">
        <f>#REF!</f>
        <v>#REF!</v>
      </c>
      <c r="V46" s="171" t="e">
        <f>#REF!</f>
        <v>#REF!</v>
      </c>
      <c r="W46" s="172" t="e">
        <f>#REF!</f>
        <v>#REF!</v>
      </c>
      <c r="X46" s="170" t="e">
        <f>#REF!</f>
        <v>#REF!</v>
      </c>
      <c r="Y46" s="170" t="e">
        <f>#REF!</f>
        <v>#REF!</v>
      </c>
      <c r="Z46" s="171" t="e">
        <f>#REF!</f>
        <v>#REF!</v>
      </c>
    </row>
    <row r="47" spans="2:26" ht="24.9" customHeight="1" x14ac:dyDescent="0.3"/>
    <row r="48" spans="2:26" ht="24.9" customHeight="1" x14ac:dyDescent="0.3"/>
    <row r="54" spans="3:11" x14ac:dyDescent="0.3">
      <c r="C54" s="55"/>
      <c r="G54" s="84"/>
      <c r="H54" s="55"/>
      <c r="I54" s="55"/>
      <c r="J54" s="55"/>
      <c r="K54" s="55"/>
    </row>
    <row r="55" spans="3:11" x14ac:dyDescent="0.3">
      <c r="C55" s="55"/>
      <c r="G55" s="84"/>
      <c r="H55" s="55"/>
      <c r="I55" s="55"/>
      <c r="J55" s="55"/>
      <c r="K55" s="55"/>
    </row>
    <row r="56" spans="3:11" x14ac:dyDescent="0.3">
      <c r="C56" s="55"/>
      <c r="G56" s="84"/>
      <c r="H56" s="55"/>
      <c r="I56" s="55"/>
      <c r="J56" s="55"/>
      <c r="K56" s="55"/>
    </row>
    <row r="57" spans="3:11" x14ac:dyDescent="0.3">
      <c r="C57" s="55"/>
      <c r="G57" s="84"/>
      <c r="H57" s="55"/>
      <c r="I57" s="55"/>
      <c r="J57" s="55"/>
      <c r="K57" s="55"/>
    </row>
    <row r="58" spans="3:11" x14ac:dyDescent="0.3">
      <c r="C58" s="55"/>
      <c r="G58" s="84"/>
      <c r="H58" s="55"/>
      <c r="I58" s="55"/>
      <c r="J58" s="55"/>
      <c r="K58" s="55"/>
    </row>
    <row r="59" spans="3:11" x14ac:dyDescent="0.3">
      <c r="C59" s="55"/>
      <c r="G59" s="84"/>
      <c r="H59" s="55"/>
      <c r="I59" s="55"/>
      <c r="J59" s="55"/>
      <c r="K59" s="55"/>
    </row>
    <row r="60" spans="3:11" x14ac:dyDescent="0.3">
      <c r="C60" s="55"/>
      <c r="G60" s="84"/>
      <c r="H60" s="55"/>
      <c r="I60" s="55"/>
      <c r="J60" s="55"/>
      <c r="K60" s="55"/>
    </row>
    <row r="61" spans="3:11" x14ac:dyDescent="0.3">
      <c r="C61" s="55"/>
      <c r="G61" s="84"/>
      <c r="H61" s="55"/>
      <c r="I61" s="55"/>
      <c r="J61" s="55"/>
      <c r="K61" s="55"/>
    </row>
    <row r="62" spans="3:11" x14ac:dyDescent="0.3">
      <c r="C62" s="55"/>
      <c r="G62" s="84"/>
      <c r="H62" s="55"/>
      <c r="I62" s="55"/>
      <c r="J62" s="55"/>
      <c r="K62" s="55"/>
    </row>
    <row r="63" spans="3:11" x14ac:dyDescent="0.3">
      <c r="C63" s="55"/>
      <c r="G63" s="84"/>
      <c r="H63" s="55"/>
      <c r="I63" s="55"/>
      <c r="J63" s="55"/>
      <c r="K63" s="55"/>
    </row>
    <row r="64" spans="3:11" x14ac:dyDescent="0.3">
      <c r="J64" s="55"/>
      <c r="K64" s="55"/>
    </row>
    <row r="65" spans="3:11" x14ac:dyDescent="0.3">
      <c r="J65" s="55"/>
      <c r="K65" s="55"/>
    </row>
    <row r="66" spans="3:11" x14ac:dyDescent="0.3">
      <c r="C66" s="55"/>
      <c r="G66" s="84"/>
      <c r="H66" s="84"/>
      <c r="I66" s="84"/>
      <c r="J66" s="84"/>
      <c r="K66" s="55"/>
    </row>
  </sheetData>
  <mergeCells count="7">
    <mergeCell ref="W18:Z18"/>
    <mergeCell ref="B45:D45"/>
    <mergeCell ref="B46:D46"/>
    <mergeCell ref="C18:D18"/>
    <mergeCell ref="E18:J18"/>
    <mergeCell ref="K18:P18"/>
    <mergeCell ref="Q18:V18"/>
  </mergeCells>
  <pageMargins left="0.23622047244094491" right="0.23622047244094491" top="0.55118110236220474" bottom="0.55118110236220474" header="0" footer="0"/>
  <pageSetup paperSize="9" scale="58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24</vt:i4>
      </vt:variant>
      <vt:variant>
        <vt:lpstr>Именованные диапазоны</vt:lpstr>
      </vt:variant>
      <vt:variant>
        <vt:i4>1</vt:i4>
      </vt:variant>
    </vt:vector>
  </HeadingPairs>
  <TitlesOfParts>
    <vt:vector size="25" baseType="lpstr">
      <vt:lpstr>До рубки 208 1.1</vt:lpstr>
      <vt:lpstr>Стр. 2 Породы (2)</vt:lpstr>
      <vt:lpstr>До рубки 205 д.2</vt:lpstr>
      <vt:lpstr>До рубки 183 в 10(осв)</vt:lpstr>
      <vt:lpstr>До рубки 183 в 17(осв) </vt:lpstr>
      <vt:lpstr>До рубки 174 в 17(осв)</vt:lpstr>
      <vt:lpstr>До рубки 176 в 5(прч)</vt:lpstr>
      <vt:lpstr>До рубки 155 в 23(прч)</vt:lpstr>
      <vt:lpstr>До рубки 138 в 13(осв)</vt:lpstr>
      <vt:lpstr>До рубки 138 в 22(прч)</vt:lpstr>
      <vt:lpstr>До рубки 163 в 3( прч)</vt:lpstr>
      <vt:lpstr>До рубки 135 в 34(осв)</vt:lpstr>
      <vt:lpstr>До рубки 152 в 16(осв)</vt:lpstr>
      <vt:lpstr>До рубки 151 в 8(осв)</vt:lpstr>
      <vt:lpstr>До рубки 173 В 4</vt:lpstr>
      <vt:lpstr>До рубки 152 В 26</vt:lpstr>
      <vt:lpstr>Чистый бланк</vt:lpstr>
      <vt:lpstr>До рубки 205 д.1</vt:lpstr>
      <vt:lpstr>Проектируемые данныеПосле рубки</vt:lpstr>
      <vt:lpstr>Расчёты для проекта</vt:lpstr>
      <vt:lpstr>Проект</vt:lpstr>
      <vt:lpstr>Стр. 1 Породы</vt:lpstr>
      <vt:lpstr>Стр. 2 Породы</vt:lpstr>
      <vt:lpstr>Стр. 1 Породы (2)</vt:lpstr>
      <vt:lpstr>Проект!Область_печати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Богачёв Павел</dc:creator>
  <cp:lastModifiedBy>Вася Дудин</cp:lastModifiedBy>
  <cp:lastPrinted>2024-07-03T18:38:22Z</cp:lastPrinted>
  <dcterms:created xsi:type="dcterms:W3CDTF">2021-06-29T19:30:12Z</dcterms:created>
  <dcterms:modified xsi:type="dcterms:W3CDTF">2025-05-23T10:14:32Z</dcterms:modified>
</cp:coreProperties>
</file>