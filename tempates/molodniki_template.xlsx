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4" sheetId="4" r:id="rId1"/>
    <sheet name="Лист1" sheetId="1" r:id="rId2"/>
    <sheet name="Лист2" sheetId="2" r:id="rId3"/>
    <sheet name="Лист3" sheetId="3" r:id="rId4"/>
  </sheets>
  <calcPr calcId="145621"/>
</workbook>
</file>

<file path=xl/calcChain.xml><?xml version="1.0" encoding="utf-8"?>
<calcChain xmlns="http://schemas.openxmlformats.org/spreadsheetml/2006/main">
  <c r="U141" i="4" l="1"/>
  <c r="T141" i="4"/>
  <c r="S141" i="4"/>
  <c r="T140" i="4"/>
  <c r="S140" i="4"/>
  <c r="U139" i="4"/>
  <c r="T139" i="4"/>
  <c r="S139" i="4"/>
  <c r="U138" i="4"/>
  <c r="T138" i="4"/>
  <c r="S138" i="4"/>
  <c r="T137" i="4"/>
  <c r="S137" i="4"/>
  <c r="AI136" i="4"/>
  <c r="AI135" i="4"/>
  <c r="AI134" i="4"/>
  <c r="AI133" i="4"/>
  <c r="AI132" i="4"/>
  <c r="AI131" i="4"/>
  <c r="AI130" i="4"/>
  <c r="AI129" i="4"/>
  <c r="AI128" i="4"/>
  <c r="AI127" i="4"/>
  <c r="AO126" i="4"/>
  <c r="U126" i="4" s="1"/>
  <c r="AN126" i="4"/>
  <c r="AM126" i="4"/>
  <c r="S126" i="4" s="1"/>
  <c r="T126" i="4"/>
  <c r="AL124" i="4"/>
  <c r="CC116" i="4"/>
  <c r="AO136" i="4" s="1"/>
  <c r="CA116" i="4"/>
  <c r="AM136" i="4" s="1"/>
  <c r="S136" i="4" s="1"/>
  <c r="BZ116" i="4"/>
  <c r="AL136" i="4" s="1"/>
  <c r="AF136" i="4" s="1"/>
  <c r="BY116" i="4"/>
  <c r="AO135" i="4" s="1"/>
  <c r="BW116" i="4"/>
  <c r="AM135" i="4" s="1"/>
  <c r="BV116" i="4"/>
  <c r="AL135" i="4" s="1"/>
  <c r="AF135" i="4" s="1"/>
  <c r="BU116" i="4"/>
  <c r="AO134" i="4" s="1"/>
  <c r="BS116" i="4"/>
  <c r="AM134" i="4" s="1"/>
  <c r="S134" i="4" s="1"/>
  <c r="BR116" i="4"/>
  <c r="AL134" i="4" s="1"/>
  <c r="AF134" i="4" s="1"/>
  <c r="BQ116" i="4"/>
  <c r="AO133" i="4" s="1"/>
  <c r="BO116" i="4"/>
  <c r="AM133" i="4" s="1"/>
  <c r="BN116" i="4"/>
  <c r="AL133" i="4" s="1"/>
  <c r="AF133" i="4" s="1"/>
  <c r="BM116" i="4"/>
  <c r="AO132" i="4" s="1"/>
  <c r="BK116" i="4"/>
  <c r="AM132" i="4" s="1"/>
  <c r="S132" i="4" s="1"/>
  <c r="BJ116" i="4"/>
  <c r="AL132" i="4" s="1"/>
  <c r="AF132" i="4" s="1"/>
  <c r="BI116" i="4"/>
  <c r="AO131" i="4" s="1"/>
  <c r="BG116" i="4"/>
  <c r="AM131" i="4" s="1"/>
  <c r="BF116" i="4"/>
  <c r="AL131" i="4" s="1"/>
  <c r="AF131" i="4" s="1"/>
  <c r="BE116" i="4"/>
  <c r="AO130" i="4" s="1"/>
  <c r="BC116" i="4"/>
  <c r="AM130" i="4" s="1"/>
  <c r="S130" i="4" s="1"/>
  <c r="BB116" i="4"/>
  <c r="AL130" i="4" s="1"/>
  <c r="AF130" i="4" s="1"/>
  <c r="BA116" i="4"/>
  <c r="AO129" i="4" s="1"/>
  <c r="AY116" i="4"/>
  <c r="AM129" i="4" s="1"/>
  <c r="AX116" i="4"/>
  <c r="AW116" i="4"/>
  <c r="AV116" i="4"/>
  <c r="AL129" i="4" s="1"/>
  <c r="AF129" i="4" s="1"/>
  <c r="AU116" i="4"/>
  <c r="AO128" i="4" s="1"/>
  <c r="AS116" i="4"/>
  <c r="AM128" i="4" s="1"/>
  <c r="S128" i="4" s="1"/>
  <c r="AR116" i="4"/>
  <c r="AQ116" i="4"/>
  <c r="AP116" i="4"/>
  <c r="AL128" i="4" s="1"/>
  <c r="AF128" i="4" s="1"/>
  <c r="AO116" i="4"/>
  <c r="AO127" i="4" s="1"/>
  <c r="AM116" i="4"/>
  <c r="AM127" i="4" s="1"/>
  <c r="AL116" i="4"/>
  <c r="AK116" i="4"/>
  <c r="AJ116" i="4"/>
  <c r="AL127" i="4" s="1"/>
  <c r="AC115" i="4"/>
  <c r="AB115" i="4"/>
  <c r="AA115" i="4"/>
  <c r="Z115" i="4"/>
  <c r="Y115" i="4"/>
  <c r="X115" i="4"/>
  <c r="W115" i="4"/>
  <c r="V115" i="4"/>
  <c r="U115" i="4"/>
  <c r="T115" i="4"/>
  <c r="S115" i="4"/>
  <c r="AC114" i="4"/>
  <c r="AB114" i="4"/>
  <c r="AA114" i="4"/>
  <c r="Z114" i="4"/>
  <c r="Y114" i="4"/>
  <c r="X114" i="4"/>
  <c r="W114" i="4"/>
  <c r="V114" i="4"/>
  <c r="U114" i="4"/>
  <c r="T114" i="4"/>
  <c r="S114" i="4"/>
  <c r="AC113" i="4"/>
  <c r="AB113" i="4"/>
  <c r="AA113" i="4"/>
  <c r="Z113" i="4"/>
  <c r="Y113" i="4"/>
  <c r="X113" i="4"/>
  <c r="W113" i="4"/>
  <c r="V113" i="4"/>
  <c r="U113" i="4"/>
  <c r="T113" i="4"/>
  <c r="S113" i="4"/>
  <c r="AC112" i="4"/>
  <c r="AB112" i="4"/>
  <c r="AA112" i="4"/>
  <c r="Z112" i="4"/>
  <c r="Y112" i="4"/>
  <c r="X112" i="4"/>
  <c r="W112" i="4"/>
  <c r="V112" i="4"/>
  <c r="U112" i="4"/>
  <c r="T112" i="4"/>
  <c r="S112" i="4"/>
  <c r="AC111" i="4"/>
  <c r="AB111" i="4"/>
  <c r="AA111" i="4"/>
  <c r="Z111" i="4"/>
  <c r="Y111" i="4"/>
  <c r="X111" i="4"/>
  <c r="W111" i="4"/>
  <c r="V111" i="4"/>
  <c r="U111" i="4"/>
  <c r="T111" i="4"/>
  <c r="S111" i="4"/>
  <c r="AC110" i="4"/>
  <c r="AB110" i="4"/>
  <c r="AA110" i="4"/>
  <c r="Z110" i="4"/>
  <c r="Y110" i="4"/>
  <c r="X110" i="4"/>
  <c r="W110" i="4"/>
  <c r="V110" i="4"/>
  <c r="U110" i="4"/>
  <c r="T110" i="4"/>
  <c r="S110" i="4"/>
  <c r="AC109" i="4"/>
  <c r="AB109" i="4"/>
  <c r="AA109" i="4"/>
  <c r="Z109" i="4"/>
  <c r="Y109" i="4"/>
  <c r="X109" i="4"/>
  <c r="W109" i="4"/>
  <c r="V109" i="4"/>
  <c r="U109" i="4"/>
  <c r="T109" i="4"/>
  <c r="S109" i="4"/>
  <c r="AC108" i="4"/>
  <c r="AB108" i="4"/>
  <c r="AA108" i="4"/>
  <c r="Z108" i="4"/>
  <c r="Y108" i="4"/>
  <c r="X108" i="4"/>
  <c r="W108" i="4"/>
  <c r="V108" i="4"/>
  <c r="U108" i="4"/>
  <c r="T108" i="4"/>
  <c r="S108" i="4"/>
  <c r="AC107" i="4"/>
  <c r="AB107" i="4"/>
  <c r="AA107" i="4"/>
  <c r="Z107" i="4"/>
  <c r="Y107" i="4"/>
  <c r="X107" i="4"/>
  <c r="W107" i="4"/>
  <c r="V107" i="4"/>
  <c r="U107" i="4"/>
  <c r="T107" i="4"/>
  <c r="S107" i="4"/>
  <c r="AC106" i="4"/>
  <c r="AB106" i="4"/>
  <c r="AA106" i="4"/>
  <c r="Z106" i="4"/>
  <c r="Y106" i="4"/>
  <c r="X106" i="4"/>
  <c r="W106" i="4"/>
  <c r="V106" i="4"/>
  <c r="U106" i="4"/>
  <c r="T106" i="4"/>
  <c r="S106" i="4"/>
  <c r="AC105" i="4"/>
  <c r="AB105" i="4"/>
  <c r="AA105" i="4"/>
  <c r="Z105" i="4"/>
  <c r="Y105" i="4"/>
  <c r="X105" i="4"/>
  <c r="W105" i="4"/>
  <c r="V105" i="4"/>
  <c r="U105" i="4"/>
  <c r="T105" i="4"/>
  <c r="S105" i="4"/>
  <c r="AC104" i="4"/>
  <c r="AB104" i="4"/>
  <c r="AA104" i="4"/>
  <c r="Z104" i="4"/>
  <c r="Y104" i="4"/>
  <c r="X104" i="4"/>
  <c r="W104" i="4"/>
  <c r="V104" i="4"/>
  <c r="U104" i="4"/>
  <c r="T104" i="4"/>
  <c r="S104" i="4"/>
  <c r="AC103" i="4"/>
  <c r="AB103" i="4"/>
  <c r="AA103" i="4"/>
  <c r="Z103" i="4"/>
  <c r="Y103" i="4"/>
  <c r="X103" i="4"/>
  <c r="W103" i="4"/>
  <c r="V103" i="4"/>
  <c r="U103" i="4"/>
  <c r="T103" i="4"/>
  <c r="S103" i="4"/>
  <c r="AC102" i="4"/>
  <c r="AB102" i="4"/>
  <c r="AA102" i="4"/>
  <c r="Z102" i="4"/>
  <c r="Y102" i="4"/>
  <c r="X102" i="4"/>
  <c r="W102" i="4"/>
  <c r="V102" i="4"/>
  <c r="U102" i="4"/>
  <c r="T102" i="4"/>
  <c r="S102" i="4"/>
  <c r="AC101" i="4"/>
  <c r="AB101" i="4"/>
  <c r="AA101" i="4"/>
  <c r="Z101" i="4"/>
  <c r="Y101" i="4"/>
  <c r="X101" i="4"/>
  <c r="W101" i="4"/>
  <c r="V101" i="4"/>
  <c r="U101" i="4"/>
  <c r="T101" i="4"/>
  <c r="S101" i="4"/>
  <c r="AC100" i="4"/>
  <c r="AB100" i="4"/>
  <c r="AA100" i="4"/>
  <c r="Z100" i="4"/>
  <c r="Y100" i="4"/>
  <c r="X100" i="4"/>
  <c r="W100" i="4"/>
  <c r="V100" i="4"/>
  <c r="U100" i="4"/>
  <c r="T100" i="4"/>
  <c r="S100" i="4"/>
  <c r="AC99" i="4"/>
  <c r="AB99" i="4"/>
  <c r="AA99" i="4"/>
  <c r="Z99" i="4"/>
  <c r="Y99" i="4"/>
  <c r="X99" i="4"/>
  <c r="W99" i="4"/>
  <c r="V99" i="4"/>
  <c r="U99" i="4"/>
  <c r="T99" i="4"/>
  <c r="S99" i="4"/>
  <c r="AC98" i="4"/>
  <c r="AB98" i="4"/>
  <c r="AA98" i="4"/>
  <c r="Z98" i="4"/>
  <c r="Y98" i="4"/>
  <c r="X98" i="4"/>
  <c r="W98" i="4"/>
  <c r="V98" i="4"/>
  <c r="U98" i="4"/>
  <c r="T98" i="4"/>
  <c r="S98" i="4"/>
  <c r="AC97" i="4"/>
  <c r="AB97" i="4"/>
  <c r="AA97" i="4"/>
  <c r="Z97" i="4"/>
  <c r="Y97" i="4"/>
  <c r="X97" i="4"/>
  <c r="W97" i="4"/>
  <c r="V97" i="4"/>
  <c r="U97" i="4"/>
  <c r="T97" i="4"/>
  <c r="S97" i="4"/>
  <c r="AC96" i="4"/>
  <c r="AB96" i="4"/>
  <c r="AA96" i="4"/>
  <c r="Z96" i="4"/>
  <c r="Y96" i="4"/>
  <c r="X96" i="4"/>
  <c r="W96" i="4"/>
  <c r="V96" i="4"/>
  <c r="U96" i="4"/>
  <c r="T96" i="4"/>
  <c r="S96" i="4"/>
  <c r="AC95" i="4"/>
  <c r="AB95" i="4"/>
  <c r="AA95" i="4"/>
  <c r="Z95" i="4"/>
  <c r="Y95" i="4"/>
  <c r="X95" i="4"/>
  <c r="W95" i="4"/>
  <c r="V95" i="4"/>
  <c r="U95" i="4"/>
  <c r="T95" i="4"/>
  <c r="S95" i="4"/>
  <c r="AC94" i="4"/>
  <c r="AB94" i="4"/>
  <c r="AA94" i="4"/>
  <c r="Z94" i="4"/>
  <c r="Y94" i="4"/>
  <c r="X94" i="4"/>
  <c r="W94" i="4"/>
  <c r="V94" i="4"/>
  <c r="U94" i="4"/>
  <c r="T94" i="4"/>
  <c r="S94" i="4"/>
  <c r="AC93" i="4"/>
  <c r="AB93" i="4"/>
  <c r="AA93" i="4"/>
  <c r="Z93" i="4"/>
  <c r="Y93" i="4"/>
  <c r="X93" i="4"/>
  <c r="W93" i="4"/>
  <c r="V93" i="4"/>
  <c r="U93" i="4"/>
  <c r="T93" i="4"/>
  <c r="S93" i="4"/>
  <c r="AC92" i="4"/>
  <c r="AB92" i="4"/>
  <c r="AA92" i="4"/>
  <c r="Z92" i="4"/>
  <c r="Y92" i="4"/>
  <c r="X92" i="4"/>
  <c r="W92" i="4"/>
  <c r="V92" i="4"/>
  <c r="U92" i="4"/>
  <c r="T92" i="4"/>
  <c r="S92" i="4"/>
  <c r="AC91" i="4"/>
  <c r="AB91" i="4"/>
  <c r="AA91" i="4"/>
  <c r="Z91" i="4"/>
  <c r="Y91" i="4"/>
  <c r="X91" i="4"/>
  <c r="W91" i="4"/>
  <c r="V91" i="4"/>
  <c r="U91" i="4"/>
  <c r="T91" i="4"/>
  <c r="S91" i="4"/>
  <c r="AC90" i="4"/>
  <c r="AB90" i="4"/>
  <c r="AA90" i="4"/>
  <c r="Z90" i="4"/>
  <c r="Y90" i="4"/>
  <c r="X90" i="4"/>
  <c r="W90" i="4"/>
  <c r="V90" i="4"/>
  <c r="U90" i="4"/>
  <c r="T90" i="4"/>
  <c r="S90" i="4"/>
  <c r="AC89" i="4"/>
  <c r="AB89" i="4"/>
  <c r="AA89" i="4"/>
  <c r="Z89" i="4"/>
  <c r="Y89" i="4"/>
  <c r="X89" i="4"/>
  <c r="W89" i="4"/>
  <c r="V89" i="4"/>
  <c r="U89" i="4"/>
  <c r="T89" i="4"/>
  <c r="S89" i="4"/>
  <c r="AC88" i="4"/>
  <c r="AB88" i="4"/>
  <c r="AA88" i="4"/>
  <c r="Z88" i="4"/>
  <c r="Y88" i="4"/>
  <c r="X88" i="4"/>
  <c r="W88" i="4"/>
  <c r="V88" i="4"/>
  <c r="U88" i="4"/>
  <c r="T88" i="4"/>
  <c r="S88" i="4"/>
  <c r="AC87" i="4"/>
  <c r="AB87" i="4"/>
  <c r="AA87" i="4"/>
  <c r="Z87" i="4"/>
  <c r="Y87" i="4"/>
  <c r="X87" i="4"/>
  <c r="W87" i="4"/>
  <c r="V87" i="4"/>
  <c r="U87" i="4"/>
  <c r="T87" i="4"/>
  <c r="S87" i="4"/>
  <c r="AC86" i="4"/>
  <c r="AB86" i="4"/>
  <c r="AA86" i="4"/>
  <c r="Z86" i="4"/>
  <c r="Y86" i="4"/>
  <c r="X86" i="4"/>
  <c r="W86" i="4"/>
  <c r="V86" i="4"/>
  <c r="U86" i="4"/>
  <c r="T86" i="4"/>
  <c r="S86" i="4"/>
  <c r="AC85" i="4"/>
  <c r="AB85" i="4"/>
  <c r="AA85" i="4"/>
  <c r="Z85" i="4"/>
  <c r="Y85" i="4"/>
  <c r="X85" i="4"/>
  <c r="W85" i="4"/>
  <c r="V85" i="4"/>
  <c r="U85" i="4"/>
  <c r="T85" i="4"/>
  <c r="S85" i="4"/>
  <c r="AC84" i="4"/>
  <c r="AB84" i="4"/>
  <c r="CB116" i="4" s="1"/>
  <c r="AN136" i="4" s="1"/>
  <c r="T136" i="4" s="1"/>
  <c r="AA84" i="4"/>
  <c r="BX116" i="4" s="1"/>
  <c r="AN135" i="4" s="1"/>
  <c r="T135" i="4" s="1"/>
  <c r="Z84" i="4"/>
  <c r="BT116" i="4" s="1"/>
  <c r="AN134" i="4" s="1"/>
  <c r="T134" i="4" s="1"/>
  <c r="Y84" i="4"/>
  <c r="BP116" i="4" s="1"/>
  <c r="AN133" i="4" s="1"/>
  <c r="T133" i="4" s="1"/>
  <c r="X84" i="4"/>
  <c r="BL116" i="4" s="1"/>
  <c r="AN132" i="4" s="1"/>
  <c r="T132" i="4" s="1"/>
  <c r="W84" i="4"/>
  <c r="BH116" i="4" s="1"/>
  <c r="AN131" i="4" s="1"/>
  <c r="T131" i="4" s="1"/>
  <c r="V84" i="4"/>
  <c r="BD116" i="4" s="1"/>
  <c r="AN130" i="4" s="1"/>
  <c r="T130" i="4" s="1"/>
  <c r="U84" i="4"/>
  <c r="AN117" i="4" s="1"/>
  <c r="T84" i="4"/>
  <c r="AZ117" i="4" s="1"/>
  <c r="S84" i="4"/>
  <c r="AT117" i="4" s="1"/>
  <c r="AB83" i="4"/>
  <c r="AA83" i="4"/>
  <c r="Z83" i="4"/>
  <c r="Y83" i="4"/>
  <c r="X83" i="4"/>
  <c r="W83" i="4"/>
  <c r="V83" i="4"/>
  <c r="U83" i="4"/>
  <c r="T83" i="4"/>
  <c r="S83" i="4"/>
  <c r="D77" i="4"/>
  <c r="C77" i="4"/>
  <c r="B77" i="4"/>
  <c r="C76" i="4"/>
  <c r="B76" i="4"/>
  <c r="D75" i="4"/>
  <c r="C75" i="4"/>
  <c r="B75" i="4"/>
  <c r="D74" i="4"/>
  <c r="C74" i="4"/>
  <c r="B74" i="4"/>
  <c r="C73" i="4"/>
  <c r="B73" i="4"/>
  <c r="R64" i="4"/>
  <c r="R63" i="4"/>
  <c r="X62" i="4"/>
  <c r="D62" i="4" s="1"/>
  <c r="W62" i="4"/>
  <c r="V62" i="4"/>
  <c r="B62" i="4" s="1"/>
  <c r="C62" i="4"/>
  <c r="U60" i="4"/>
  <c r="BL52" i="4"/>
  <c r="BJ52" i="4"/>
  <c r="BI52" i="4"/>
  <c r="BH52" i="4"/>
  <c r="BF52" i="4"/>
  <c r="B71" i="4" s="1"/>
  <c r="BE52" i="4"/>
  <c r="BD52" i="4"/>
  <c r="BB52" i="4"/>
  <c r="BA52" i="4"/>
  <c r="AZ52" i="4"/>
  <c r="AX52" i="4"/>
  <c r="B69" i="4" s="1"/>
  <c r="AW52" i="4"/>
  <c r="AV52" i="4"/>
  <c r="AT52" i="4"/>
  <c r="AS52" i="4"/>
  <c r="AR52" i="4"/>
  <c r="AP52" i="4"/>
  <c r="B67" i="4" s="1"/>
  <c r="AO52" i="4"/>
  <c r="AN52" i="4"/>
  <c r="AL52" i="4"/>
  <c r="AK52" i="4"/>
  <c r="AJ52" i="4"/>
  <c r="AH52" i="4"/>
  <c r="AG52" i="4"/>
  <c r="AF52" i="4"/>
  <c r="AE52" i="4"/>
  <c r="AD52" i="4"/>
  <c r="X64" i="4" s="1"/>
  <c r="AB52" i="4"/>
  <c r="V64" i="4" s="1"/>
  <c r="B64" i="4" s="1"/>
  <c r="AA52" i="4"/>
  <c r="Z52" i="4"/>
  <c r="Y52" i="4"/>
  <c r="U64" i="4" s="1"/>
  <c r="X52" i="4"/>
  <c r="X63" i="4" s="1"/>
  <c r="V52" i="4"/>
  <c r="V63" i="4" s="1"/>
  <c r="U52" i="4"/>
  <c r="T52" i="4"/>
  <c r="S52" i="4"/>
  <c r="U63" i="4" s="1"/>
  <c r="L51" i="4"/>
  <c r="K51" i="4"/>
  <c r="J51" i="4"/>
  <c r="I51" i="4"/>
  <c r="H51" i="4"/>
  <c r="G51" i="4"/>
  <c r="F51" i="4"/>
  <c r="E51" i="4"/>
  <c r="D51" i="4"/>
  <c r="C51" i="4"/>
  <c r="B51" i="4"/>
  <c r="L50" i="4"/>
  <c r="K50" i="4"/>
  <c r="J50" i="4"/>
  <c r="I50" i="4"/>
  <c r="H50" i="4"/>
  <c r="G50" i="4"/>
  <c r="F50" i="4"/>
  <c r="E50" i="4"/>
  <c r="D50" i="4"/>
  <c r="C50" i="4"/>
  <c r="B50" i="4"/>
  <c r="L49" i="4"/>
  <c r="K49" i="4"/>
  <c r="J49" i="4"/>
  <c r="I49" i="4"/>
  <c r="H49" i="4"/>
  <c r="G49" i="4"/>
  <c r="F49" i="4"/>
  <c r="E49" i="4"/>
  <c r="D49" i="4"/>
  <c r="C49" i="4"/>
  <c r="B49" i="4"/>
  <c r="L48" i="4"/>
  <c r="K48" i="4"/>
  <c r="J48" i="4"/>
  <c r="I48" i="4"/>
  <c r="H48" i="4"/>
  <c r="G48" i="4"/>
  <c r="F48" i="4"/>
  <c r="E48" i="4"/>
  <c r="D48" i="4"/>
  <c r="C48" i="4"/>
  <c r="B48" i="4"/>
  <c r="L47" i="4"/>
  <c r="K47" i="4"/>
  <c r="J47" i="4"/>
  <c r="I47" i="4"/>
  <c r="H47" i="4"/>
  <c r="G47" i="4"/>
  <c r="F47" i="4"/>
  <c r="E47" i="4"/>
  <c r="D47" i="4"/>
  <c r="C47" i="4"/>
  <c r="B47" i="4"/>
  <c r="L46" i="4"/>
  <c r="K46" i="4"/>
  <c r="J46" i="4"/>
  <c r="I46" i="4"/>
  <c r="H46" i="4"/>
  <c r="G46" i="4"/>
  <c r="F46" i="4"/>
  <c r="E46" i="4"/>
  <c r="D46" i="4"/>
  <c r="C46" i="4"/>
  <c r="B46" i="4"/>
  <c r="L45" i="4"/>
  <c r="K45" i="4"/>
  <c r="J45" i="4"/>
  <c r="I45" i="4"/>
  <c r="H45" i="4"/>
  <c r="G45" i="4"/>
  <c r="F45" i="4"/>
  <c r="E45" i="4"/>
  <c r="D45" i="4"/>
  <c r="C45" i="4"/>
  <c r="B45" i="4"/>
  <c r="L44" i="4"/>
  <c r="K44" i="4"/>
  <c r="J44" i="4"/>
  <c r="I44" i="4"/>
  <c r="H44" i="4"/>
  <c r="G44" i="4"/>
  <c r="F44" i="4"/>
  <c r="E44" i="4"/>
  <c r="D44" i="4"/>
  <c r="C44" i="4"/>
  <c r="B44" i="4"/>
  <c r="L43" i="4"/>
  <c r="K43" i="4"/>
  <c r="J43" i="4"/>
  <c r="I43" i="4"/>
  <c r="H43" i="4"/>
  <c r="G43" i="4"/>
  <c r="F43" i="4"/>
  <c r="E43" i="4"/>
  <c r="D43" i="4"/>
  <c r="C43" i="4"/>
  <c r="B43" i="4"/>
  <c r="L42" i="4"/>
  <c r="K42" i="4"/>
  <c r="J42" i="4"/>
  <c r="I42" i="4"/>
  <c r="H42" i="4"/>
  <c r="G42" i="4"/>
  <c r="F42" i="4"/>
  <c r="E42" i="4"/>
  <c r="D42" i="4"/>
  <c r="C42" i="4"/>
  <c r="B42" i="4"/>
  <c r="L41" i="4"/>
  <c r="K41" i="4"/>
  <c r="J41" i="4"/>
  <c r="I41" i="4"/>
  <c r="H41" i="4"/>
  <c r="G41" i="4"/>
  <c r="F41" i="4"/>
  <c r="E41" i="4"/>
  <c r="D41" i="4"/>
  <c r="C41" i="4"/>
  <c r="B41" i="4"/>
  <c r="L40" i="4"/>
  <c r="K40" i="4"/>
  <c r="J40" i="4"/>
  <c r="I40" i="4"/>
  <c r="H40" i="4"/>
  <c r="G40" i="4"/>
  <c r="F40" i="4"/>
  <c r="E40" i="4"/>
  <c r="D40" i="4"/>
  <c r="C40" i="4"/>
  <c r="B40" i="4"/>
  <c r="L39" i="4"/>
  <c r="K39" i="4"/>
  <c r="J39" i="4"/>
  <c r="I39" i="4"/>
  <c r="H39" i="4"/>
  <c r="G39" i="4"/>
  <c r="F39" i="4"/>
  <c r="E39" i="4"/>
  <c r="D39" i="4"/>
  <c r="C39" i="4"/>
  <c r="B39" i="4"/>
  <c r="L38" i="4"/>
  <c r="K38" i="4"/>
  <c r="J38" i="4"/>
  <c r="I38" i="4"/>
  <c r="H38" i="4"/>
  <c r="G38" i="4"/>
  <c r="F38" i="4"/>
  <c r="E38" i="4"/>
  <c r="D38" i="4"/>
  <c r="C38" i="4"/>
  <c r="B38" i="4"/>
  <c r="L37" i="4"/>
  <c r="K37" i="4"/>
  <c r="J37" i="4"/>
  <c r="I37" i="4"/>
  <c r="H37" i="4"/>
  <c r="G37" i="4"/>
  <c r="F37" i="4"/>
  <c r="E37" i="4"/>
  <c r="D37" i="4"/>
  <c r="C37" i="4"/>
  <c r="B37" i="4"/>
  <c r="L36" i="4"/>
  <c r="K36" i="4"/>
  <c r="J36" i="4"/>
  <c r="I36" i="4"/>
  <c r="H36" i="4"/>
  <c r="G36" i="4"/>
  <c r="F36" i="4"/>
  <c r="E36" i="4"/>
  <c r="D36" i="4"/>
  <c r="C36" i="4"/>
  <c r="B36" i="4"/>
  <c r="L35" i="4"/>
  <c r="K35" i="4"/>
  <c r="J35" i="4"/>
  <c r="I35" i="4"/>
  <c r="H35" i="4"/>
  <c r="G35" i="4"/>
  <c r="F35" i="4"/>
  <c r="E35" i="4"/>
  <c r="D35" i="4"/>
  <c r="C35" i="4"/>
  <c r="B35" i="4"/>
  <c r="L34" i="4"/>
  <c r="K34" i="4"/>
  <c r="J34" i="4"/>
  <c r="I34" i="4"/>
  <c r="H34" i="4"/>
  <c r="G34" i="4"/>
  <c r="F34" i="4"/>
  <c r="E34" i="4"/>
  <c r="D34" i="4"/>
  <c r="C34" i="4"/>
  <c r="B34" i="4"/>
  <c r="L33" i="4"/>
  <c r="K33" i="4"/>
  <c r="J33" i="4"/>
  <c r="I33" i="4"/>
  <c r="H33" i="4"/>
  <c r="G33" i="4"/>
  <c r="F33" i="4"/>
  <c r="E33" i="4"/>
  <c r="D33" i="4"/>
  <c r="C33" i="4"/>
  <c r="B33" i="4"/>
  <c r="L32" i="4"/>
  <c r="K32" i="4"/>
  <c r="J32" i="4"/>
  <c r="I32" i="4"/>
  <c r="H32" i="4"/>
  <c r="G32" i="4"/>
  <c r="F32" i="4"/>
  <c r="E32" i="4"/>
  <c r="D32" i="4"/>
  <c r="C32" i="4"/>
  <c r="B32" i="4"/>
  <c r="L31" i="4"/>
  <c r="K31" i="4"/>
  <c r="J31" i="4"/>
  <c r="I31" i="4"/>
  <c r="H31" i="4"/>
  <c r="G31" i="4"/>
  <c r="F31" i="4"/>
  <c r="E31" i="4"/>
  <c r="D31" i="4"/>
  <c r="C31" i="4"/>
  <c r="B31" i="4"/>
  <c r="L30" i="4"/>
  <c r="K30" i="4"/>
  <c r="J30" i="4"/>
  <c r="I30" i="4"/>
  <c r="H30" i="4"/>
  <c r="G30" i="4"/>
  <c r="F30" i="4"/>
  <c r="E30" i="4"/>
  <c r="D30" i="4"/>
  <c r="C30" i="4"/>
  <c r="B30" i="4"/>
  <c r="L29" i="4"/>
  <c r="K29" i="4"/>
  <c r="J29" i="4"/>
  <c r="I29" i="4"/>
  <c r="H29" i="4"/>
  <c r="G29" i="4"/>
  <c r="F29" i="4"/>
  <c r="E29" i="4"/>
  <c r="D29" i="4"/>
  <c r="C29" i="4"/>
  <c r="B29" i="4"/>
  <c r="L28" i="4"/>
  <c r="K28" i="4"/>
  <c r="J28" i="4"/>
  <c r="I28" i="4"/>
  <c r="H28" i="4"/>
  <c r="G28" i="4"/>
  <c r="F28" i="4"/>
  <c r="E28" i="4"/>
  <c r="D28" i="4"/>
  <c r="C28" i="4"/>
  <c r="B28" i="4"/>
  <c r="L27" i="4"/>
  <c r="K27" i="4"/>
  <c r="J27" i="4"/>
  <c r="I27" i="4"/>
  <c r="H27" i="4"/>
  <c r="G27" i="4"/>
  <c r="F27" i="4"/>
  <c r="E27" i="4"/>
  <c r="D27" i="4"/>
  <c r="C27" i="4"/>
  <c r="B27" i="4"/>
  <c r="L26" i="4"/>
  <c r="K26" i="4"/>
  <c r="J26" i="4"/>
  <c r="I26" i="4"/>
  <c r="H26" i="4"/>
  <c r="G26" i="4"/>
  <c r="F26" i="4"/>
  <c r="E26" i="4"/>
  <c r="D26" i="4"/>
  <c r="C26" i="4"/>
  <c r="B26" i="4"/>
  <c r="L25" i="4"/>
  <c r="K25" i="4"/>
  <c r="J25" i="4"/>
  <c r="I25" i="4"/>
  <c r="H25" i="4"/>
  <c r="G25" i="4"/>
  <c r="F25" i="4"/>
  <c r="E25" i="4"/>
  <c r="D25" i="4"/>
  <c r="C25" i="4"/>
  <c r="B25" i="4"/>
  <c r="L24" i="4"/>
  <c r="K24" i="4"/>
  <c r="J24" i="4"/>
  <c r="I24" i="4"/>
  <c r="H24" i="4"/>
  <c r="G24" i="4"/>
  <c r="F24" i="4"/>
  <c r="E24" i="4"/>
  <c r="D24" i="4"/>
  <c r="C24" i="4"/>
  <c r="B24" i="4"/>
  <c r="L23" i="4"/>
  <c r="K23" i="4"/>
  <c r="J23" i="4"/>
  <c r="I23" i="4"/>
  <c r="H23" i="4"/>
  <c r="G23" i="4"/>
  <c r="F23" i="4"/>
  <c r="E23" i="4"/>
  <c r="D23" i="4"/>
  <c r="C23" i="4"/>
  <c r="B23" i="4"/>
  <c r="L22" i="4"/>
  <c r="K22" i="4"/>
  <c r="J22" i="4"/>
  <c r="I22" i="4"/>
  <c r="H22" i="4"/>
  <c r="G22" i="4"/>
  <c r="F22" i="4"/>
  <c r="E22" i="4"/>
  <c r="D22" i="4"/>
  <c r="C22" i="4"/>
  <c r="B22" i="4"/>
  <c r="L21" i="4"/>
  <c r="K21" i="4"/>
  <c r="J21" i="4"/>
  <c r="I21" i="4"/>
  <c r="H21" i="4"/>
  <c r="G21" i="4"/>
  <c r="F21" i="4"/>
  <c r="E21" i="4"/>
  <c r="D21" i="4"/>
  <c r="C21" i="4"/>
  <c r="B21" i="4"/>
  <c r="L20" i="4"/>
  <c r="K20" i="4"/>
  <c r="BK52" i="4" s="1"/>
  <c r="C72" i="4" s="1"/>
  <c r="J20" i="4"/>
  <c r="BG52" i="4" s="1"/>
  <c r="C71" i="4" s="1"/>
  <c r="I20" i="4"/>
  <c r="BC52" i="4" s="1"/>
  <c r="C70" i="4" s="1"/>
  <c r="H20" i="4"/>
  <c r="AY52" i="4" s="1"/>
  <c r="C69" i="4" s="1"/>
  <c r="G20" i="4"/>
  <c r="AU52" i="4" s="1"/>
  <c r="C68" i="4" s="1"/>
  <c r="F20" i="4"/>
  <c r="AQ52" i="4" s="1"/>
  <c r="C67" i="4" s="1"/>
  <c r="E20" i="4"/>
  <c r="AM52" i="4" s="1"/>
  <c r="C66" i="4" s="1"/>
  <c r="D20" i="4"/>
  <c r="W53" i="4" s="1"/>
  <c r="C20" i="4"/>
  <c r="AI53" i="4" s="1"/>
  <c r="B20" i="4"/>
  <c r="AC53" i="4" s="1"/>
  <c r="K19" i="4"/>
  <c r="J19" i="4"/>
  <c r="I19" i="4"/>
  <c r="H19" i="4"/>
  <c r="G19" i="4"/>
  <c r="F19" i="4"/>
  <c r="E19" i="4"/>
  <c r="D19" i="4"/>
  <c r="C19" i="4"/>
  <c r="B19" i="4"/>
  <c r="AL139" i="4" l="1"/>
  <c r="AF127" i="4"/>
  <c r="AF139" i="4" s="1"/>
  <c r="U127" i="4"/>
  <c r="AO139" i="4" s="1"/>
  <c r="U129" i="4"/>
  <c r="U131" i="4"/>
  <c r="U133" i="4"/>
  <c r="U135" i="4"/>
  <c r="S127" i="4"/>
  <c r="AM139" i="4" s="1"/>
  <c r="U128" i="4"/>
  <c r="S129" i="4"/>
  <c r="U130" i="4"/>
  <c r="S131" i="4"/>
  <c r="U132" i="4"/>
  <c r="S133" i="4"/>
  <c r="U134" i="4"/>
  <c r="S135" i="4"/>
  <c r="U136" i="4"/>
  <c r="AN116" i="4"/>
  <c r="AN127" i="4" s="1"/>
  <c r="T127" i="4" s="1"/>
  <c r="AT116" i="4"/>
  <c r="AN128" i="4" s="1"/>
  <c r="T128" i="4" s="1"/>
  <c r="AZ116" i="4"/>
  <c r="AN129" i="4" s="1"/>
  <c r="T129" i="4" s="1"/>
  <c r="O63" i="4"/>
  <c r="D63" i="4"/>
  <c r="D65" i="4"/>
  <c r="B66" i="4"/>
  <c r="O67" i="4"/>
  <c r="D67" i="4"/>
  <c r="B68" i="4"/>
  <c r="D69" i="4"/>
  <c r="B70" i="4"/>
  <c r="O71" i="4"/>
  <c r="D71" i="4"/>
  <c r="B72" i="4"/>
  <c r="B63" i="4"/>
  <c r="O64" i="4"/>
  <c r="D64" i="4"/>
  <c r="B65" i="4"/>
  <c r="O66" i="4"/>
  <c r="D66" i="4"/>
  <c r="O68" i="4"/>
  <c r="D68" i="4"/>
  <c r="O70" i="4"/>
  <c r="D70" i="4"/>
  <c r="O72" i="4"/>
  <c r="D72" i="4"/>
  <c r="W52" i="4"/>
  <c r="W63" i="4" s="1"/>
  <c r="C63" i="4" s="1"/>
  <c r="AC52" i="4"/>
  <c r="W64" i="4" s="1"/>
  <c r="C64" i="4" s="1"/>
  <c r="AI52" i="4"/>
  <c r="C65" i="4" s="1"/>
  <c r="AN139" i="4" l="1"/>
  <c r="O69" i="4"/>
  <c r="O65" i="4"/>
  <c r="O75" i="4" s="1"/>
</calcChain>
</file>

<file path=xl/sharedStrings.xml><?xml version="1.0" encoding="utf-8"?>
<sst xmlns="http://schemas.openxmlformats.org/spreadsheetml/2006/main" count="189" uniqueCount="56">
  <si>
    <t>ИНСТРУКЦИЯ</t>
  </si>
  <si>
    <t>Скопировать итоговые характеристики насаждения "До" и "После" в лист "Расчёты для проекта"</t>
  </si>
  <si>
    <t>Скопировать лист внутри книги Excel</t>
  </si>
  <si>
    <t>Заполнить Проект рубок ухода</t>
  </si>
  <si>
    <t>Указать стадию (переименовать лист) "До рубки"</t>
  </si>
  <si>
    <t>Скопировать данные перечёта по породам в Перечётные ведомости</t>
  </si>
  <si>
    <t>Заполнит информацию о делянке (номер ведомости, квартал, выдел и т.д.)</t>
  </si>
  <si>
    <t>Оформить пакет сопроводительной документация на делянку</t>
  </si>
  <si>
    <t>Ввести данные перечёта</t>
  </si>
  <si>
    <t>Подать уведомление в лесничество</t>
  </si>
  <si>
    <t>Скопировать лист "до рубки" внутри книги Excel</t>
  </si>
  <si>
    <t>Провести рубку</t>
  </si>
  <si>
    <t>Указать стадию (переименовать лист) "После рубки"</t>
  </si>
  <si>
    <t>Удалить из ведомости перечёта то, что проектируется удалить в натуре</t>
  </si>
  <si>
    <t>Стадия (до, проект или после рубки)</t>
  </si>
  <si>
    <t>Перечётная ведомость</t>
  </si>
  <si>
    <t>Кв</t>
  </si>
  <si>
    <t>Выд</t>
  </si>
  <si>
    <t>делянка</t>
  </si>
  <si>
    <t>Радиус ПП, м</t>
  </si>
  <si>
    <t>Измерения выполнил: __________________   Дата, подпись, расшифровка _________________________</t>
  </si>
  <si>
    <t xml:space="preserve">Костыль для высоты </t>
  </si>
  <si>
    <t>Пор.</t>
  </si>
  <si>
    <t>Площадка</t>
  </si>
  <si>
    <t>Сосна</t>
  </si>
  <si>
    <t>Ель из подроста</t>
  </si>
  <si>
    <t>ЕЛЬ лесные культуры</t>
  </si>
  <si>
    <t>Берёза</t>
  </si>
  <si>
    <t>Осина</t>
  </si>
  <si>
    <t>Ольха серая</t>
  </si>
  <si>
    <t>Ива</t>
  </si>
  <si>
    <t>Чёрёмуха</t>
  </si>
  <si>
    <t>Дуб</t>
  </si>
  <si>
    <t>Рябина</t>
  </si>
  <si>
    <t>Всего, тыс.шт/га</t>
  </si>
  <si>
    <t>NN</t>
  </si>
  <si>
    <t>GPS точка</t>
  </si>
  <si>
    <t>ТЛ/ТУМ</t>
  </si>
  <si>
    <t>Предмет ухода</t>
  </si>
  <si>
    <t>примечание</t>
  </si>
  <si>
    <t>До 0.5м</t>
  </si>
  <si>
    <t>0,5-1,5</t>
  </si>
  <si>
    <t>&gt; 1.5</t>
  </si>
  <si>
    <t>D, см</t>
  </si>
  <si>
    <t>h, м</t>
  </si>
  <si>
    <t>A, лет</t>
  </si>
  <si>
    <t>Кол-во</t>
  </si>
  <si>
    <t>Среднее</t>
  </si>
  <si>
    <t>H выше 1.5</t>
  </si>
  <si>
    <t>D</t>
  </si>
  <si>
    <t>A</t>
  </si>
  <si>
    <t>Рубки</t>
  </si>
  <si>
    <t>Костыль для итоговых значений</t>
  </si>
  <si>
    <t>Итоговая характеристика насаждения</t>
  </si>
  <si>
    <t>Густота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</si>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</sst>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theme="1"/>
      <name val="Times New Roman"/>
      <family val="1"/>
      <charset val="204"/>
    </font>
    <font>
      <sz val="8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0" fillId="0" borderId="0" xfId="0" applyFill="1" applyBorder="1"/>
    <xf numFmtId="0" fontId="2" fillId="0" borderId="0" xfId="0" applyFont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164" fontId="0" fillId="0" borderId="0" xfId="0" applyNumberFormat="1"/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4" fillId="0" borderId="32" xfId="0" applyFont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0" fontId="4" fillId="0" borderId="34" xfId="0" applyFont="1" applyBorder="1" applyAlignment="1">
      <alignment vertical="center"/>
    </xf>
    <xf numFmtId="0" fontId="4" fillId="0" borderId="34" xfId="0" applyFont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4" fillId="0" borderId="36" xfId="0" applyFont="1" applyBorder="1" applyAlignment="1">
      <alignment vertical="center" wrapText="1"/>
    </xf>
    <xf numFmtId="0" fontId="4" fillId="0" borderId="37" xfId="0" applyFont="1" applyBorder="1" applyAlignment="1">
      <alignment vertical="center"/>
    </xf>
    <xf numFmtId="0" fontId="4" fillId="0" borderId="38" xfId="0" applyFont="1" applyBorder="1" applyAlignment="1">
      <alignment vertical="center" wrapText="1"/>
    </xf>
    <xf numFmtId="0" fontId="4" fillId="0" borderId="39" xfId="0" applyFont="1" applyBorder="1" applyAlignment="1">
      <alignment vertical="center" wrapText="1"/>
    </xf>
    <xf numFmtId="0" fontId="4" fillId="0" borderId="40" xfId="0" applyFont="1" applyBorder="1" applyAlignment="1">
      <alignment vertical="center" wrapText="1"/>
    </xf>
    <xf numFmtId="0" fontId="4" fillId="0" borderId="41" xfId="0" applyFont="1" applyBorder="1" applyAlignment="1">
      <alignment vertical="center" wrapText="1"/>
    </xf>
    <xf numFmtId="0" fontId="4" fillId="0" borderId="42" xfId="0" applyFont="1" applyBorder="1" applyAlignment="1">
      <alignment vertical="center" wrapText="1"/>
    </xf>
    <xf numFmtId="0" fontId="4" fillId="0" borderId="43" xfId="0" applyFont="1" applyBorder="1" applyAlignment="1">
      <alignment vertical="center" wrapText="1"/>
    </xf>
    <xf numFmtId="0" fontId="4" fillId="0" borderId="38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44" xfId="0" applyFont="1" applyBorder="1" applyAlignment="1">
      <alignment vertical="center" wrapText="1"/>
    </xf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vertical="center" wrapText="1"/>
    </xf>
    <xf numFmtId="0" fontId="5" fillId="0" borderId="39" xfId="0" applyFont="1" applyBorder="1" applyAlignment="1">
      <alignment vertical="center" wrapText="1"/>
    </xf>
    <xf numFmtId="0" fontId="5" fillId="0" borderId="40" xfId="0" applyFont="1" applyBorder="1" applyAlignment="1">
      <alignment vertical="center" wrapText="1"/>
    </xf>
    <xf numFmtId="0" fontId="5" fillId="0" borderId="38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164" fontId="5" fillId="0" borderId="38" xfId="0" applyNumberFormat="1" applyFont="1" applyBorder="1" applyAlignment="1">
      <alignment vertical="center"/>
    </xf>
    <xf numFmtId="164" fontId="5" fillId="0" borderId="42" xfId="0" applyNumberFormat="1" applyFont="1" applyBorder="1" applyAlignment="1">
      <alignment vertical="center"/>
    </xf>
    <xf numFmtId="164" fontId="5" fillId="0" borderId="40" xfId="0" applyNumberFormat="1" applyFont="1" applyBorder="1" applyAlignment="1">
      <alignment vertical="center"/>
    </xf>
    <xf numFmtId="164" fontId="5" fillId="0" borderId="41" xfId="0" applyNumberFormat="1" applyFont="1" applyBorder="1" applyAlignment="1">
      <alignment vertical="center"/>
    </xf>
    <xf numFmtId="164" fontId="5" fillId="0" borderId="43" xfId="0" applyNumberFormat="1" applyFont="1" applyBorder="1" applyAlignment="1">
      <alignment vertical="center"/>
    </xf>
    <xf numFmtId="0" fontId="5" fillId="0" borderId="42" xfId="0" applyFont="1" applyBorder="1" applyAlignment="1">
      <alignment vertical="center" wrapText="1"/>
    </xf>
    <xf numFmtId="164" fontId="5" fillId="0" borderId="42" xfId="0" applyNumberFormat="1" applyFont="1" applyBorder="1" applyAlignment="1">
      <alignment vertical="center" wrapText="1"/>
    </xf>
    <xf numFmtId="164" fontId="5" fillId="0" borderId="40" xfId="0" applyNumberFormat="1" applyFont="1" applyBorder="1" applyAlignment="1">
      <alignment vertical="center" wrapText="1"/>
    </xf>
    <xf numFmtId="164" fontId="5" fillId="0" borderId="43" xfId="0" applyNumberFormat="1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5" fillId="0" borderId="41" xfId="0" applyFont="1" applyBorder="1" applyAlignment="1">
      <alignment vertical="center" wrapText="1"/>
    </xf>
    <xf numFmtId="0" fontId="5" fillId="0" borderId="41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0" borderId="46" xfId="0" applyFont="1" applyBorder="1" applyAlignment="1">
      <alignment vertical="center" wrapText="1"/>
    </xf>
    <xf numFmtId="0" fontId="5" fillId="0" borderId="47" xfId="0" applyFont="1" applyBorder="1" applyAlignment="1">
      <alignment vertical="center" wrapText="1"/>
    </xf>
    <xf numFmtId="0" fontId="5" fillId="0" borderId="48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0" fontId="5" fillId="0" borderId="51" xfId="0" applyFont="1" applyBorder="1" applyAlignment="1">
      <alignment vertical="center" wrapText="1"/>
    </xf>
    <xf numFmtId="0" fontId="5" fillId="0" borderId="46" xfId="0" applyFont="1" applyBorder="1" applyAlignment="1">
      <alignment vertical="center"/>
    </xf>
    <xf numFmtId="0" fontId="5" fillId="0" borderId="50" xfId="0" applyFont="1" applyBorder="1" applyAlignment="1">
      <alignment vertical="center"/>
    </xf>
    <xf numFmtId="0" fontId="5" fillId="0" borderId="49" xfId="0" applyFont="1" applyBorder="1" applyAlignment="1">
      <alignment vertical="center"/>
    </xf>
    <xf numFmtId="0" fontId="0" fillId="0" borderId="52" xfId="0" applyBorder="1"/>
    <xf numFmtId="0" fontId="0" fillId="0" borderId="2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164" fontId="0" fillId="0" borderId="4" xfId="0" applyNumberFormat="1" applyBorder="1"/>
    <xf numFmtId="164" fontId="0" fillId="0" borderId="57" xfId="0" applyNumberFormat="1" applyBorder="1"/>
    <xf numFmtId="164" fontId="0" fillId="0" borderId="5" xfId="0" applyNumberFormat="1" applyBorder="1"/>
    <xf numFmtId="164" fontId="0" fillId="0" borderId="58" xfId="0" applyNumberFormat="1" applyBorder="1"/>
    <xf numFmtId="164" fontId="0" fillId="0" borderId="0" xfId="0" applyNumberFormat="1" applyBorder="1"/>
    <xf numFmtId="2" fontId="0" fillId="0" borderId="0" xfId="0" applyNumberFormat="1" applyBorder="1"/>
    <xf numFmtId="164" fontId="0" fillId="0" borderId="59" xfId="0" applyNumberFormat="1" applyBorder="1"/>
    <xf numFmtId="0" fontId="0" fillId="0" borderId="57" xfId="0" applyBorder="1"/>
    <xf numFmtId="0" fontId="0" fillId="0" borderId="58" xfId="0" applyBorder="1"/>
    <xf numFmtId="0" fontId="0" fillId="0" borderId="0" xfId="0" applyNumberFormat="1" applyBorder="1"/>
    <xf numFmtId="164" fontId="0" fillId="0" borderId="31" xfId="0" applyNumberFormat="1" applyBorder="1"/>
    <xf numFmtId="164" fontId="0" fillId="0" borderId="9" xfId="0" applyNumberFormat="1" applyBorder="1"/>
    <xf numFmtId="2" fontId="0" fillId="0" borderId="9" xfId="0" applyNumberFormat="1" applyBorder="1"/>
    <xf numFmtId="2" fontId="0" fillId="0" borderId="30" xfId="0" applyNumberFormat="1" applyBorder="1"/>
    <xf numFmtId="0" fontId="0" fillId="0" borderId="60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C141"/>
  <sheetViews>
    <sheetView tabSelected="1" topLeftCell="A32" workbookViewId="0">
      <selection activeCell="R65" sqref="R65:CK207"/>
    </sheetView>
  </sheetViews>
  <sheetFormatPr defaultRowHeight="14.4" x14ac:dyDescent="0.3"/>
  <sheetData>
    <row r="1" spans="14:39" ht="15" thickBot="1" x14ac:dyDescent="0.35"/>
    <row r="2" spans="14:39" x14ac:dyDescent="0.3">
      <c r="V2" s="1"/>
      <c r="W2" s="2" t="s">
        <v>0</v>
      </c>
      <c r="X2" s="2"/>
      <c r="Y2" s="3"/>
      <c r="Z2" s="3"/>
      <c r="AA2" s="3"/>
      <c r="AB2" s="3"/>
      <c r="AC2" s="3"/>
      <c r="AD2" s="3"/>
      <c r="AE2" s="3">
        <v>8</v>
      </c>
      <c r="AF2" s="3" t="s">
        <v>1</v>
      </c>
      <c r="AG2" s="3"/>
      <c r="AH2" s="3"/>
      <c r="AI2" s="3"/>
      <c r="AJ2" s="3"/>
      <c r="AK2" s="3"/>
      <c r="AL2" s="3"/>
      <c r="AM2" s="4"/>
    </row>
    <row r="3" spans="14:39" x14ac:dyDescent="0.3">
      <c r="V3" s="5">
        <v>1</v>
      </c>
      <c r="W3" s="6" t="s">
        <v>2</v>
      </c>
      <c r="X3" s="6"/>
      <c r="Y3" s="6"/>
      <c r="Z3" s="6"/>
      <c r="AA3" s="6"/>
      <c r="AB3" s="6"/>
      <c r="AC3" s="6"/>
      <c r="AD3" s="6"/>
      <c r="AE3" s="6">
        <v>9</v>
      </c>
      <c r="AF3" s="6" t="s">
        <v>3</v>
      </c>
      <c r="AG3" s="6"/>
      <c r="AH3" s="6"/>
      <c r="AI3" s="6"/>
      <c r="AJ3" s="6"/>
      <c r="AK3" s="6"/>
      <c r="AL3" s="6"/>
      <c r="AM3" s="7"/>
    </row>
    <row r="4" spans="14:39" x14ac:dyDescent="0.3">
      <c r="V4" s="5">
        <v>2</v>
      </c>
      <c r="W4" s="6" t="s">
        <v>4</v>
      </c>
      <c r="X4" s="6"/>
      <c r="Y4" s="6"/>
      <c r="Z4" s="6"/>
      <c r="AA4" s="6"/>
      <c r="AB4" s="6"/>
      <c r="AC4" s="6"/>
      <c r="AD4" s="6"/>
      <c r="AE4" s="6">
        <v>10</v>
      </c>
      <c r="AF4" s="6" t="s">
        <v>5</v>
      </c>
      <c r="AG4" s="6"/>
      <c r="AH4" s="6"/>
      <c r="AI4" s="6"/>
      <c r="AJ4" s="6"/>
      <c r="AK4" s="6"/>
      <c r="AL4" s="6"/>
      <c r="AM4" s="7"/>
    </row>
    <row r="5" spans="14:39" x14ac:dyDescent="0.3">
      <c r="V5" s="5">
        <v>3</v>
      </c>
      <c r="W5" s="6" t="s">
        <v>6</v>
      </c>
      <c r="X5" s="6"/>
      <c r="Y5" s="6"/>
      <c r="Z5" s="6"/>
      <c r="AA5" s="6"/>
      <c r="AB5" s="6"/>
      <c r="AC5" s="6"/>
      <c r="AD5" s="6"/>
      <c r="AE5" s="6">
        <v>11</v>
      </c>
      <c r="AF5" s="6" t="s">
        <v>7</v>
      </c>
      <c r="AG5" s="6"/>
      <c r="AH5" s="6"/>
      <c r="AI5" s="6"/>
      <c r="AJ5" s="6"/>
      <c r="AK5" s="6"/>
      <c r="AL5" s="6"/>
      <c r="AM5" s="7"/>
    </row>
    <row r="6" spans="14:39" x14ac:dyDescent="0.3">
      <c r="V6" s="5">
        <v>4</v>
      </c>
      <c r="W6" s="6" t="s">
        <v>8</v>
      </c>
      <c r="X6" s="6"/>
      <c r="Y6" s="6"/>
      <c r="Z6" s="6"/>
      <c r="AA6" s="6"/>
      <c r="AB6" s="6"/>
      <c r="AC6" s="6"/>
      <c r="AD6" s="6"/>
      <c r="AE6" s="6">
        <v>12</v>
      </c>
      <c r="AF6" s="6" t="s">
        <v>9</v>
      </c>
      <c r="AG6" s="6"/>
      <c r="AH6" s="6"/>
      <c r="AI6" s="6"/>
      <c r="AJ6" s="6"/>
      <c r="AK6" s="6"/>
      <c r="AL6" s="6"/>
      <c r="AM6" s="7"/>
    </row>
    <row r="7" spans="14:39" x14ac:dyDescent="0.3">
      <c r="V7" s="5">
        <v>5</v>
      </c>
      <c r="W7" s="6" t="s">
        <v>10</v>
      </c>
      <c r="X7" s="6"/>
      <c r="Y7" s="6"/>
      <c r="Z7" s="6"/>
      <c r="AA7" s="6"/>
      <c r="AB7" s="6"/>
      <c r="AC7" s="6"/>
      <c r="AD7" s="6"/>
      <c r="AE7" s="6">
        <v>13</v>
      </c>
      <c r="AF7" s="6" t="s">
        <v>11</v>
      </c>
      <c r="AG7" s="6"/>
      <c r="AH7" s="6"/>
      <c r="AI7" s="6"/>
      <c r="AJ7" s="6"/>
      <c r="AK7" s="6"/>
      <c r="AL7" s="6"/>
      <c r="AM7" s="7"/>
    </row>
    <row r="8" spans="14:39" x14ac:dyDescent="0.3">
      <c r="V8" s="5">
        <v>6</v>
      </c>
      <c r="W8" s="6" t="s">
        <v>12</v>
      </c>
      <c r="X8" s="6"/>
      <c r="Y8" s="6"/>
      <c r="Z8" s="6"/>
      <c r="AA8" s="6"/>
      <c r="AB8" s="6"/>
      <c r="AC8" s="6"/>
      <c r="AD8" s="6"/>
      <c r="AE8" s="6">
        <v>14</v>
      </c>
      <c r="AF8" s="6"/>
      <c r="AG8" s="6"/>
      <c r="AH8" s="6"/>
      <c r="AI8" s="6"/>
      <c r="AJ8" s="6"/>
      <c r="AK8" s="6"/>
      <c r="AL8" s="6"/>
      <c r="AM8" s="7"/>
    </row>
    <row r="9" spans="14:39" ht="15" thickBot="1" x14ac:dyDescent="0.35">
      <c r="V9" s="8">
        <v>7</v>
      </c>
      <c r="W9" s="9" t="s">
        <v>13</v>
      </c>
      <c r="X9" s="9"/>
      <c r="Y9" s="9"/>
      <c r="Z9" s="9"/>
      <c r="AA9" s="9"/>
      <c r="AB9" s="9"/>
      <c r="AC9" s="9"/>
      <c r="AD9" s="9"/>
      <c r="AE9" s="9">
        <v>15</v>
      </c>
      <c r="AF9" s="9"/>
      <c r="AG9" s="9"/>
      <c r="AH9" s="9"/>
      <c r="AI9" s="9"/>
      <c r="AJ9" s="9"/>
      <c r="AK9" s="9"/>
      <c r="AL9" s="9"/>
      <c r="AM9" s="10"/>
    </row>
    <row r="13" spans="14:39" x14ac:dyDescent="0.3">
      <c r="N13" t="s">
        <v>14</v>
      </c>
      <c r="T13" s="11"/>
    </row>
    <row r="16" spans="14:39" x14ac:dyDescent="0.3">
      <c r="N16" s="12" t="s">
        <v>15</v>
      </c>
      <c r="S16">
        <v>1</v>
      </c>
      <c r="U16" s="11" t="s">
        <v>16</v>
      </c>
      <c r="V16" s="11"/>
      <c r="W16" s="11"/>
      <c r="X16" s="11" t="s">
        <v>17</v>
      </c>
      <c r="Y16" s="11"/>
      <c r="Z16" s="11" t="s">
        <v>18</v>
      </c>
      <c r="AA16" s="11"/>
      <c r="AB16" s="6"/>
      <c r="AC16" s="13" t="s">
        <v>19</v>
      </c>
      <c r="AE16" s="11">
        <v>2.52</v>
      </c>
      <c r="AG16" s="14" t="s">
        <v>20</v>
      </c>
      <c r="AI16" s="14"/>
    </row>
    <row r="17" spans="2:64" ht="15" thickBot="1" x14ac:dyDescent="0.35"/>
    <row r="18" spans="2:64" ht="15.6" thickTop="1" thickBot="1" x14ac:dyDescent="0.35">
      <c r="B18" s="1" t="s">
        <v>21</v>
      </c>
      <c r="C18" s="3"/>
      <c r="D18" s="3"/>
      <c r="E18" s="3"/>
      <c r="F18" s="3"/>
      <c r="G18" s="3"/>
      <c r="H18" s="3"/>
      <c r="I18" s="3"/>
      <c r="J18" s="3"/>
      <c r="K18" s="4"/>
      <c r="N18" s="15" t="s">
        <v>22</v>
      </c>
      <c r="O18" s="16" t="s">
        <v>23</v>
      </c>
      <c r="P18" s="17"/>
      <c r="Q18" s="17"/>
      <c r="R18" s="18"/>
      <c r="S18" s="19" t="s">
        <v>24</v>
      </c>
      <c r="T18" s="17"/>
      <c r="U18" s="17"/>
      <c r="V18" s="17"/>
      <c r="W18" s="17"/>
      <c r="X18" s="18"/>
      <c r="Y18" s="20" t="s">
        <v>25</v>
      </c>
      <c r="Z18" s="21"/>
      <c r="AA18" s="21"/>
      <c r="AB18" s="21"/>
      <c r="AC18" s="21"/>
      <c r="AD18" s="22"/>
      <c r="AE18" s="23" t="s">
        <v>26</v>
      </c>
      <c r="AF18" s="24"/>
      <c r="AG18" s="24"/>
      <c r="AH18" s="24"/>
      <c r="AI18" s="24"/>
      <c r="AJ18" s="25"/>
      <c r="AK18" s="19" t="s">
        <v>27</v>
      </c>
      <c r="AL18" s="17"/>
      <c r="AM18" s="17"/>
      <c r="AN18" s="18"/>
      <c r="AO18" s="19" t="s">
        <v>28</v>
      </c>
      <c r="AP18" s="17"/>
      <c r="AQ18" s="17"/>
      <c r="AR18" s="18"/>
      <c r="AS18" s="19" t="s">
        <v>29</v>
      </c>
      <c r="AT18" s="17"/>
      <c r="AU18" s="17"/>
      <c r="AV18" s="18"/>
      <c r="AW18" s="19" t="s">
        <v>30</v>
      </c>
      <c r="AX18" s="17"/>
      <c r="AY18" s="17"/>
      <c r="AZ18" s="18"/>
      <c r="BA18" s="19" t="s">
        <v>31</v>
      </c>
      <c r="BB18" s="17"/>
      <c r="BC18" s="17"/>
      <c r="BD18" s="18"/>
      <c r="BE18" s="19" t="s">
        <v>32</v>
      </c>
      <c r="BF18" s="17"/>
      <c r="BG18" s="17"/>
      <c r="BH18" s="18"/>
      <c r="BI18" s="19" t="s">
        <v>33</v>
      </c>
      <c r="BJ18" s="17"/>
      <c r="BK18" s="17"/>
      <c r="BL18" s="18"/>
    </row>
    <row r="19" spans="2:64" ht="21" thickBot="1" x14ac:dyDescent="0.35">
      <c r="B19" s="8" t="str">
        <f>Y18</f>
        <v>Ель из подроста</v>
      </c>
      <c r="C19" s="9" t="str">
        <f>AE18</f>
        <v>ЕЛЬ лесные культуры</v>
      </c>
      <c r="D19" s="9" t="str">
        <f>S18</f>
        <v>Сосна</v>
      </c>
      <c r="E19" s="9" t="str">
        <f>AK18</f>
        <v>Берёза</v>
      </c>
      <c r="F19" s="9" t="str">
        <f>AO18</f>
        <v>Осина</v>
      </c>
      <c r="G19" s="9" t="str">
        <f>AS18</f>
        <v>Ольха серая</v>
      </c>
      <c r="H19" s="9" t="str">
        <f>AW18</f>
        <v>Ива</v>
      </c>
      <c r="I19" s="9" t="str">
        <f>BA18</f>
        <v>Чёрёмуха</v>
      </c>
      <c r="J19" s="9" t="str">
        <f>BE18</f>
        <v>Дуб</v>
      </c>
      <c r="K19" s="10" t="str">
        <f>BI18</f>
        <v>Рябина</v>
      </c>
      <c r="L19" t="s">
        <v>34</v>
      </c>
      <c r="N19" s="26" t="s">
        <v>35</v>
      </c>
      <c r="O19" s="27" t="s">
        <v>36</v>
      </c>
      <c r="P19" s="28" t="s">
        <v>37</v>
      </c>
      <c r="Q19" s="28" t="s">
        <v>38</v>
      </c>
      <c r="R19" s="29" t="s">
        <v>39</v>
      </c>
      <c r="S19" s="30" t="s">
        <v>40</v>
      </c>
      <c r="T19" s="31" t="s">
        <v>41</v>
      </c>
      <c r="U19" s="31" t="s">
        <v>42</v>
      </c>
      <c r="V19" s="31" t="s">
        <v>43</v>
      </c>
      <c r="W19" s="32" t="s">
        <v>44</v>
      </c>
      <c r="X19" s="33" t="s">
        <v>45</v>
      </c>
      <c r="Y19" s="34" t="s">
        <v>40</v>
      </c>
      <c r="Z19" s="31" t="s">
        <v>41</v>
      </c>
      <c r="AA19" s="31" t="s">
        <v>42</v>
      </c>
      <c r="AB19" s="31" t="s">
        <v>43</v>
      </c>
      <c r="AC19" s="32" t="s">
        <v>44</v>
      </c>
      <c r="AD19" s="33" t="s">
        <v>45</v>
      </c>
      <c r="AE19" s="35" t="s">
        <v>40</v>
      </c>
      <c r="AF19" s="36" t="s">
        <v>41</v>
      </c>
      <c r="AG19" s="36" t="s">
        <v>42</v>
      </c>
      <c r="AH19" s="36" t="s">
        <v>43</v>
      </c>
      <c r="AI19" s="37" t="s">
        <v>44</v>
      </c>
      <c r="AJ19" s="38" t="s">
        <v>45</v>
      </c>
      <c r="AK19" s="39" t="s">
        <v>46</v>
      </c>
      <c r="AL19" s="36" t="s">
        <v>43</v>
      </c>
      <c r="AM19" s="37" t="s">
        <v>44</v>
      </c>
      <c r="AN19" s="40" t="s">
        <v>45</v>
      </c>
      <c r="AO19" s="27" t="s">
        <v>46</v>
      </c>
      <c r="AP19" s="31" t="s">
        <v>43</v>
      </c>
      <c r="AQ19" s="32" t="s">
        <v>44</v>
      </c>
      <c r="AR19" s="33" t="s">
        <v>45</v>
      </c>
      <c r="AS19" s="27" t="s">
        <v>46</v>
      </c>
      <c r="AT19" s="31" t="s">
        <v>43</v>
      </c>
      <c r="AU19" s="32" t="s">
        <v>44</v>
      </c>
      <c r="AV19" s="33" t="s">
        <v>45</v>
      </c>
      <c r="AW19" s="27" t="s">
        <v>46</v>
      </c>
      <c r="AX19" s="31" t="s">
        <v>43</v>
      </c>
      <c r="AY19" s="32" t="s">
        <v>44</v>
      </c>
      <c r="AZ19" s="33" t="s">
        <v>45</v>
      </c>
      <c r="BA19" s="27" t="s">
        <v>46</v>
      </c>
      <c r="BB19" s="31" t="s">
        <v>43</v>
      </c>
      <c r="BC19" s="32" t="s">
        <v>44</v>
      </c>
      <c r="BD19" s="33" t="s">
        <v>45</v>
      </c>
      <c r="BE19" s="27" t="s">
        <v>46</v>
      </c>
      <c r="BF19" s="31" t="s">
        <v>43</v>
      </c>
      <c r="BG19" s="32" t="s">
        <v>44</v>
      </c>
      <c r="BH19" s="33" t="s">
        <v>45</v>
      </c>
      <c r="BI19" s="27" t="s">
        <v>46</v>
      </c>
      <c r="BJ19" s="31" t="s">
        <v>43</v>
      </c>
      <c r="BK19" s="32" t="s">
        <v>44</v>
      </c>
      <c r="BL19" s="33" t="s">
        <v>45</v>
      </c>
    </row>
    <row r="20" spans="2:64" x14ac:dyDescent="0.3">
      <c r="B20" s="5">
        <f>AC20*AA20</f>
        <v>0</v>
      </c>
      <c r="C20" s="6">
        <f>AI20*AG20</f>
        <v>0</v>
      </c>
      <c r="D20" s="6">
        <f>W20*U20</f>
        <v>0</v>
      </c>
      <c r="E20" s="6">
        <f>AK20*AM20</f>
        <v>0</v>
      </c>
      <c r="F20" s="6">
        <f>AO20*AQ20</f>
        <v>0</v>
      </c>
      <c r="G20" s="6">
        <f>AS20*AU20</f>
        <v>0</v>
      </c>
      <c r="H20" s="6">
        <f>AW20*AY20</f>
        <v>0</v>
      </c>
      <c r="I20" s="6">
        <f>BA20*BC20</f>
        <v>0</v>
      </c>
      <c r="J20" s="6">
        <f>BE20*BG20</f>
        <v>0</v>
      </c>
      <c r="K20" s="7">
        <f>BI20*BK20</f>
        <v>0</v>
      </c>
      <c r="L20" s="41">
        <f>SUM(S20:U20,Y20:AA20,AE20:AG20,AK20,AO20,AS20,AW20,BA20,BE20,BI20)/($AE$16*$AE$16*3.15/10000*1000)</f>
        <v>7.9984962826988543E-6</v>
      </c>
      <c r="N20" s="42">
        <v>1</v>
      </c>
      <c r="O20" s="43"/>
      <c r="P20" s="44"/>
      <c r="Q20" s="44"/>
      <c r="R20" s="45"/>
      <c r="S20" s="46">
        <v>9.9999999999999995E-7</v>
      </c>
      <c r="T20" s="46">
        <v>9.9999999999999995E-7</v>
      </c>
      <c r="U20" s="46">
        <v>9.9999999999999995E-7</v>
      </c>
      <c r="V20" s="46"/>
      <c r="W20" s="46"/>
      <c r="X20" s="47"/>
      <c r="Y20" s="46">
        <v>9.9999999999999995E-7</v>
      </c>
      <c r="Z20" s="46">
        <v>9.9999999999999995E-7</v>
      </c>
      <c r="AA20" s="46">
        <v>9.9999999999999995E-7</v>
      </c>
      <c r="AB20" s="48"/>
      <c r="AC20" s="49"/>
      <c r="AD20" s="50"/>
      <c r="AE20" s="46">
        <v>9.9999999999999995E-7</v>
      </c>
      <c r="AF20" s="46">
        <v>9.9999999999999995E-7</v>
      </c>
      <c r="AG20" s="46">
        <v>9.9999999999999995E-7</v>
      </c>
      <c r="AH20" s="48"/>
      <c r="AI20" s="49"/>
      <c r="AJ20" s="51"/>
      <c r="AK20" s="46">
        <v>9.9999999999999995E-7</v>
      </c>
      <c r="AL20" s="49"/>
      <c r="AM20" s="49"/>
      <c r="AN20" s="51"/>
      <c r="AO20" s="46">
        <v>9.9999999999999995E-7</v>
      </c>
      <c r="AP20" s="43"/>
      <c r="AQ20" s="46"/>
      <c r="AR20" s="47"/>
      <c r="AS20" s="46">
        <v>9.9999999999999995E-7</v>
      </c>
      <c r="AT20" s="43"/>
      <c r="AU20" s="46"/>
      <c r="AV20" s="47"/>
      <c r="AW20" s="46">
        <v>9.9999999999999995E-7</v>
      </c>
      <c r="AX20" s="43"/>
      <c r="AY20" s="46"/>
      <c r="AZ20" s="47"/>
      <c r="BA20" s="46">
        <v>9.9999999999999995E-7</v>
      </c>
      <c r="BB20" s="43"/>
      <c r="BC20" s="46"/>
      <c r="BD20" s="47"/>
      <c r="BE20" s="46">
        <v>9.9999999999999995E-7</v>
      </c>
      <c r="BF20" s="43"/>
      <c r="BG20" s="46"/>
      <c r="BH20" s="47"/>
      <c r="BI20" s="46">
        <v>9.9999999999999995E-7</v>
      </c>
      <c r="BJ20" s="43"/>
      <c r="BK20" s="46"/>
      <c r="BL20" s="47"/>
    </row>
    <row r="21" spans="2:64" x14ac:dyDescent="0.3">
      <c r="B21" s="5">
        <f t="shared" ref="B21:B51" si="0">AC21*AA21</f>
        <v>0</v>
      </c>
      <c r="C21" s="6">
        <f t="shared" ref="C21:C51" si="1">AI21*AG21</f>
        <v>0</v>
      </c>
      <c r="D21" s="6">
        <f t="shared" ref="D21:D51" si="2">W21*U21</f>
        <v>0</v>
      </c>
      <c r="E21" s="6">
        <f t="shared" ref="E21:E51" si="3">AK21*AM21</f>
        <v>0</v>
      </c>
      <c r="F21" s="6">
        <f t="shared" ref="F21:F51" si="4">AO21*AQ21</f>
        <v>0</v>
      </c>
      <c r="G21" s="6">
        <f t="shared" ref="G21:G51" si="5">AS21*AU21</f>
        <v>0</v>
      </c>
      <c r="H21" s="6">
        <f t="shared" ref="H21:H51" si="6">AW21*AY21</f>
        <v>0</v>
      </c>
      <c r="I21" s="6">
        <f t="shared" ref="I21:I51" si="7">BA21*BC21</f>
        <v>0</v>
      </c>
      <c r="J21" s="6">
        <f t="shared" ref="J21:J51" si="8">BE21*BG21</f>
        <v>0</v>
      </c>
      <c r="K21" s="7">
        <f t="shared" ref="K21:K51" si="9">BI21*BK21</f>
        <v>0</v>
      </c>
      <c r="L21" s="41">
        <f t="shared" ref="L21:L51" si="10">SUM(S21:U21,Y21:AA21,AE21:AG21,AK21,AO21,AS21,AW21,BA21,BE21,BI21)/($AE$16*$AE$16*3.15/10000*1000)</f>
        <v>0</v>
      </c>
      <c r="N21" s="52">
        <v>2</v>
      </c>
      <c r="O21" s="53"/>
      <c r="P21" s="54"/>
      <c r="Q21" s="54"/>
      <c r="R21" s="55"/>
      <c r="S21" s="56"/>
      <c r="T21" s="57"/>
      <c r="U21" s="57"/>
      <c r="V21" s="57"/>
      <c r="W21" s="57"/>
      <c r="X21" s="58"/>
      <c r="Y21" s="59"/>
      <c r="Z21" s="60"/>
      <c r="AA21" s="60"/>
      <c r="AB21" s="60"/>
      <c r="AC21" s="57"/>
      <c r="AD21" s="55"/>
      <c r="AE21" s="61"/>
      <c r="AF21" s="60"/>
      <c r="AG21" s="60"/>
      <c r="AH21" s="60"/>
      <c r="AI21" s="57"/>
      <c r="AJ21" s="58"/>
      <c r="AK21" s="53"/>
      <c r="AL21" s="57"/>
      <c r="AM21" s="57"/>
      <c r="AN21" s="58"/>
      <c r="AO21" s="53"/>
      <c r="AP21" s="53"/>
      <c r="AQ21" s="57"/>
      <c r="AR21" s="58"/>
      <c r="AS21" s="56"/>
      <c r="AT21" s="53"/>
      <c r="AU21" s="57"/>
      <c r="AV21" s="58"/>
      <c r="AW21" s="56"/>
      <c r="AX21" s="53"/>
      <c r="AY21" s="57"/>
      <c r="AZ21" s="58"/>
      <c r="BA21" s="56"/>
      <c r="BB21" s="53"/>
      <c r="BC21" s="57"/>
      <c r="BD21" s="58"/>
      <c r="BE21" s="62"/>
      <c r="BF21" s="53"/>
      <c r="BG21" s="57"/>
      <c r="BH21" s="58"/>
      <c r="BI21" s="62"/>
      <c r="BJ21" s="53"/>
      <c r="BK21" s="57"/>
      <c r="BL21" s="58"/>
    </row>
    <row r="22" spans="2:64" x14ac:dyDescent="0.3">
      <c r="B22" s="5">
        <f t="shared" si="0"/>
        <v>0</v>
      </c>
      <c r="C22" s="6">
        <f t="shared" si="1"/>
        <v>0</v>
      </c>
      <c r="D22" s="6">
        <f t="shared" si="2"/>
        <v>0</v>
      </c>
      <c r="E22" s="6">
        <f t="shared" si="3"/>
        <v>0</v>
      </c>
      <c r="F22" s="6">
        <f t="shared" si="4"/>
        <v>0</v>
      </c>
      <c r="G22" s="6">
        <f t="shared" si="5"/>
        <v>0</v>
      </c>
      <c r="H22" s="6">
        <f t="shared" si="6"/>
        <v>0</v>
      </c>
      <c r="I22" s="6">
        <f t="shared" si="7"/>
        <v>0</v>
      </c>
      <c r="J22" s="6">
        <f t="shared" si="8"/>
        <v>0</v>
      </c>
      <c r="K22" s="7">
        <f t="shared" si="9"/>
        <v>0</v>
      </c>
      <c r="L22" s="41">
        <f t="shared" si="10"/>
        <v>0</v>
      </c>
      <c r="N22" s="52">
        <v>3</v>
      </c>
      <c r="O22" s="53"/>
      <c r="P22" s="54"/>
      <c r="Q22" s="54"/>
      <c r="R22" s="55"/>
      <c r="S22" s="56"/>
      <c r="T22" s="57"/>
      <c r="U22" s="57"/>
      <c r="V22" s="57"/>
      <c r="W22" s="57"/>
      <c r="X22" s="58"/>
      <c r="Y22" s="59"/>
      <c r="Z22" s="60"/>
      <c r="AA22" s="60"/>
      <c r="AB22" s="60"/>
      <c r="AC22" s="57"/>
      <c r="AD22" s="55"/>
      <c r="AE22" s="61"/>
      <c r="AF22" s="60"/>
      <c r="AG22" s="60"/>
      <c r="AH22" s="60"/>
      <c r="AI22" s="57"/>
      <c r="AJ22" s="58"/>
      <c r="AK22" s="53"/>
      <c r="AL22" s="57"/>
      <c r="AM22" s="57"/>
      <c r="AN22" s="58"/>
      <c r="AO22" s="53"/>
      <c r="AP22" s="53"/>
      <c r="AQ22" s="57"/>
      <c r="AR22" s="58"/>
      <c r="AS22" s="56"/>
      <c r="AT22" s="53"/>
      <c r="AU22" s="57"/>
      <c r="AV22" s="58"/>
      <c r="AW22" s="56"/>
      <c r="AX22" s="53"/>
      <c r="AY22" s="57"/>
      <c r="AZ22" s="58"/>
      <c r="BA22" s="56"/>
      <c r="BB22" s="53"/>
      <c r="BC22" s="57"/>
      <c r="BD22" s="58"/>
      <c r="BE22" s="62"/>
      <c r="BF22" s="53"/>
      <c r="BG22" s="57"/>
      <c r="BH22" s="58"/>
      <c r="BI22" s="62"/>
      <c r="BJ22" s="53"/>
      <c r="BK22" s="57"/>
      <c r="BL22" s="58"/>
    </row>
    <row r="23" spans="2:64" x14ac:dyDescent="0.3">
      <c r="B23" s="5">
        <f t="shared" si="0"/>
        <v>0</v>
      </c>
      <c r="C23" s="6">
        <f t="shared" si="1"/>
        <v>0</v>
      </c>
      <c r="D23" s="6">
        <f t="shared" si="2"/>
        <v>0</v>
      </c>
      <c r="E23" s="6">
        <f t="shared" si="3"/>
        <v>0</v>
      </c>
      <c r="F23" s="6">
        <f t="shared" si="4"/>
        <v>0</v>
      </c>
      <c r="G23" s="6">
        <f t="shared" si="5"/>
        <v>0</v>
      </c>
      <c r="H23" s="6">
        <f t="shared" si="6"/>
        <v>0</v>
      </c>
      <c r="I23" s="6">
        <f t="shared" si="7"/>
        <v>0</v>
      </c>
      <c r="J23" s="6">
        <f t="shared" si="8"/>
        <v>0</v>
      </c>
      <c r="K23" s="7">
        <f t="shared" si="9"/>
        <v>0</v>
      </c>
      <c r="L23" s="41">
        <f t="shared" si="10"/>
        <v>0</v>
      </c>
      <c r="N23" s="52">
        <v>4</v>
      </c>
      <c r="O23" s="43"/>
      <c r="P23" s="44"/>
      <c r="Q23" s="44"/>
      <c r="R23" s="55"/>
      <c r="S23" s="56"/>
      <c r="T23" s="57"/>
      <c r="U23" s="57"/>
      <c r="V23" s="57"/>
      <c r="W23" s="57"/>
      <c r="X23" s="58"/>
      <c r="Y23" s="59"/>
      <c r="Z23" s="60"/>
      <c r="AA23" s="60"/>
      <c r="AB23" s="60"/>
      <c r="AC23" s="57"/>
      <c r="AD23" s="55"/>
      <c r="AE23" s="61"/>
      <c r="AF23" s="60"/>
      <c r="AG23" s="60"/>
      <c r="AH23" s="60"/>
      <c r="AI23" s="57"/>
      <c r="AJ23" s="58"/>
      <c r="AK23" s="53"/>
      <c r="AL23" s="57"/>
      <c r="AM23" s="57"/>
      <c r="AN23" s="58"/>
      <c r="AO23" s="53"/>
      <c r="AP23" s="53"/>
      <c r="AQ23" s="57"/>
      <c r="AR23" s="58"/>
      <c r="AS23" s="56"/>
      <c r="AT23" s="53"/>
      <c r="AU23" s="57"/>
      <c r="AV23" s="58"/>
      <c r="AW23" s="56"/>
      <c r="AX23" s="53"/>
      <c r="AY23" s="57"/>
      <c r="AZ23" s="58"/>
      <c r="BA23" s="56"/>
      <c r="BB23" s="53"/>
      <c r="BC23" s="57"/>
      <c r="BD23" s="58"/>
      <c r="BE23" s="62"/>
      <c r="BF23" s="53"/>
      <c r="BG23" s="57"/>
      <c r="BH23" s="58"/>
      <c r="BI23" s="62"/>
      <c r="BJ23" s="53"/>
      <c r="BK23" s="57"/>
      <c r="BL23" s="58"/>
    </row>
    <row r="24" spans="2:64" x14ac:dyDescent="0.3">
      <c r="B24" s="5">
        <f t="shared" si="0"/>
        <v>0</v>
      </c>
      <c r="C24" s="6">
        <f t="shared" si="1"/>
        <v>0</v>
      </c>
      <c r="D24" s="6">
        <f t="shared" si="2"/>
        <v>0</v>
      </c>
      <c r="E24" s="6">
        <f t="shared" si="3"/>
        <v>0</v>
      </c>
      <c r="F24" s="6">
        <f t="shared" si="4"/>
        <v>0</v>
      </c>
      <c r="G24" s="6">
        <f t="shared" si="5"/>
        <v>0</v>
      </c>
      <c r="H24" s="6">
        <f t="shared" si="6"/>
        <v>0</v>
      </c>
      <c r="I24" s="6">
        <f t="shared" si="7"/>
        <v>0</v>
      </c>
      <c r="J24" s="6">
        <f t="shared" si="8"/>
        <v>0</v>
      </c>
      <c r="K24" s="7">
        <f t="shared" si="9"/>
        <v>0</v>
      </c>
      <c r="L24" s="41">
        <f t="shared" si="10"/>
        <v>0</v>
      </c>
      <c r="N24" s="52">
        <v>5</v>
      </c>
      <c r="O24" s="53"/>
      <c r="P24" s="54"/>
      <c r="Q24" s="54"/>
      <c r="R24" s="55"/>
      <c r="S24" s="56"/>
      <c r="T24" s="57"/>
      <c r="U24" s="57"/>
      <c r="V24" s="57"/>
      <c r="W24" s="57"/>
      <c r="X24" s="58"/>
      <c r="Y24" s="59"/>
      <c r="Z24" s="60"/>
      <c r="AA24" s="60"/>
      <c r="AB24" s="60"/>
      <c r="AC24" s="57"/>
      <c r="AD24" s="55"/>
      <c r="AE24" s="61"/>
      <c r="AF24" s="60"/>
      <c r="AG24" s="60"/>
      <c r="AH24" s="60"/>
      <c r="AI24" s="57"/>
      <c r="AJ24" s="58"/>
      <c r="AK24" s="53"/>
      <c r="AL24" s="57"/>
      <c r="AM24" s="57"/>
      <c r="AN24" s="58"/>
      <c r="AO24" s="53"/>
      <c r="AP24" s="53"/>
      <c r="AQ24" s="57"/>
      <c r="AR24" s="58"/>
      <c r="AS24" s="56"/>
      <c r="AT24" s="53"/>
      <c r="AU24" s="57"/>
      <c r="AV24" s="58"/>
      <c r="AW24" s="56"/>
      <c r="AX24" s="53"/>
      <c r="AY24" s="57"/>
      <c r="AZ24" s="58"/>
      <c r="BA24" s="56"/>
      <c r="BB24" s="53"/>
      <c r="BC24" s="57"/>
      <c r="BD24" s="58"/>
      <c r="BE24" s="62"/>
      <c r="BF24" s="53"/>
      <c r="BG24" s="57"/>
      <c r="BH24" s="58"/>
      <c r="BI24" s="56"/>
      <c r="BJ24" s="53"/>
      <c r="BK24" s="57"/>
      <c r="BL24" s="58"/>
    </row>
    <row r="25" spans="2:64" x14ac:dyDescent="0.3">
      <c r="B25" s="5">
        <f t="shared" si="0"/>
        <v>0</v>
      </c>
      <c r="C25" s="6">
        <f t="shared" si="1"/>
        <v>0</v>
      </c>
      <c r="D25" s="6">
        <f t="shared" si="2"/>
        <v>0</v>
      </c>
      <c r="E25" s="6">
        <f t="shared" si="3"/>
        <v>0</v>
      </c>
      <c r="F25" s="6">
        <f t="shared" si="4"/>
        <v>0</v>
      </c>
      <c r="G25" s="6">
        <f t="shared" si="5"/>
        <v>0</v>
      </c>
      <c r="H25" s="6">
        <f t="shared" si="6"/>
        <v>0</v>
      </c>
      <c r="I25" s="6">
        <f t="shared" si="7"/>
        <v>0</v>
      </c>
      <c r="J25" s="6">
        <f t="shared" si="8"/>
        <v>0</v>
      </c>
      <c r="K25" s="7">
        <f t="shared" si="9"/>
        <v>0</v>
      </c>
      <c r="L25" s="41">
        <f t="shared" si="10"/>
        <v>0</v>
      </c>
      <c r="N25" s="52">
        <v>6</v>
      </c>
      <c r="O25" s="53"/>
      <c r="P25" s="54"/>
      <c r="Q25" s="54"/>
      <c r="R25" s="55"/>
      <c r="S25" s="56"/>
      <c r="T25" s="57"/>
      <c r="U25" s="57"/>
      <c r="V25" s="57"/>
      <c r="W25" s="57"/>
      <c r="X25" s="58"/>
      <c r="Y25" s="59"/>
      <c r="Z25" s="60"/>
      <c r="AA25" s="60"/>
      <c r="AB25" s="60"/>
      <c r="AC25" s="57"/>
      <c r="AD25" s="55"/>
      <c r="AE25" s="61"/>
      <c r="AF25" s="60"/>
      <c r="AG25" s="60"/>
      <c r="AH25" s="60"/>
      <c r="AI25" s="57"/>
      <c r="AJ25" s="58"/>
      <c r="AK25" s="53"/>
      <c r="AL25" s="57"/>
      <c r="AM25" s="57"/>
      <c r="AN25" s="58"/>
      <c r="AO25" s="53"/>
      <c r="AP25" s="53"/>
      <c r="AQ25" s="57"/>
      <c r="AR25" s="58"/>
      <c r="AS25" s="56"/>
      <c r="AT25" s="53"/>
      <c r="AU25" s="57"/>
      <c r="AV25" s="58"/>
      <c r="AW25" s="56"/>
      <c r="AX25" s="53"/>
      <c r="AY25" s="57"/>
      <c r="AZ25" s="58"/>
      <c r="BA25" s="56"/>
      <c r="BB25" s="53"/>
      <c r="BC25" s="57"/>
      <c r="BD25" s="58"/>
      <c r="BE25" s="62"/>
      <c r="BF25" s="53"/>
      <c r="BG25" s="57"/>
      <c r="BH25" s="58"/>
      <c r="BI25" s="56"/>
      <c r="BJ25" s="53"/>
      <c r="BK25" s="57"/>
      <c r="BL25" s="58"/>
    </row>
    <row r="26" spans="2:64" x14ac:dyDescent="0.3">
      <c r="B26" s="5">
        <f t="shared" si="0"/>
        <v>0</v>
      </c>
      <c r="C26" s="6">
        <f t="shared" si="1"/>
        <v>0</v>
      </c>
      <c r="D26" s="6">
        <f t="shared" si="2"/>
        <v>0</v>
      </c>
      <c r="E26" s="6">
        <f t="shared" si="3"/>
        <v>0</v>
      </c>
      <c r="F26" s="6">
        <f t="shared" si="4"/>
        <v>0</v>
      </c>
      <c r="G26" s="6">
        <f t="shared" si="5"/>
        <v>0</v>
      </c>
      <c r="H26" s="6">
        <f t="shared" si="6"/>
        <v>0</v>
      </c>
      <c r="I26" s="6">
        <f t="shared" si="7"/>
        <v>0</v>
      </c>
      <c r="J26" s="6">
        <f t="shared" si="8"/>
        <v>0</v>
      </c>
      <c r="K26" s="7">
        <f t="shared" si="9"/>
        <v>0</v>
      </c>
      <c r="L26" s="41">
        <f t="shared" si="10"/>
        <v>0</v>
      </c>
      <c r="N26" s="52">
        <v>7</v>
      </c>
      <c r="O26" s="43"/>
      <c r="P26" s="44"/>
      <c r="Q26" s="44"/>
      <c r="R26" s="55"/>
      <c r="S26" s="56"/>
      <c r="T26" s="57"/>
      <c r="U26" s="57"/>
      <c r="V26" s="57"/>
      <c r="W26" s="57"/>
      <c r="X26" s="58"/>
      <c r="Y26" s="59"/>
      <c r="Z26" s="60"/>
      <c r="AA26" s="60"/>
      <c r="AB26" s="60"/>
      <c r="AC26" s="57"/>
      <c r="AD26" s="55"/>
      <c r="AE26" s="61"/>
      <c r="AF26" s="60"/>
      <c r="AG26" s="60"/>
      <c r="AH26" s="60"/>
      <c r="AI26" s="57"/>
      <c r="AJ26" s="58"/>
      <c r="AK26" s="53"/>
      <c r="AL26" s="57"/>
      <c r="AM26" s="57"/>
      <c r="AN26" s="58"/>
      <c r="AO26" s="53"/>
      <c r="AP26" s="53"/>
      <c r="AQ26" s="57"/>
      <c r="AR26" s="58"/>
      <c r="AS26" s="56"/>
      <c r="AT26" s="53"/>
      <c r="AU26" s="57"/>
      <c r="AV26" s="58"/>
      <c r="AW26" s="56"/>
      <c r="AX26" s="53"/>
      <c r="AY26" s="57"/>
      <c r="AZ26" s="58"/>
      <c r="BA26" s="56"/>
      <c r="BB26" s="53"/>
      <c r="BC26" s="57"/>
      <c r="BD26" s="58"/>
      <c r="BE26" s="62"/>
      <c r="BF26" s="53"/>
      <c r="BG26" s="57"/>
      <c r="BH26" s="58"/>
      <c r="BI26" s="56"/>
      <c r="BJ26" s="53"/>
      <c r="BK26" s="57"/>
      <c r="BL26" s="58"/>
    </row>
    <row r="27" spans="2:64" x14ac:dyDescent="0.3">
      <c r="B27" s="5">
        <f t="shared" si="0"/>
        <v>0</v>
      </c>
      <c r="C27" s="6">
        <f t="shared" si="1"/>
        <v>0</v>
      </c>
      <c r="D27" s="6">
        <f t="shared" si="2"/>
        <v>0</v>
      </c>
      <c r="E27" s="6">
        <f t="shared" si="3"/>
        <v>0</v>
      </c>
      <c r="F27" s="6">
        <f t="shared" si="4"/>
        <v>0</v>
      </c>
      <c r="G27" s="6">
        <f t="shared" si="5"/>
        <v>0</v>
      </c>
      <c r="H27" s="6">
        <f t="shared" si="6"/>
        <v>0</v>
      </c>
      <c r="I27" s="6">
        <f t="shared" si="7"/>
        <v>0</v>
      </c>
      <c r="J27" s="6">
        <f t="shared" si="8"/>
        <v>0</v>
      </c>
      <c r="K27" s="7">
        <f t="shared" si="9"/>
        <v>0</v>
      </c>
      <c r="L27" s="41">
        <f t="shared" si="10"/>
        <v>0</v>
      </c>
      <c r="N27" s="52">
        <v>8</v>
      </c>
      <c r="O27" s="53"/>
      <c r="P27" s="54"/>
      <c r="Q27" s="54"/>
      <c r="R27" s="55"/>
      <c r="S27" s="56"/>
      <c r="T27" s="57"/>
      <c r="U27" s="57"/>
      <c r="V27" s="57"/>
      <c r="W27" s="57"/>
      <c r="X27" s="58"/>
      <c r="Y27" s="59"/>
      <c r="Z27" s="60"/>
      <c r="AA27" s="60"/>
      <c r="AB27" s="60"/>
      <c r="AC27" s="57"/>
      <c r="AD27" s="55"/>
      <c r="AE27" s="61"/>
      <c r="AF27" s="60"/>
      <c r="AG27" s="60"/>
      <c r="AH27" s="60"/>
      <c r="AI27" s="57"/>
      <c r="AJ27" s="58"/>
      <c r="AK27" s="53"/>
      <c r="AL27" s="57"/>
      <c r="AM27" s="57"/>
      <c r="AN27" s="58"/>
      <c r="AO27" s="53"/>
      <c r="AP27" s="53"/>
      <c r="AQ27" s="57"/>
      <c r="AR27" s="58"/>
      <c r="AS27" s="56"/>
      <c r="AT27" s="53"/>
      <c r="AU27" s="57"/>
      <c r="AV27" s="58"/>
      <c r="AW27" s="56"/>
      <c r="AX27" s="53"/>
      <c r="AY27" s="57"/>
      <c r="AZ27" s="58"/>
      <c r="BA27" s="56"/>
      <c r="BB27" s="53"/>
      <c r="BC27" s="57"/>
      <c r="BD27" s="58"/>
      <c r="BE27" s="62"/>
      <c r="BF27" s="53"/>
      <c r="BG27" s="57"/>
      <c r="BH27" s="58"/>
      <c r="BI27" s="56"/>
      <c r="BJ27" s="53"/>
      <c r="BK27" s="57"/>
      <c r="BL27" s="58"/>
    </row>
    <row r="28" spans="2:64" x14ac:dyDescent="0.3">
      <c r="B28" s="5">
        <f t="shared" si="0"/>
        <v>0</v>
      </c>
      <c r="C28" s="6">
        <f t="shared" si="1"/>
        <v>0</v>
      </c>
      <c r="D28" s="6">
        <f t="shared" si="2"/>
        <v>0</v>
      </c>
      <c r="E28" s="6">
        <f t="shared" si="3"/>
        <v>0</v>
      </c>
      <c r="F28" s="6">
        <f t="shared" si="4"/>
        <v>0</v>
      </c>
      <c r="G28" s="6">
        <f t="shared" si="5"/>
        <v>0</v>
      </c>
      <c r="H28" s="6">
        <f t="shared" si="6"/>
        <v>0</v>
      </c>
      <c r="I28" s="6">
        <f t="shared" si="7"/>
        <v>0</v>
      </c>
      <c r="J28" s="6">
        <f t="shared" si="8"/>
        <v>0</v>
      </c>
      <c r="K28" s="7">
        <f t="shared" si="9"/>
        <v>0</v>
      </c>
      <c r="L28" s="41">
        <f t="shared" si="10"/>
        <v>0</v>
      </c>
      <c r="N28" s="52">
        <v>9</v>
      </c>
      <c r="O28" s="53"/>
      <c r="P28" s="54"/>
      <c r="Q28" s="54"/>
      <c r="R28" s="55"/>
      <c r="S28" s="56"/>
      <c r="T28" s="57"/>
      <c r="U28" s="57"/>
      <c r="V28" s="57"/>
      <c r="W28" s="57"/>
      <c r="X28" s="58"/>
      <c r="Y28" s="59"/>
      <c r="Z28" s="60"/>
      <c r="AA28" s="60"/>
      <c r="AB28" s="60"/>
      <c r="AC28" s="57"/>
      <c r="AD28" s="55"/>
      <c r="AE28" s="61"/>
      <c r="AF28" s="60"/>
      <c r="AG28" s="60"/>
      <c r="AH28" s="60"/>
      <c r="AI28" s="57"/>
      <c r="AJ28" s="58"/>
      <c r="AK28" s="53"/>
      <c r="AL28" s="57"/>
      <c r="AM28" s="57"/>
      <c r="AN28" s="58"/>
      <c r="AO28" s="53"/>
      <c r="AP28" s="53"/>
      <c r="AQ28" s="57"/>
      <c r="AR28" s="58"/>
      <c r="AS28" s="56"/>
      <c r="AT28" s="53"/>
      <c r="AU28" s="57"/>
      <c r="AV28" s="58"/>
      <c r="AW28" s="56"/>
      <c r="AX28" s="53"/>
      <c r="AY28" s="57"/>
      <c r="AZ28" s="58"/>
      <c r="BA28" s="56"/>
      <c r="BB28" s="53"/>
      <c r="BC28" s="57"/>
      <c r="BD28" s="58"/>
      <c r="BE28" s="62"/>
      <c r="BF28" s="53"/>
      <c r="BG28" s="57"/>
      <c r="BH28" s="58"/>
      <c r="BI28" s="56"/>
      <c r="BJ28" s="53"/>
      <c r="BK28" s="57"/>
      <c r="BL28" s="58"/>
    </row>
    <row r="29" spans="2:64" x14ac:dyDescent="0.3">
      <c r="B29" s="5">
        <f t="shared" si="0"/>
        <v>0</v>
      </c>
      <c r="C29" s="6">
        <f t="shared" si="1"/>
        <v>0</v>
      </c>
      <c r="D29" s="6">
        <f t="shared" si="2"/>
        <v>0</v>
      </c>
      <c r="E29" s="6">
        <f t="shared" si="3"/>
        <v>0</v>
      </c>
      <c r="F29" s="6">
        <f t="shared" si="4"/>
        <v>0</v>
      </c>
      <c r="G29" s="6">
        <f t="shared" si="5"/>
        <v>0</v>
      </c>
      <c r="H29" s="6">
        <f t="shared" si="6"/>
        <v>0</v>
      </c>
      <c r="I29" s="6">
        <f t="shared" si="7"/>
        <v>0</v>
      </c>
      <c r="J29" s="6">
        <f t="shared" si="8"/>
        <v>0</v>
      </c>
      <c r="K29" s="7">
        <f t="shared" si="9"/>
        <v>0</v>
      </c>
      <c r="L29" s="41">
        <f t="shared" si="10"/>
        <v>0</v>
      </c>
      <c r="N29" s="52">
        <v>10</v>
      </c>
      <c r="O29" s="43"/>
      <c r="P29" s="44"/>
      <c r="Q29" s="44"/>
      <c r="R29" s="55"/>
      <c r="S29" s="56"/>
      <c r="T29" s="57"/>
      <c r="U29" s="57"/>
      <c r="V29" s="57"/>
      <c r="W29" s="57"/>
      <c r="X29" s="58"/>
      <c r="Y29" s="59"/>
      <c r="Z29" s="60"/>
      <c r="AA29" s="60"/>
      <c r="AB29" s="60"/>
      <c r="AC29" s="57"/>
      <c r="AD29" s="55"/>
      <c r="AE29" s="61"/>
      <c r="AF29" s="60"/>
      <c r="AG29" s="60"/>
      <c r="AH29" s="60"/>
      <c r="AI29" s="57"/>
      <c r="AJ29" s="58"/>
      <c r="AK29" s="53"/>
      <c r="AL29" s="57"/>
      <c r="AM29" s="57"/>
      <c r="AN29" s="58"/>
      <c r="AO29" s="53"/>
      <c r="AP29" s="53"/>
      <c r="AQ29" s="57"/>
      <c r="AR29" s="58"/>
      <c r="AS29" s="56"/>
      <c r="AT29" s="53"/>
      <c r="AU29" s="57"/>
      <c r="AV29" s="58"/>
      <c r="AW29" s="56"/>
      <c r="AX29" s="53"/>
      <c r="AY29" s="57"/>
      <c r="AZ29" s="58"/>
      <c r="BA29" s="56"/>
      <c r="BB29" s="53"/>
      <c r="BC29" s="57"/>
      <c r="BD29" s="58"/>
      <c r="BE29" s="62"/>
      <c r="BF29" s="53"/>
      <c r="BG29" s="57"/>
      <c r="BH29" s="58"/>
      <c r="BI29" s="56"/>
      <c r="BJ29" s="53"/>
      <c r="BK29" s="57"/>
      <c r="BL29" s="58"/>
    </row>
    <row r="30" spans="2:64" x14ac:dyDescent="0.3">
      <c r="B30" s="5">
        <f t="shared" si="0"/>
        <v>0</v>
      </c>
      <c r="C30" s="6">
        <f t="shared" si="1"/>
        <v>0</v>
      </c>
      <c r="D30" s="6">
        <f t="shared" si="2"/>
        <v>0</v>
      </c>
      <c r="E30" s="6">
        <f t="shared" si="3"/>
        <v>0</v>
      </c>
      <c r="F30" s="6">
        <f t="shared" si="4"/>
        <v>0</v>
      </c>
      <c r="G30" s="6">
        <f t="shared" si="5"/>
        <v>0</v>
      </c>
      <c r="H30" s="6">
        <f t="shared" si="6"/>
        <v>0</v>
      </c>
      <c r="I30" s="6">
        <f t="shared" si="7"/>
        <v>0</v>
      </c>
      <c r="J30" s="6">
        <f t="shared" si="8"/>
        <v>0</v>
      </c>
      <c r="K30" s="7">
        <f t="shared" si="9"/>
        <v>0</v>
      </c>
      <c r="L30" s="41">
        <f t="shared" si="10"/>
        <v>0</v>
      </c>
      <c r="N30" s="52">
        <v>11</v>
      </c>
      <c r="O30" s="53"/>
      <c r="P30" s="54"/>
      <c r="Q30" s="54"/>
      <c r="R30" s="55"/>
      <c r="S30" s="56"/>
      <c r="T30" s="57"/>
      <c r="U30" s="57"/>
      <c r="V30" s="57"/>
      <c r="W30" s="57"/>
      <c r="X30" s="58"/>
      <c r="Y30" s="59"/>
      <c r="Z30" s="60"/>
      <c r="AA30" s="60"/>
      <c r="AB30" s="60"/>
      <c r="AC30" s="57"/>
      <c r="AD30" s="55"/>
      <c r="AE30" s="61"/>
      <c r="AF30" s="60"/>
      <c r="AG30" s="60"/>
      <c r="AH30" s="60"/>
      <c r="AI30" s="57"/>
      <c r="AJ30" s="58"/>
      <c r="AK30" s="53"/>
      <c r="AL30" s="57"/>
      <c r="AM30" s="57"/>
      <c r="AN30" s="58"/>
      <c r="AO30" s="53"/>
      <c r="AP30" s="53"/>
      <c r="AQ30" s="57"/>
      <c r="AR30" s="58"/>
      <c r="AS30" s="56"/>
      <c r="AT30" s="53"/>
      <c r="AU30" s="57"/>
      <c r="AV30" s="58"/>
      <c r="AW30" s="56"/>
      <c r="AX30" s="53"/>
      <c r="AY30" s="57"/>
      <c r="AZ30" s="58"/>
      <c r="BA30" s="56"/>
      <c r="BB30" s="53"/>
      <c r="BC30" s="57"/>
      <c r="BD30" s="58"/>
      <c r="BE30" s="62"/>
      <c r="BF30" s="53"/>
      <c r="BG30" s="57"/>
      <c r="BH30" s="58"/>
      <c r="BI30" s="56"/>
      <c r="BJ30" s="53"/>
      <c r="BK30" s="57"/>
      <c r="BL30" s="58"/>
    </row>
    <row r="31" spans="2:64" x14ac:dyDescent="0.3">
      <c r="B31" s="5">
        <f t="shared" si="0"/>
        <v>0</v>
      </c>
      <c r="C31" s="6">
        <f t="shared" si="1"/>
        <v>0</v>
      </c>
      <c r="D31" s="6">
        <f t="shared" si="2"/>
        <v>0</v>
      </c>
      <c r="E31" s="6">
        <f t="shared" si="3"/>
        <v>0</v>
      </c>
      <c r="F31" s="6">
        <f t="shared" si="4"/>
        <v>0</v>
      </c>
      <c r="G31" s="6">
        <f t="shared" si="5"/>
        <v>0</v>
      </c>
      <c r="H31" s="6">
        <f t="shared" si="6"/>
        <v>0</v>
      </c>
      <c r="I31" s="6">
        <f t="shared" si="7"/>
        <v>0</v>
      </c>
      <c r="J31" s="6">
        <f t="shared" si="8"/>
        <v>0</v>
      </c>
      <c r="K31" s="7">
        <f t="shared" si="9"/>
        <v>0</v>
      </c>
      <c r="L31" s="41">
        <f t="shared" si="10"/>
        <v>0</v>
      </c>
      <c r="N31" s="52">
        <v>12</v>
      </c>
      <c r="O31" s="53"/>
      <c r="P31" s="54"/>
      <c r="Q31" s="54"/>
      <c r="R31" s="55"/>
      <c r="S31" s="56"/>
      <c r="T31" s="57"/>
      <c r="U31" s="57"/>
      <c r="V31" s="57"/>
      <c r="W31" s="57"/>
      <c r="X31" s="58"/>
      <c r="Y31" s="59"/>
      <c r="Z31" s="60"/>
      <c r="AA31" s="60"/>
      <c r="AB31" s="60"/>
      <c r="AC31" s="57"/>
      <c r="AD31" s="55"/>
      <c r="AE31" s="61"/>
      <c r="AF31" s="60"/>
      <c r="AG31" s="60"/>
      <c r="AH31" s="60"/>
      <c r="AI31" s="57"/>
      <c r="AJ31" s="58"/>
      <c r="AK31" s="53"/>
      <c r="AL31" s="57"/>
      <c r="AM31" s="57"/>
      <c r="AN31" s="58"/>
      <c r="AO31" s="53"/>
      <c r="AP31" s="53"/>
      <c r="AQ31" s="57"/>
      <c r="AR31" s="58"/>
      <c r="AS31" s="56"/>
      <c r="AT31" s="53"/>
      <c r="AU31" s="57"/>
      <c r="AV31" s="58"/>
      <c r="AW31" s="56"/>
      <c r="AX31" s="53"/>
      <c r="AY31" s="57"/>
      <c r="AZ31" s="58"/>
      <c r="BA31" s="56"/>
      <c r="BB31" s="53"/>
      <c r="BC31" s="57"/>
      <c r="BD31" s="58"/>
      <c r="BE31" s="62"/>
      <c r="BF31" s="53"/>
      <c r="BG31" s="57"/>
      <c r="BH31" s="58"/>
      <c r="BI31" s="56"/>
      <c r="BJ31" s="53"/>
      <c r="BK31" s="57"/>
      <c r="BL31" s="58"/>
    </row>
    <row r="32" spans="2:64" x14ac:dyDescent="0.3">
      <c r="B32" s="5">
        <f t="shared" si="0"/>
        <v>0</v>
      </c>
      <c r="C32" s="6">
        <f t="shared" si="1"/>
        <v>0</v>
      </c>
      <c r="D32" s="6">
        <f t="shared" si="2"/>
        <v>0</v>
      </c>
      <c r="E32" s="6">
        <f t="shared" si="3"/>
        <v>0</v>
      </c>
      <c r="F32" s="6">
        <f t="shared" si="4"/>
        <v>0</v>
      </c>
      <c r="G32" s="6">
        <f t="shared" si="5"/>
        <v>0</v>
      </c>
      <c r="H32" s="6">
        <f t="shared" si="6"/>
        <v>0</v>
      </c>
      <c r="I32" s="6">
        <f t="shared" si="7"/>
        <v>0</v>
      </c>
      <c r="J32" s="6">
        <f t="shared" si="8"/>
        <v>0</v>
      </c>
      <c r="K32" s="7">
        <f t="shared" si="9"/>
        <v>0</v>
      </c>
      <c r="L32" s="41">
        <f t="shared" si="10"/>
        <v>0</v>
      </c>
      <c r="N32" s="52">
        <v>13</v>
      </c>
      <c r="O32" s="53"/>
      <c r="P32" s="54"/>
      <c r="Q32" s="54"/>
      <c r="R32" s="55"/>
      <c r="S32" s="56"/>
      <c r="T32" s="57"/>
      <c r="U32" s="57"/>
      <c r="V32" s="57"/>
      <c r="W32" s="57"/>
      <c r="X32" s="58"/>
      <c r="Y32" s="59"/>
      <c r="Z32" s="60"/>
      <c r="AA32" s="60"/>
      <c r="AB32" s="60"/>
      <c r="AC32" s="57"/>
      <c r="AD32" s="55"/>
      <c r="AE32" s="61"/>
      <c r="AF32" s="60"/>
      <c r="AG32" s="60"/>
      <c r="AH32" s="60"/>
      <c r="AI32" s="57"/>
      <c r="AJ32" s="58"/>
      <c r="AK32" s="53"/>
      <c r="AL32" s="57"/>
      <c r="AM32" s="57"/>
      <c r="AN32" s="58"/>
      <c r="AO32" s="53"/>
      <c r="AP32" s="53"/>
      <c r="AQ32" s="57"/>
      <c r="AR32" s="58"/>
      <c r="AS32" s="56"/>
      <c r="AT32" s="53"/>
      <c r="AU32" s="57"/>
      <c r="AV32" s="58"/>
      <c r="AW32" s="56"/>
      <c r="AX32" s="53"/>
      <c r="AY32" s="57"/>
      <c r="AZ32" s="58"/>
      <c r="BA32" s="56"/>
      <c r="BB32" s="53"/>
      <c r="BC32" s="57"/>
      <c r="BD32" s="58"/>
      <c r="BE32" s="62"/>
      <c r="BF32" s="53"/>
      <c r="BG32" s="57"/>
      <c r="BH32" s="58"/>
      <c r="BI32" s="56"/>
      <c r="BJ32" s="53"/>
      <c r="BK32" s="57"/>
      <c r="BL32" s="58"/>
    </row>
    <row r="33" spans="2:64" x14ac:dyDescent="0.3">
      <c r="B33" s="5">
        <f t="shared" si="0"/>
        <v>0</v>
      </c>
      <c r="C33" s="6">
        <f t="shared" si="1"/>
        <v>0</v>
      </c>
      <c r="D33" s="6">
        <f t="shared" si="2"/>
        <v>0</v>
      </c>
      <c r="E33" s="6">
        <f t="shared" si="3"/>
        <v>0</v>
      </c>
      <c r="F33" s="6">
        <f t="shared" si="4"/>
        <v>0</v>
      </c>
      <c r="G33" s="6">
        <f t="shared" si="5"/>
        <v>0</v>
      </c>
      <c r="H33" s="6">
        <f t="shared" si="6"/>
        <v>0</v>
      </c>
      <c r="I33" s="6">
        <f t="shared" si="7"/>
        <v>0</v>
      </c>
      <c r="J33" s="6">
        <f t="shared" si="8"/>
        <v>0</v>
      </c>
      <c r="K33" s="7">
        <f t="shared" si="9"/>
        <v>0</v>
      </c>
      <c r="L33" s="41">
        <f t="shared" si="10"/>
        <v>0</v>
      </c>
      <c r="N33" s="52">
        <v>14</v>
      </c>
      <c r="O33" s="53"/>
      <c r="P33" s="54"/>
      <c r="Q33" s="54"/>
      <c r="R33" s="55"/>
      <c r="S33" s="56"/>
      <c r="T33" s="57"/>
      <c r="U33" s="57"/>
      <c r="V33" s="57"/>
      <c r="W33" s="57"/>
      <c r="X33" s="58"/>
      <c r="Y33" s="59"/>
      <c r="Z33" s="60"/>
      <c r="AA33" s="60"/>
      <c r="AB33" s="60"/>
      <c r="AC33" s="57"/>
      <c r="AD33" s="55"/>
      <c r="AE33" s="61"/>
      <c r="AF33" s="60"/>
      <c r="AG33" s="60"/>
      <c r="AH33" s="60"/>
      <c r="AI33" s="57"/>
      <c r="AJ33" s="58"/>
      <c r="AK33" s="53"/>
      <c r="AL33" s="57"/>
      <c r="AM33" s="57"/>
      <c r="AN33" s="58"/>
      <c r="AO33" s="53"/>
      <c r="AP33" s="53"/>
      <c r="AQ33" s="57"/>
      <c r="AR33" s="58"/>
      <c r="AS33" s="56"/>
      <c r="AT33" s="53"/>
      <c r="AU33" s="57"/>
      <c r="AV33" s="58"/>
      <c r="AW33" s="56"/>
      <c r="AX33" s="53"/>
      <c r="AY33" s="57"/>
      <c r="AZ33" s="58"/>
      <c r="BA33" s="56"/>
      <c r="BB33" s="53"/>
      <c r="BC33" s="57"/>
      <c r="BD33" s="58"/>
      <c r="BE33" s="62"/>
      <c r="BF33" s="53"/>
      <c r="BG33" s="57"/>
      <c r="BH33" s="58"/>
      <c r="BI33" s="56"/>
      <c r="BJ33" s="53"/>
      <c r="BK33" s="57"/>
      <c r="BL33" s="58"/>
    </row>
    <row r="34" spans="2:64" x14ac:dyDescent="0.3">
      <c r="B34" s="5">
        <f t="shared" si="0"/>
        <v>0</v>
      </c>
      <c r="C34" s="6">
        <f t="shared" si="1"/>
        <v>0</v>
      </c>
      <c r="D34" s="6">
        <f t="shared" si="2"/>
        <v>0</v>
      </c>
      <c r="E34" s="6">
        <f t="shared" si="3"/>
        <v>0</v>
      </c>
      <c r="F34" s="6">
        <f t="shared" si="4"/>
        <v>0</v>
      </c>
      <c r="G34" s="6">
        <f t="shared" si="5"/>
        <v>0</v>
      </c>
      <c r="H34" s="6">
        <f t="shared" si="6"/>
        <v>0</v>
      </c>
      <c r="I34" s="6">
        <f t="shared" si="7"/>
        <v>0</v>
      </c>
      <c r="J34" s="6">
        <f t="shared" si="8"/>
        <v>0</v>
      </c>
      <c r="K34" s="7">
        <f t="shared" si="9"/>
        <v>0</v>
      </c>
      <c r="L34" s="41">
        <f t="shared" si="10"/>
        <v>0</v>
      </c>
      <c r="N34" s="52">
        <v>15</v>
      </c>
      <c r="O34" s="53"/>
      <c r="P34" s="54"/>
      <c r="Q34" s="54"/>
      <c r="R34" s="55"/>
      <c r="S34" s="56"/>
      <c r="T34" s="57"/>
      <c r="U34" s="57"/>
      <c r="V34" s="57"/>
      <c r="W34" s="57"/>
      <c r="X34" s="58"/>
      <c r="Y34" s="59"/>
      <c r="Z34" s="60"/>
      <c r="AA34" s="60"/>
      <c r="AB34" s="60"/>
      <c r="AC34" s="57"/>
      <c r="AD34" s="55"/>
      <c r="AE34" s="61"/>
      <c r="AF34" s="60"/>
      <c r="AG34" s="60"/>
      <c r="AH34" s="60"/>
      <c r="AI34" s="57"/>
      <c r="AJ34" s="58"/>
      <c r="AK34" s="53"/>
      <c r="AL34" s="57"/>
      <c r="AM34" s="57"/>
      <c r="AN34" s="58"/>
      <c r="AO34" s="53"/>
      <c r="AP34" s="53"/>
      <c r="AQ34" s="57"/>
      <c r="AR34" s="58"/>
      <c r="AS34" s="56"/>
      <c r="AT34" s="53"/>
      <c r="AU34" s="57"/>
      <c r="AV34" s="58"/>
      <c r="AW34" s="56"/>
      <c r="AX34" s="53"/>
      <c r="AY34" s="57"/>
      <c r="AZ34" s="58"/>
      <c r="BA34" s="56"/>
      <c r="BB34" s="53"/>
      <c r="BC34" s="57"/>
      <c r="BD34" s="58"/>
      <c r="BE34" s="62"/>
      <c r="BF34" s="53"/>
      <c r="BG34" s="57"/>
      <c r="BH34" s="58"/>
      <c r="BI34" s="56"/>
      <c r="BJ34" s="53"/>
      <c r="BK34" s="57"/>
      <c r="BL34" s="58"/>
    </row>
    <row r="35" spans="2:64" x14ac:dyDescent="0.3">
      <c r="B35" s="5">
        <f t="shared" si="0"/>
        <v>0</v>
      </c>
      <c r="C35" s="6">
        <f t="shared" si="1"/>
        <v>0</v>
      </c>
      <c r="D35" s="6">
        <f t="shared" si="2"/>
        <v>0</v>
      </c>
      <c r="E35" s="6">
        <f t="shared" si="3"/>
        <v>0</v>
      </c>
      <c r="F35" s="6">
        <f t="shared" si="4"/>
        <v>0</v>
      </c>
      <c r="G35" s="6">
        <f t="shared" si="5"/>
        <v>0</v>
      </c>
      <c r="H35" s="6">
        <f t="shared" si="6"/>
        <v>0</v>
      </c>
      <c r="I35" s="6">
        <f t="shared" si="7"/>
        <v>0</v>
      </c>
      <c r="J35" s="6">
        <f t="shared" si="8"/>
        <v>0</v>
      </c>
      <c r="K35" s="7">
        <f t="shared" si="9"/>
        <v>0</v>
      </c>
      <c r="L35" s="41">
        <f t="shared" si="10"/>
        <v>0</v>
      </c>
      <c r="N35" s="52">
        <v>16</v>
      </c>
      <c r="O35" s="53"/>
      <c r="P35" s="54"/>
      <c r="Q35" s="54"/>
      <c r="R35" s="55"/>
      <c r="S35" s="56"/>
      <c r="T35" s="57"/>
      <c r="U35" s="57"/>
      <c r="V35" s="57"/>
      <c r="W35" s="57"/>
      <c r="X35" s="58"/>
      <c r="Y35" s="59"/>
      <c r="Z35" s="60"/>
      <c r="AA35" s="60"/>
      <c r="AB35" s="60"/>
      <c r="AC35" s="57"/>
      <c r="AD35" s="55"/>
      <c r="AE35" s="61"/>
      <c r="AF35" s="60"/>
      <c r="AG35" s="60"/>
      <c r="AH35" s="60"/>
      <c r="AI35" s="57"/>
      <c r="AJ35" s="58"/>
      <c r="AK35" s="53"/>
      <c r="AL35" s="57"/>
      <c r="AM35" s="57"/>
      <c r="AN35" s="58"/>
      <c r="AO35" s="53"/>
      <c r="AP35" s="53"/>
      <c r="AQ35" s="57"/>
      <c r="AR35" s="58"/>
      <c r="AS35" s="56"/>
      <c r="AT35" s="53"/>
      <c r="AU35" s="57"/>
      <c r="AV35" s="58"/>
      <c r="AW35" s="56"/>
      <c r="AX35" s="53"/>
      <c r="AY35" s="57"/>
      <c r="AZ35" s="58"/>
      <c r="BA35" s="56"/>
      <c r="BB35" s="53"/>
      <c r="BC35" s="57"/>
      <c r="BD35" s="58"/>
      <c r="BE35" s="62"/>
      <c r="BF35" s="53"/>
      <c r="BG35" s="57"/>
      <c r="BH35" s="58"/>
      <c r="BI35" s="56"/>
      <c r="BJ35" s="53"/>
      <c r="BK35" s="57"/>
      <c r="BL35" s="58"/>
    </row>
    <row r="36" spans="2:64" x14ac:dyDescent="0.3">
      <c r="B36" s="5">
        <f t="shared" si="0"/>
        <v>0</v>
      </c>
      <c r="C36" s="6">
        <f t="shared" si="1"/>
        <v>0</v>
      </c>
      <c r="D36" s="6">
        <f t="shared" si="2"/>
        <v>0</v>
      </c>
      <c r="E36" s="6">
        <f t="shared" si="3"/>
        <v>0</v>
      </c>
      <c r="F36" s="6">
        <f t="shared" si="4"/>
        <v>0</v>
      </c>
      <c r="G36" s="6">
        <f t="shared" si="5"/>
        <v>0</v>
      </c>
      <c r="H36" s="6">
        <f t="shared" si="6"/>
        <v>0</v>
      </c>
      <c r="I36" s="6">
        <f t="shared" si="7"/>
        <v>0</v>
      </c>
      <c r="J36" s="6">
        <f t="shared" si="8"/>
        <v>0</v>
      </c>
      <c r="K36" s="7">
        <f t="shared" si="9"/>
        <v>0</v>
      </c>
      <c r="L36" s="41">
        <f t="shared" si="10"/>
        <v>0</v>
      </c>
      <c r="N36" s="52">
        <v>17</v>
      </c>
      <c r="O36" s="53"/>
      <c r="P36" s="54"/>
      <c r="Q36" s="54"/>
      <c r="R36" s="55"/>
      <c r="S36" s="56"/>
      <c r="T36" s="57"/>
      <c r="U36" s="57"/>
      <c r="V36" s="57"/>
      <c r="W36" s="57"/>
      <c r="X36" s="58"/>
      <c r="Y36" s="59"/>
      <c r="Z36" s="60"/>
      <c r="AA36" s="60"/>
      <c r="AB36" s="60"/>
      <c r="AC36" s="57"/>
      <c r="AD36" s="55"/>
      <c r="AE36" s="61"/>
      <c r="AF36" s="60"/>
      <c r="AG36" s="60"/>
      <c r="AH36" s="60"/>
      <c r="AI36" s="57"/>
      <c r="AJ36" s="58"/>
      <c r="AK36" s="53"/>
      <c r="AL36" s="57"/>
      <c r="AM36" s="57"/>
      <c r="AN36" s="58"/>
      <c r="AO36" s="53"/>
      <c r="AP36" s="53"/>
      <c r="AQ36" s="57"/>
      <c r="AR36" s="58"/>
      <c r="AS36" s="56"/>
      <c r="AT36" s="53"/>
      <c r="AU36" s="57"/>
      <c r="AV36" s="58"/>
      <c r="AW36" s="56"/>
      <c r="AX36" s="53"/>
      <c r="AY36" s="57"/>
      <c r="AZ36" s="58"/>
      <c r="BA36" s="56"/>
      <c r="BB36" s="53"/>
      <c r="BC36" s="57"/>
      <c r="BD36" s="58"/>
      <c r="BE36" s="62"/>
      <c r="BF36" s="53"/>
      <c r="BG36" s="57"/>
      <c r="BH36" s="58"/>
      <c r="BI36" s="56"/>
      <c r="BJ36" s="53"/>
      <c r="BK36" s="57"/>
      <c r="BL36" s="58"/>
    </row>
    <row r="37" spans="2:64" x14ac:dyDescent="0.3">
      <c r="B37" s="5">
        <f t="shared" si="0"/>
        <v>0</v>
      </c>
      <c r="C37" s="6">
        <f t="shared" si="1"/>
        <v>0</v>
      </c>
      <c r="D37" s="6">
        <f t="shared" si="2"/>
        <v>0</v>
      </c>
      <c r="E37" s="6">
        <f t="shared" si="3"/>
        <v>0</v>
      </c>
      <c r="F37" s="6">
        <f t="shared" si="4"/>
        <v>0</v>
      </c>
      <c r="G37" s="6">
        <f t="shared" si="5"/>
        <v>0</v>
      </c>
      <c r="H37" s="6">
        <f t="shared" si="6"/>
        <v>0</v>
      </c>
      <c r="I37" s="6">
        <f t="shared" si="7"/>
        <v>0</v>
      </c>
      <c r="J37" s="6">
        <f t="shared" si="8"/>
        <v>0</v>
      </c>
      <c r="K37" s="7">
        <f t="shared" si="9"/>
        <v>0</v>
      </c>
      <c r="L37" s="41">
        <f t="shared" si="10"/>
        <v>0</v>
      </c>
      <c r="N37" s="52">
        <v>18</v>
      </c>
      <c r="O37" s="53"/>
      <c r="P37" s="54"/>
      <c r="Q37" s="54"/>
      <c r="R37" s="55"/>
      <c r="S37" s="56"/>
      <c r="T37" s="57"/>
      <c r="U37" s="57"/>
      <c r="V37" s="57"/>
      <c r="W37" s="57"/>
      <c r="X37" s="58"/>
      <c r="Y37" s="59"/>
      <c r="Z37" s="60"/>
      <c r="AA37" s="60"/>
      <c r="AB37" s="60"/>
      <c r="AC37" s="57"/>
      <c r="AD37" s="55"/>
      <c r="AE37" s="61"/>
      <c r="AF37" s="60"/>
      <c r="AG37" s="60"/>
      <c r="AH37" s="60"/>
      <c r="AI37" s="57"/>
      <c r="AJ37" s="58"/>
      <c r="AK37" s="53"/>
      <c r="AL37" s="57"/>
      <c r="AM37" s="57"/>
      <c r="AN37" s="58"/>
      <c r="AO37" s="53"/>
      <c r="AP37" s="53"/>
      <c r="AQ37" s="57"/>
      <c r="AR37" s="58"/>
      <c r="AS37" s="56"/>
      <c r="AT37" s="53"/>
      <c r="AU37" s="57"/>
      <c r="AV37" s="58"/>
      <c r="AW37" s="56"/>
      <c r="AX37" s="53"/>
      <c r="AY37" s="57"/>
      <c r="AZ37" s="58"/>
      <c r="BA37" s="56"/>
      <c r="BB37" s="53"/>
      <c r="BC37" s="57"/>
      <c r="BD37" s="58"/>
      <c r="BE37" s="62"/>
      <c r="BF37" s="53"/>
      <c r="BG37" s="57"/>
      <c r="BH37" s="58"/>
      <c r="BI37" s="56"/>
      <c r="BJ37" s="53"/>
      <c r="BK37" s="57"/>
      <c r="BL37" s="58"/>
    </row>
    <row r="38" spans="2:64" x14ac:dyDescent="0.3">
      <c r="B38" s="5">
        <f t="shared" si="0"/>
        <v>0</v>
      </c>
      <c r="C38" s="6">
        <f t="shared" si="1"/>
        <v>0</v>
      </c>
      <c r="D38" s="6">
        <f t="shared" si="2"/>
        <v>0</v>
      </c>
      <c r="E38" s="6">
        <f t="shared" si="3"/>
        <v>0</v>
      </c>
      <c r="F38" s="6">
        <f t="shared" si="4"/>
        <v>0</v>
      </c>
      <c r="G38" s="6">
        <f t="shared" si="5"/>
        <v>0</v>
      </c>
      <c r="H38" s="6">
        <f t="shared" si="6"/>
        <v>0</v>
      </c>
      <c r="I38" s="6">
        <f t="shared" si="7"/>
        <v>0</v>
      </c>
      <c r="J38" s="6">
        <f t="shared" si="8"/>
        <v>0</v>
      </c>
      <c r="K38" s="7">
        <f t="shared" si="9"/>
        <v>0</v>
      </c>
      <c r="L38" s="41">
        <f t="shared" si="10"/>
        <v>0</v>
      </c>
      <c r="N38" s="52">
        <v>19</v>
      </c>
      <c r="O38" s="53"/>
      <c r="P38" s="54"/>
      <c r="Q38" s="54"/>
      <c r="R38" s="55"/>
      <c r="S38" s="56"/>
      <c r="T38" s="57"/>
      <c r="U38" s="57"/>
      <c r="V38" s="57"/>
      <c r="W38" s="57"/>
      <c r="X38" s="58"/>
      <c r="Y38" s="59"/>
      <c r="Z38" s="60"/>
      <c r="AA38" s="60"/>
      <c r="AB38" s="60"/>
      <c r="AC38" s="57"/>
      <c r="AD38" s="55"/>
      <c r="AE38" s="61"/>
      <c r="AF38" s="60"/>
      <c r="AG38" s="60"/>
      <c r="AH38" s="60"/>
      <c r="AI38" s="57"/>
      <c r="AJ38" s="58"/>
      <c r="AK38" s="53"/>
      <c r="AL38" s="57"/>
      <c r="AM38" s="57"/>
      <c r="AN38" s="58"/>
      <c r="AO38" s="53"/>
      <c r="AP38" s="53"/>
      <c r="AQ38" s="57"/>
      <c r="AR38" s="58"/>
      <c r="AS38" s="56"/>
      <c r="AT38" s="53"/>
      <c r="AU38" s="57"/>
      <c r="AV38" s="58"/>
      <c r="AW38" s="56"/>
      <c r="AX38" s="53"/>
      <c r="AY38" s="57"/>
      <c r="AZ38" s="58"/>
      <c r="BA38" s="56"/>
      <c r="BB38" s="53"/>
      <c r="BC38" s="57"/>
      <c r="BD38" s="58"/>
      <c r="BE38" s="62"/>
      <c r="BF38" s="53"/>
      <c r="BG38" s="57"/>
      <c r="BH38" s="58"/>
      <c r="BI38" s="56"/>
      <c r="BJ38" s="53"/>
      <c r="BK38" s="57"/>
      <c r="BL38" s="58"/>
    </row>
    <row r="39" spans="2:64" x14ac:dyDescent="0.3">
      <c r="B39" s="5">
        <f t="shared" si="0"/>
        <v>0</v>
      </c>
      <c r="C39" s="6">
        <f t="shared" si="1"/>
        <v>0</v>
      </c>
      <c r="D39" s="6">
        <f t="shared" si="2"/>
        <v>0</v>
      </c>
      <c r="E39" s="6">
        <f t="shared" si="3"/>
        <v>0</v>
      </c>
      <c r="F39" s="6">
        <f t="shared" si="4"/>
        <v>0</v>
      </c>
      <c r="G39" s="6">
        <f t="shared" si="5"/>
        <v>0</v>
      </c>
      <c r="H39" s="6">
        <f t="shared" si="6"/>
        <v>0</v>
      </c>
      <c r="I39" s="6">
        <f t="shared" si="7"/>
        <v>0</v>
      </c>
      <c r="J39" s="6">
        <f t="shared" si="8"/>
        <v>0</v>
      </c>
      <c r="K39" s="7">
        <f t="shared" si="9"/>
        <v>0</v>
      </c>
      <c r="L39" s="41">
        <f t="shared" si="10"/>
        <v>0</v>
      </c>
      <c r="N39" s="52">
        <v>20</v>
      </c>
      <c r="O39" s="53"/>
      <c r="P39" s="54"/>
      <c r="Q39" s="54"/>
      <c r="R39" s="55"/>
      <c r="S39" s="56"/>
      <c r="T39" s="57"/>
      <c r="U39" s="57"/>
      <c r="V39" s="57"/>
      <c r="W39" s="57"/>
      <c r="X39" s="58"/>
      <c r="Y39" s="59"/>
      <c r="Z39" s="60"/>
      <c r="AA39" s="60"/>
      <c r="AB39" s="60"/>
      <c r="AC39" s="57"/>
      <c r="AD39" s="55"/>
      <c r="AE39" s="61"/>
      <c r="AF39" s="60"/>
      <c r="AG39" s="60"/>
      <c r="AH39" s="60"/>
      <c r="AI39" s="57"/>
      <c r="AJ39" s="58"/>
      <c r="AK39" s="53"/>
      <c r="AL39" s="57"/>
      <c r="AM39" s="57"/>
      <c r="AN39" s="58"/>
      <c r="AO39" s="53"/>
      <c r="AP39" s="53"/>
      <c r="AQ39" s="57"/>
      <c r="AR39" s="58"/>
      <c r="AS39" s="56"/>
      <c r="AT39" s="53"/>
      <c r="AU39" s="57"/>
      <c r="AV39" s="58"/>
      <c r="AW39" s="56"/>
      <c r="AX39" s="53"/>
      <c r="AY39" s="57"/>
      <c r="AZ39" s="58"/>
      <c r="BA39" s="56"/>
      <c r="BB39" s="53"/>
      <c r="BC39" s="57"/>
      <c r="BD39" s="58"/>
      <c r="BE39" s="62"/>
      <c r="BF39" s="53"/>
      <c r="BG39" s="57"/>
      <c r="BH39" s="58"/>
      <c r="BI39" s="56"/>
      <c r="BJ39" s="53"/>
      <c r="BK39" s="57"/>
      <c r="BL39" s="58"/>
    </row>
    <row r="40" spans="2:64" x14ac:dyDescent="0.3">
      <c r="B40" s="5">
        <f t="shared" si="0"/>
        <v>0</v>
      </c>
      <c r="C40" s="6">
        <f t="shared" si="1"/>
        <v>0</v>
      </c>
      <c r="D40" s="6">
        <f t="shared" si="2"/>
        <v>0</v>
      </c>
      <c r="E40" s="6">
        <f t="shared" si="3"/>
        <v>0</v>
      </c>
      <c r="F40" s="6">
        <f t="shared" si="4"/>
        <v>0</v>
      </c>
      <c r="G40" s="6">
        <f t="shared" si="5"/>
        <v>0</v>
      </c>
      <c r="H40" s="6">
        <f t="shared" si="6"/>
        <v>0</v>
      </c>
      <c r="I40" s="6">
        <f t="shared" si="7"/>
        <v>0</v>
      </c>
      <c r="J40" s="6">
        <f t="shared" si="8"/>
        <v>0</v>
      </c>
      <c r="K40" s="7">
        <f t="shared" si="9"/>
        <v>0</v>
      </c>
      <c r="L40" s="41">
        <f t="shared" si="10"/>
        <v>0</v>
      </c>
      <c r="N40" s="52">
        <v>21</v>
      </c>
      <c r="O40" s="53"/>
      <c r="P40" s="54"/>
      <c r="Q40" s="54"/>
      <c r="R40" s="55"/>
      <c r="S40" s="56"/>
      <c r="T40" s="57"/>
      <c r="U40" s="57"/>
      <c r="V40" s="57"/>
      <c r="W40" s="57"/>
      <c r="X40" s="58"/>
      <c r="Y40" s="59"/>
      <c r="Z40" s="60"/>
      <c r="AA40" s="60"/>
      <c r="AB40" s="60"/>
      <c r="AC40" s="57"/>
      <c r="AD40" s="55"/>
      <c r="AE40" s="61"/>
      <c r="AF40" s="60"/>
      <c r="AG40" s="60"/>
      <c r="AH40" s="60"/>
      <c r="AI40" s="57"/>
      <c r="AJ40" s="58"/>
      <c r="AK40" s="53"/>
      <c r="AL40" s="57"/>
      <c r="AM40" s="57"/>
      <c r="AN40" s="58"/>
      <c r="AO40" s="53"/>
      <c r="AP40" s="53"/>
      <c r="AQ40" s="57"/>
      <c r="AR40" s="58"/>
      <c r="AS40" s="56"/>
      <c r="AT40" s="53"/>
      <c r="AU40" s="57"/>
      <c r="AV40" s="58"/>
      <c r="AW40" s="56"/>
      <c r="AX40" s="53"/>
      <c r="AY40" s="57"/>
      <c r="AZ40" s="58"/>
      <c r="BA40" s="56"/>
      <c r="BB40" s="53"/>
      <c r="BC40" s="57"/>
      <c r="BD40" s="58"/>
      <c r="BE40" s="62"/>
      <c r="BF40" s="53"/>
      <c r="BG40" s="57"/>
      <c r="BH40" s="58"/>
      <c r="BI40" s="56"/>
      <c r="BJ40" s="53"/>
      <c r="BK40" s="57"/>
      <c r="BL40" s="58"/>
    </row>
    <row r="41" spans="2:64" x14ac:dyDescent="0.3">
      <c r="B41" s="5">
        <f t="shared" si="0"/>
        <v>0</v>
      </c>
      <c r="C41" s="6">
        <f t="shared" si="1"/>
        <v>0</v>
      </c>
      <c r="D41" s="6">
        <f t="shared" si="2"/>
        <v>0</v>
      </c>
      <c r="E41" s="6">
        <f t="shared" si="3"/>
        <v>0</v>
      </c>
      <c r="F41" s="6">
        <f t="shared" si="4"/>
        <v>0</v>
      </c>
      <c r="G41" s="6">
        <f t="shared" si="5"/>
        <v>0</v>
      </c>
      <c r="H41" s="6">
        <f t="shared" si="6"/>
        <v>0</v>
      </c>
      <c r="I41" s="6">
        <f t="shared" si="7"/>
        <v>0</v>
      </c>
      <c r="J41" s="6">
        <f t="shared" si="8"/>
        <v>0</v>
      </c>
      <c r="K41" s="7">
        <f t="shared" si="9"/>
        <v>0</v>
      </c>
      <c r="L41" s="41">
        <f t="shared" si="10"/>
        <v>0</v>
      </c>
      <c r="N41" s="52">
        <v>22</v>
      </c>
      <c r="O41" s="53"/>
      <c r="P41" s="54"/>
      <c r="Q41" s="54"/>
      <c r="R41" s="55"/>
      <c r="S41" s="56"/>
      <c r="T41" s="57"/>
      <c r="U41" s="57"/>
      <c r="V41" s="57"/>
      <c r="W41" s="57"/>
      <c r="X41" s="58"/>
      <c r="Y41" s="59"/>
      <c r="Z41" s="60"/>
      <c r="AA41" s="60"/>
      <c r="AB41" s="60"/>
      <c r="AC41" s="57"/>
      <c r="AD41" s="55"/>
      <c r="AE41" s="61"/>
      <c r="AF41" s="60"/>
      <c r="AG41" s="60"/>
      <c r="AH41" s="60"/>
      <c r="AI41" s="57"/>
      <c r="AJ41" s="58"/>
      <c r="AK41" s="53"/>
      <c r="AL41" s="57"/>
      <c r="AM41" s="57"/>
      <c r="AN41" s="58"/>
      <c r="AO41" s="53"/>
      <c r="AP41" s="53"/>
      <c r="AQ41" s="57"/>
      <c r="AR41" s="58"/>
      <c r="AS41" s="56"/>
      <c r="AT41" s="53"/>
      <c r="AU41" s="57"/>
      <c r="AV41" s="58"/>
      <c r="AW41" s="56"/>
      <c r="AX41" s="53"/>
      <c r="AY41" s="57"/>
      <c r="AZ41" s="58"/>
      <c r="BA41" s="56"/>
      <c r="BB41" s="53"/>
      <c r="BC41" s="57"/>
      <c r="BD41" s="58"/>
      <c r="BE41" s="62"/>
      <c r="BF41" s="53"/>
      <c r="BG41" s="57"/>
      <c r="BH41" s="58"/>
      <c r="BI41" s="56"/>
      <c r="BJ41" s="53"/>
      <c r="BK41" s="57"/>
      <c r="BL41" s="58"/>
    </row>
    <row r="42" spans="2:64" x14ac:dyDescent="0.3">
      <c r="B42" s="5">
        <f t="shared" si="0"/>
        <v>0</v>
      </c>
      <c r="C42" s="6">
        <f t="shared" si="1"/>
        <v>0</v>
      </c>
      <c r="D42" s="6">
        <f t="shared" si="2"/>
        <v>0</v>
      </c>
      <c r="E42" s="6">
        <f t="shared" si="3"/>
        <v>0</v>
      </c>
      <c r="F42" s="6">
        <f t="shared" si="4"/>
        <v>0</v>
      </c>
      <c r="G42" s="6">
        <f t="shared" si="5"/>
        <v>0</v>
      </c>
      <c r="H42" s="6">
        <f t="shared" si="6"/>
        <v>0</v>
      </c>
      <c r="I42" s="6">
        <f t="shared" si="7"/>
        <v>0</v>
      </c>
      <c r="J42" s="6">
        <f t="shared" si="8"/>
        <v>0</v>
      </c>
      <c r="K42" s="7">
        <f t="shared" si="9"/>
        <v>0</v>
      </c>
      <c r="L42" s="41">
        <f t="shared" si="10"/>
        <v>0</v>
      </c>
      <c r="N42" s="52">
        <v>23</v>
      </c>
      <c r="O42" s="53"/>
      <c r="P42" s="54"/>
      <c r="Q42" s="54"/>
      <c r="R42" s="55"/>
      <c r="S42" s="56"/>
      <c r="T42" s="57"/>
      <c r="U42" s="57"/>
      <c r="V42" s="57"/>
      <c r="W42" s="57"/>
      <c r="X42" s="58"/>
      <c r="Y42" s="59"/>
      <c r="Z42" s="60"/>
      <c r="AA42" s="60"/>
      <c r="AB42" s="60"/>
      <c r="AC42" s="57"/>
      <c r="AD42" s="55"/>
      <c r="AE42" s="61"/>
      <c r="AF42" s="60"/>
      <c r="AG42" s="60"/>
      <c r="AH42" s="60"/>
      <c r="AI42" s="57"/>
      <c r="AJ42" s="58"/>
      <c r="AK42" s="53"/>
      <c r="AL42" s="57"/>
      <c r="AM42" s="57"/>
      <c r="AN42" s="58"/>
      <c r="AO42" s="53"/>
      <c r="AP42" s="53"/>
      <c r="AQ42" s="57"/>
      <c r="AR42" s="58"/>
      <c r="AS42" s="56"/>
      <c r="AT42" s="53"/>
      <c r="AU42" s="57"/>
      <c r="AV42" s="58"/>
      <c r="AW42" s="56"/>
      <c r="AX42" s="53"/>
      <c r="AY42" s="57"/>
      <c r="AZ42" s="58"/>
      <c r="BA42" s="56"/>
      <c r="BB42" s="53"/>
      <c r="BC42" s="57"/>
      <c r="BD42" s="58"/>
      <c r="BE42" s="62"/>
      <c r="BF42" s="53"/>
      <c r="BG42" s="57"/>
      <c r="BH42" s="58"/>
      <c r="BI42" s="56"/>
      <c r="BJ42" s="53"/>
      <c r="BK42" s="57"/>
      <c r="BL42" s="58"/>
    </row>
    <row r="43" spans="2:64" x14ac:dyDescent="0.3">
      <c r="B43" s="5">
        <f t="shared" si="0"/>
        <v>0</v>
      </c>
      <c r="C43" s="6">
        <f t="shared" si="1"/>
        <v>0</v>
      </c>
      <c r="D43" s="6">
        <f t="shared" si="2"/>
        <v>0</v>
      </c>
      <c r="E43" s="6">
        <f t="shared" si="3"/>
        <v>0</v>
      </c>
      <c r="F43" s="6">
        <f t="shared" si="4"/>
        <v>0</v>
      </c>
      <c r="G43" s="6">
        <f t="shared" si="5"/>
        <v>0</v>
      </c>
      <c r="H43" s="6">
        <f t="shared" si="6"/>
        <v>0</v>
      </c>
      <c r="I43" s="6">
        <f t="shared" si="7"/>
        <v>0</v>
      </c>
      <c r="J43" s="6">
        <f t="shared" si="8"/>
        <v>0</v>
      </c>
      <c r="K43" s="7">
        <f t="shared" si="9"/>
        <v>0</v>
      </c>
      <c r="L43" s="41">
        <f t="shared" si="10"/>
        <v>0</v>
      </c>
      <c r="N43" s="52">
        <v>24</v>
      </c>
      <c r="O43" s="53"/>
      <c r="P43" s="54"/>
      <c r="Q43" s="54"/>
      <c r="R43" s="55"/>
      <c r="S43" s="56"/>
      <c r="T43" s="57"/>
      <c r="U43" s="57"/>
      <c r="V43" s="57"/>
      <c r="W43" s="57"/>
      <c r="X43" s="58"/>
      <c r="Y43" s="59"/>
      <c r="Z43" s="60"/>
      <c r="AA43" s="60"/>
      <c r="AB43" s="60"/>
      <c r="AC43" s="57"/>
      <c r="AD43" s="55"/>
      <c r="AE43" s="61"/>
      <c r="AF43" s="60"/>
      <c r="AG43" s="60"/>
      <c r="AH43" s="60"/>
      <c r="AI43" s="57"/>
      <c r="AJ43" s="58"/>
      <c r="AK43" s="53"/>
      <c r="AL43" s="57"/>
      <c r="AM43" s="57"/>
      <c r="AN43" s="58"/>
      <c r="AO43" s="53"/>
      <c r="AP43" s="53"/>
      <c r="AQ43" s="57"/>
      <c r="AR43" s="58"/>
      <c r="AS43" s="56"/>
      <c r="AT43" s="53"/>
      <c r="AU43" s="57"/>
      <c r="AV43" s="58"/>
      <c r="AW43" s="56"/>
      <c r="AX43" s="53"/>
      <c r="AY43" s="57"/>
      <c r="AZ43" s="58"/>
      <c r="BA43" s="56"/>
      <c r="BB43" s="53"/>
      <c r="BC43" s="57"/>
      <c r="BD43" s="58"/>
      <c r="BE43" s="62"/>
      <c r="BF43" s="53"/>
      <c r="BG43" s="57"/>
      <c r="BH43" s="58"/>
      <c r="BI43" s="56"/>
      <c r="BJ43" s="53"/>
      <c r="BK43" s="57"/>
      <c r="BL43" s="58"/>
    </row>
    <row r="44" spans="2:64" x14ac:dyDescent="0.3">
      <c r="B44" s="5">
        <f t="shared" si="0"/>
        <v>0</v>
      </c>
      <c r="C44" s="6">
        <f t="shared" si="1"/>
        <v>0</v>
      </c>
      <c r="D44" s="6">
        <f t="shared" si="2"/>
        <v>0</v>
      </c>
      <c r="E44" s="6">
        <f t="shared" si="3"/>
        <v>0</v>
      </c>
      <c r="F44" s="6">
        <f t="shared" si="4"/>
        <v>0</v>
      </c>
      <c r="G44" s="6">
        <f t="shared" si="5"/>
        <v>0</v>
      </c>
      <c r="H44" s="6">
        <f t="shared" si="6"/>
        <v>0</v>
      </c>
      <c r="I44" s="6">
        <f t="shared" si="7"/>
        <v>0</v>
      </c>
      <c r="J44" s="6">
        <f t="shared" si="8"/>
        <v>0</v>
      </c>
      <c r="K44" s="7">
        <f t="shared" si="9"/>
        <v>0</v>
      </c>
      <c r="L44" s="41">
        <f t="shared" si="10"/>
        <v>0</v>
      </c>
      <c r="N44" s="52">
        <v>25</v>
      </c>
      <c r="O44" s="53"/>
      <c r="P44" s="54"/>
      <c r="Q44" s="54"/>
      <c r="R44" s="55"/>
      <c r="S44" s="56"/>
      <c r="T44" s="57"/>
      <c r="U44" s="57"/>
      <c r="V44" s="57"/>
      <c r="W44" s="57"/>
      <c r="X44" s="58"/>
      <c r="Y44" s="59"/>
      <c r="Z44" s="60"/>
      <c r="AA44" s="60"/>
      <c r="AB44" s="60"/>
      <c r="AC44" s="57"/>
      <c r="AD44" s="55"/>
      <c r="AE44" s="61"/>
      <c r="AF44" s="60"/>
      <c r="AG44" s="60"/>
      <c r="AH44" s="60"/>
      <c r="AI44" s="57"/>
      <c r="AJ44" s="58"/>
      <c r="AK44" s="53"/>
      <c r="AL44" s="57"/>
      <c r="AM44" s="57"/>
      <c r="AN44" s="58"/>
      <c r="AO44" s="53"/>
      <c r="AP44" s="53"/>
      <c r="AQ44" s="57"/>
      <c r="AR44" s="58"/>
      <c r="AS44" s="56"/>
      <c r="AT44" s="53"/>
      <c r="AU44" s="57"/>
      <c r="AV44" s="58"/>
      <c r="AW44" s="56"/>
      <c r="AX44" s="53"/>
      <c r="AY44" s="57"/>
      <c r="AZ44" s="58"/>
      <c r="BA44" s="56"/>
      <c r="BB44" s="53"/>
      <c r="BC44" s="57"/>
      <c r="BD44" s="58"/>
      <c r="BE44" s="62"/>
      <c r="BF44" s="53"/>
      <c r="BG44" s="57"/>
      <c r="BH44" s="58"/>
      <c r="BI44" s="56"/>
      <c r="BJ44" s="53"/>
      <c r="BK44" s="57"/>
      <c r="BL44" s="58"/>
    </row>
    <row r="45" spans="2:64" x14ac:dyDescent="0.3">
      <c r="B45" s="5">
        <f t="shared" si="0"/>
        <v>0</v>
      </c>
      <c r="C45" s="6">
        <f t="shared" si="1"/>
        <v>0</v>
      </c>
      <c r="D45" s="6">
        <f t="shared" si="2"/>
        <v>0</v>
      </c>
      <c r="E45" s="6">
        <f t="shared" si="3"/>
        <v>0</v>
      </c>
      <c r="F45" s="6">
        <f t="shared" si="4"/>
        <v>0</v>
      </c>
      <c r="G45" s="6">
        <f t="shared" si="5"/>
        <v>0</v>
      </c>
      <c r="H45" s="6">
        <f t="shared" si="6"/>
        <v>0</v>
      </c>
      <c r="I45" s="6">
        <f t="shared" si="7"/>
        <v>0</v>
      </c>
      <c r="J45" s="6">
        <f t="shared" si="8"/>
        <v>0</v>
      </c>
      <c r="K45" s="7">
        <f t="shared" si="9"/>
        <v>0</v>
      </c>
      <c r="L45" s="41">
        <f t="shared" si="10"/>
        <v>0</v>
      </c>
      <c r="N45" s="52">
        <v>26</v>
      </c>
      <c r="O45" s="53"/>
      <c r="P45" s="54"/>
      <c r="Q45" s="54"/>
      <c r="R45" s="55"/>
      <c r="S45" s="56"/>
      <c r="T45" s="57"/>
      <c r="U45" s="57"/>
      <c r="V45" s="57"/>
      <c r="W45" s="57"/>
      <c r="X45" s="58"/>
      <c r="Y45" s="59"/>
      <c r="Z45" s="60"/>
      <c r="AA45" s="60"/>
      <c r="AB45" s="60"/>
      <c r="AC45" s="57"/>
      <c r="AD45" s="55"/>
      <c r="AE45" s="61"/>
      <c r="AF45" s="60"/>
      <c r="AG45" s="60"/>
      <c r="AH45" s="60"/>
      <c r="AI45" s="57"/>
      <c r="AJ45" s="58"/>
      <c r="AK45" s="53"/>
      <c r="AL45" s="57"/>
      <c r="AM45" s="57"/>
      <c r="AN45" s="58"/>
      <c r="AO45" s="53"/>
      <c r="AP45" s="53"/>
      <c r="AQ45" s="57"/>
      <c r="AR45" s="58"/>
      <c r="AS45" s="56"/>
      <c r="AT45" s="53"/>
      <c r="AU45" s="57"/>
      <c r="AV45" s="58"/>
      <c r="AW45" s="56"/>
      <c r="AX45" s="53"/>
      <c r="AY45" s="57"/>
      <c r="AZ45" s="58"/>
      <c r="BA45" s="56"/>
      <c r="BB45" s="53"/>
      <c r="BC45" s="57"/>
      <c r="BD45" s="58"/>
      <c r="BE45" s="62"/>
      <c r="BF45" s="53"/>
      <c r="BG45" s="57"/>
      <c r="BH45" s="58"/>
      <c r="BI45" s="56"/>
      <c r="BJ45" s="53"/>
      <c r="BK45" s="57"/>
      <c r="BL45" s="58"/>
    </row>
    <row r="46" spans="2:64" x14ac:dyDescent="0.3">
      <c r="B46" s="5">
        <f t="shared" si="0"/>
        <v>0</v>
      </c>
      <c r="C46" s="6">
        <f t="shared" si="1"/>
        <v>0</v>
      </c>
      <c r="D46" s="6">
        <f t="shared" si="2"/>
        <v>0</v>
      </c>
      <c r="E46" s="6">
        <f t="shared" si="3"/>
        <v>0</v>
      </c>
      <c r="F46" s="6">
        <f t="shared" si="4"/>
        <v>0</v>
      </c>
      <c r="G46" s="6">
        <f t="shared" si="5"/>
        <v>0</v>
      </c>
      <c r="H46" s="6">
        <f t="shared" si="6"/>
        <v>0</v>
      </c>
      <c r="I46" s="6">
        <f t="shared" si="7"/>
        <v>0</v>
      </c>
      <c r="J46" s="6">
        <f t="shared" si="8"/>
        <v>0</v>
      </c>
      <c r="K46" s="7">
        <f t="shared" si="9"/>
        <v>0</v>
      </c>
      <c r="L46" s="41">
        <f t="shared" si="10"/>
        <v>0</v>
      </c>
      <c r="N46" s="52">
        <v>27</v>
      </c>
      <c r="O46" s="53"/>
      <c r="P46" s="54"/>
      <c r="Q46" s="54"/>
      <c r="R46" s="55"/>
      <c r="S46" s="56"/>
      <c r="T46" s="57"/>
      <c r="U46" s="57"/>
      <c r="V46" s="57"/>
      <c r="W46" s="57"/>
      <c r="X46" s="58"/>
      <c r="Y46" s="59"/>
      <c r="Z46" s="60"/>
      <c r="AA46" s="60"/>
      <c r="AB46" s="60"/>
      <c r="AC46" s="57"/>
      <c r="AD46" s="55"/>
      <c r="AE46" s="61"/>
      <c r="AF46" s="60"/>
      <c r="AG46" s="60"/>
      <c r="AH46" s="60"/>
      <c r="AI46" s="57"/>
      <c r="AJ46" s="58"/>
      <c r="AK46" s="53"/>
      <c r="AL46" s="57"/>
      <c r="AM46" s="57"/>
      <c r="AN46" s="58"/>
      <c r="AO46" s="53"/>
      <c r="AP46" s="53"/>
      <c r="AQ46" s="57"/>
      <c r="AR46" s="58"/>
      <c r="AS46" s="56"/>
      <c r="AT46" s="53"/>
      <c r="AU46" s="57"/>
      <c r="AV46" s="58"/>
      <c r="AW46" s="56"/>
      <c r="AX46" s="53"/>
      <c r="AY46" s="57"/>
      <c r="AZ46" s="58"/>
      <c r="BA46" s="56"/>
      <c r="BB46" s="53"/>
      <c r="BC46" s="57"/>
      <c r="BD46" s="58"/>
      <c r="BE46" s="62"/>
      <c r="BF46" s="53"/>
      <c r="BG46" s="57"/>
      <c r="BH46" s="58"/>
      <c r="BI46" s="56"/>
      <c r="BJ46" s="53"/>
      <c r="BK46" s="57"/>
      <c r="BL46" s="58"/>
    </row>
    <row r="47" spans="2:64" x14ac:dyDescent="0.3">
      <c r="B47" s="5">
        <f t="shared" si="0"/>
        <v>0</v>
      </c>
      <c r="C47" s="6">
        <f t="shared" si="1"/>
        <v>0</v>
      </c>
      <c r="D47" s="6">
        <f t="shared" si="2"/>
        <v>0</v>
      </c>
      <c r="E47" s="6">
        <f t="shared" si="3"/>
        <v>0</v>
      </c>
      <c r="F47" s="6">
        <f t="shared" si="4"/>
        <v>0</v>
      </c>
      <c r="G47" s="6">
        <f t="shared" si="5"/>
        <v>0</v>
      </c>
      <c r="H47" s="6">
        <f t="shared" si="6"/>
        <v>0</v>
      </c>
      <c r="I47" s="6">
        <f t="shared" si="7"/>
        <v>0</v>
      </c>
      <c r="J47" s="6">
        <f t="shared" si="8"/>
        <v>0</v>
      </c>
      <c r="K47" s="7">
        <f t="shared" si="9"/>
        <v>0</v>
      </c>
      <c r="L47" s="41">
        <f t="shared" si="10"/>
        <v>0</v>
      </c>
      <c r="N47" s="52">
        <v>28</v>
      </c>
      <c r="O47" s="53"/>
      <c r="P47" s="54"/>
      <c r="Q47" s="54"/>
      <c r="R47" s="55"/>
      <c r="S47" s="56"/>
      <c r="T47" s="57"/>
      <c r="U47" s="57"/>
      <c r="V47" s="57"/>
      <c r="W47" s="57"/>
      <c r="X47" s="58"/>
      <c r="Y47" s="59"/>
      <c r="Z47" s="60"/>
      <c r="AA47" s="60"/>
      <c r="AB47" s="60"/>
      <c r="AC47" s="57"/>
      <c r="AD47" s="55"/>
      <c r="AE47" s="61"/>
      <c r="AF47" s="60"/>
      <c r="AG47" s="60"/>
      <c r="AH47" s="60"/>
      <c r="AI47" s="57"/>
      <c r="AJ47" s="58"/>
      <c r="AK47" s="53"/>
      <c r="AL47" s="57"/>
      <c r="AM47" s="57"/>
      <c r="AN47" s="58"/>
      <c r="AO47" s="53"/>
      <c r="AP47" s="53"/>
      <c r="AQ47" s="57"/>
      <c r="AR47" s="58"/>
      <c r="AS47" s="56"/>
      <c r="AT47" s="53"/>
      <c r="AU47" s="57"/>
      <c r="AV47" s="58"/>
      <c r="AW47" s="56"/>
      <c r="AX47" s="53"/>
      <c r="AY47" s="57"/>
      <c r="AZ47" s="58"/>
      <c r="BA47" s="56"/>
      <c r="BB47" s="53"/>
      <c r="BC47" s="57"/>
      <c r="BD47" s="58"/>
      <c r="BE47" s="62"/>
      <c r="BF47" s="53"/>
      <c r="BG47" s="57"/>
      <c r="BH47" s="58"/>
      <c r="BI47" s="56"/>
      <c r="BJ47" s="53"/>
      <c r="BK47" s="57"/>
      <c r="BL47" s="58"/>
    </row>
    <row r="48" spans="2:64" x14ac:dyDescent="0.3">
      <c r="B48" s="5">
        <f t="shared" si="0"/>
        <v>0</v>
      </c>
      <c r="C48" s="6">
        <f t="shared" si="1"/>
        <v>0</v>
      </c>
      <c r="D48" s="6">
        <f t="shared" si="2"/>
        <v>0</v>
      </c>
      <c r="E48" s="6">
        <f t="shared" si="3"/>
        <v>0</v>
      </c>
      <c r="F48" s="6">
        <f t="shared" si="4"/>
        <v>0</v>
      </c>
      <c r="G48" s="6">
        <f t="shared" si="5"/>
        <v>0</v>
      </c>
      <c r="H48" s="6">
        <f t="shared" si="6"/>
        <v>0</v>
      </c>
      <c r="I48" s="6">
        <f t="shared" si="7"/>
        <v>0</v>
      </c>
      <c r="J48" s="6">
        <f t="shared" si="8"/>
        <v>0</v>
      </c>
      <c r="K48" s="7">
        <f t="shared" si="9"/>
        <v>0</v>
      </c>
      <c r="L48" s="41">
        <f t="shared" si="10"/>
        <v>0</v>
      </c>
      <c r="N48" s="52">
        <v>29</v>
      </c>
      <c r="O48" s="53"/>
      <c r="P48" s="54"/>
      <c r="Q48" s="54"/>
      <c r="R48" s="55"/>
      <c r="S48" s="56"/>
      <c r="T48" s="57"/>
      <c r="U48" s="57"/>
      <c r="V48" s="57"/>
      <c r="W48" s="57"/>
      <c r="X48" s="58"/>
      <c r="Y48" s="59"/>
      <c r="Z48" s="60"/>
      <c r="AA48" s="60"/>
      <c r="AB48" s="60"/>
      <c r="AC48" s="57"/>
      <c r="AD48" s="55"/>
      <c r="AE48" s="61"/>
      <c r="AF48" s="60"/>
      <c r="AG48" s="60"/>
      <c r="AH48" s="60"/>
      <c r="AI48" s="57"/>
      <c r="AJ48" s="58"/>
      <c r="AK48" s="53"/>
      <c r="AL48" s="57"/>
      <c r="AM48" s="57"/>
      <c r="AN48" s="58"/>
      <c r="AO48" s="53"/>
      <c r="AP48" s="53"/>
      <c r="AQ48" s="57"/>
      <c r="AR48" s="58"/>
      <c r="AS48" s="56"/>
      <c r="AT48" s="53"/>
      <c r="AU48" s="57"/>
      <c r="AV48" s="58"/>
      <c r="AW48" s="56"/>
      <c r="AX48" s="53"/>
      <c r="AY48" s="57"/>
      <c r="AZ48" s="58"/>
      <c r="BA48" s="56"/>
      <c r="BB48" s="53"/>
      <c r="BC48" s="57"/>
      <c r="BD48" s="58"/>
      <c r="BE48" s="62"/>
      <c r="BF48" s="53"/>
      <c r="BG48" s="57"/>
      <c r="BH48" s="58"/>
      <c r="BI48" s="56"/>
      <c r="BJ48" s="53"/>
      <c r="BK48" s="57"/>
      <c r="BL48" s="58"/>
    </row>
    <row r="49" spans="2:64" x14ac:dyDescent="0.3">
      <c r="B49" s="5">
        <f t="shared" si="0"/>
        <v>0</v>
      </c>
      <c r="C49" s="6">
        <f t="shared" si="1"/>
        <v>0</v>
      </c>
      <c r="D49" s="6">
        <f t="shared" si="2"/>
        <v>0</v>
      </c>
      <c r="E49" s="6">
        <f t="shared" si="3"/>
        <v>0</v>
      </c>
      <c r="F49" s="6">
        <f t="shared" si="4"/>
        <v>0</v>
      </c>
      <c r="G49" s="6">
        <f t="shared" si="5"/>
        <v>0</v>
      </c>
      <c r="H49" s="6">
        <f t="shared" si="6"/>
        <v>0</v>
      </c>
      <c r="I49" s="6">
        <f t="shared" si="7"/>
        <v>0</v>
      </c>
      <c r="J49" s="6">
        <f t="shared" si="8"/>
        <v>0</v>
      </c>
      <c r="K49" s="7">
        <f t="shared" si="9"/>
        <v>0</v>
      </c>
      <c r="L49" s="41">
        <f t="shared" si="10"/>
        <v>0</v>
      </c>
      <c r="N49" s="52">
        <v>30</v>
      </c>
      <c r="O49" s="53"/>
      <c r="P49" s="54"/>
      <c r="Q49" s="54"/>
      <c r="R49" s="55"/>
      <c r="S49" s="56"/>
      <c r="T49" s="57"/>
      <c r="U49" s="57"/>
      <c r="V49" s="57"/>
      <c r="W49" s="57"/>
      <c r="X49" s="58"/>
      <c r="Y49" s="59"/>
      <c r="Z49" s="60"/>
      <c r="AA49" s="60"/>
      <c r="AB49" s="60"/>
      <c r="AC49" s="57"/>
      <c r="AD49" s="55"/>
      <c r="AE49" s="61"/>
      <c r="AF49" s="60"/>
      <c r="AG49" s="60"/>
      <c r="AH49" s="60"/>
      <c r="AI49" s="57"/>
      <c r="AJ49" s="58"/>
      <c r="AK49" s="53"/>
      <c r="AL49" s="57"/>
      <c r="AM49" s="57"/>
      <c r="AN49" s="58"/>
      <c r="AO49" s="53"/>
      <c r="AP49" s="53"/>
      <c r="AQ49" s="57"/>
      <c r="AR49" s="58"/>
      <c r="AS49" s="56"/>
      <c r="AT49" s="53"/>
      <c r="AU49" s="57"/>
      <c r="AV49" s="58"/>
      <c r="AW49" s="56"/>
      <c r="AX49" s="53"/>
      <c r="AY49" s="57"/>
      <c r="AZ49" s="58"/>
      <c r="BA49" s="56"/>
      <c r="BB49" s="53"/>
      <c r="BC49" s="57"/>
      <c r="BD49" s="58"/>
      <c r="BE49" s="62"/>
      <c r="BF49" s="53"/>
      <c r="BG49" s="57"/>
      <c r="BH49" s="58"/>
      <c r="BI49" s="56"/>
      <c r="BJ49" s="53"/>
      <c r="BK49" s="57"/>
      <c r="BL49" s="58"/>
    </row>
    <row r="50" spans="2:64" x14ac:dyDescent="0.3">
      <c r="B50" s="5">
        <f t="shared" si="0"/>
        <v>0</v>
      </c>
      <c r="C50" s="6">
        <f t="shared" si="1"/>
        <v>0</v>
      </c>
      <c r="D50" s="6">
        <f t="shared" si="2"/>
        <v>0</v>
      </c>
      <c r="E50" s="6">
        <f t="shared" si="3"/>
        <v>0</v>
      </c>
      <c r="F50" s="6">
        <f t="shared" si="4"/>
        <v>0</v>
      </c>
      <c r="G50" s="6">
        <f t="shared" si="5"/>
        <v>0</v>
      </c>
      <c r="H50" s="6">
        <f t="shared" si="6"/>
        <v>0</v>
      </c>
      <c r="I50" s="6">
        <f t="shared" si="7"/>
        <v>0</v>
      </c>
      <c r="J50" s="6">
        <f t="shared" si="8"/>
        <v>0</v>
      </c>
      <c r="K50" s="7">
        <f t="shared" si="9"/>
        <v>0</v>
      </c>
      <c r="L50" s="41">
        <f t="shared" si="10"/>
        <v>0</v>
      </c>
      <c r="N50" s="52">
        <v>31</v>
      </c>
      <c r="O50" s="53"/>
      <c r="P50" s="54"/>
      <c r="Q50" s="54"/>
      <c r="R50" s="55"/>
      <c r="S50" s="56"/>
      <c r="T50" s="57"/>
      <c r="U50" s="57"/>
      <c r="V50" s="57"/>
      <c r="W50" s="57"/>
      <c r="X50" s="58"/>
      <c r="Y50" s="59"/>
      <c r="Z50" s="60"/>
      <c r="AA50" s="60"/>
      <c r="AB50" s="60"/>
      <c r="AC50" s="57"/>
      <c r="AD50" s="55"/>
      <c r="AE50" s="61"/>
      <c r="AF50" s="60"/>
      <c r="AG50" s="60"/>
      <c r="AH50" s="60"/>
      <c r="AI50" s="57"/>
      <c r="AJ50" s="58"/>
      <c r="AK50" s="53"/>
      <c r="AL50" s="57"/>
      <c r="AM50" s="57"/>
      <c r="AN50" s="58"/>
      <c r="AO50" s="53"/>
      <c r="AP50" s="53"/>
      <c r="AQ50" s="57"/>
      <c r="AR50" s="58"/>
      <c r="AS50" s="56"/>
      <c r="AT50" s="53"/>
      <c r="AU50" s="57"/>
      <c r="AV50" s="58"/>
      <c r="AW50" s="56"/>
      <c r="AX50" s="53"/>
      <c r="AY50" s="57"/>
      <c r="AZ50" s="58"/>
      <c r="BA50" s="56"/>
      <c r="BB50" s="53"/>
      <c r="BC50" s="57"/>
      <c r="BD50" s="58"/>
      <c r="BE50" s="62"/>
      <c r="BF50" s="53"/>
      <c r="BG50" s="57"/>
      <c r="BH50" s="58"/>
      <c r="BI50" s="56"/>
      <c r="BJ50" s="53"/>
      <c r="BK50" s="57"/>
      <c r="BL50" s="58"/>
    </row>
    <row r="51" spans="2:64" ht="15" thickBot="1" x14ac:dyDescent="0.35">
      <c r="B51" s="8">
        <f t="shared" si="0"/>
        <v>0</v>
      </c>
      <c r="C51" s="9">
        <f t="shared" si="1"/>
        <v>0</v>
      </c>
      <c r="D51" s="9">
        <f t="shared" si="2"/>
        <v>0</v>
      </c>
      <c r="E51" s="9">
        <f t="shared" si="3"/>
        <v>0</v>
      </c>
      <c r="F51" s="9">
        <f t="shared" si="4"/>
        <v>0</v>
      </c>
      <c r="G51" s="9">
        <f t="shared" si="5"/>
        <v>0</v>
      </c>
      <c r="H51" s="9">
        <f t="shared" si="6"/>
        <v>0</v>
      </c>
      <c r="I51" s="9">
        <f t="shared" si="7"/>
        <v>0</v>
      </c>
      <c r="J51" s="9">
        <f t="shared" si="8"/>
        <v>0</v>
      </c>
      <c r="K51" s="10">
        <f t="shared" si="9"/>
        <v>0</v>
      </c>
      <c r="L51" s="41">
        <f t="shared" si="10"/>
        <v>0</v>
      </c>
      <c r="N51" s="52">
        <v>32</v>
      </c>
      <c r="O51" s="53"/>
      <c r="P51" s="54"/>
      <c r="Q51" s="54"/>
      <c r="R51" s="55"/>
      <c r="S51" s="56"/>
      <c r="T51" s="57"/>
      <c r="U51" s="57"/>
      <c r="V51" s="57"/>
      <c r="W51" s="57"/>
      <c r="X51" s="58"/>
      <c r="Y51" s="59"/>
      <c r="Z51" s="60"/>
      <c r="AA51" s="60"/>
      <c r="AB51" s="60"/>
      <c r="AC51" s="57"/>
      <c r="AD51" s="55"/>
      <c r="AE51" s="61"/>
      <c r="AF51" s="60"/>
      <c r="AG51" s="60"/>
      <c r="AH51" s="60"/>
      <c r="AI51" s="57"/>
      <c r="AJ51" s="58"/>
      <c r="AK51" s="53"/>
      <c r="AL51" s="57"/>
      <c r="AM51" s="57"/>
      <c r="AN51" s="58"/>
      <c r="AO51" s="53"/>
      <c r="AP51" s="53"/>
      <c r="AQ51" s="57"/>
      <c r="AR51" s="58"/>
      <c r="AS51" s="56"/>
      <c r="AT51" s="53"/>
      <c r="AU51" s="57"/>
      <c r="AV51" s="58"/>
      <c r="AW51" s="56"/>
      <c r="AX51" s="53"/>
      <c r="AY51" s="57"/>
      <c r="AZ51" s="58"/>
      <c r="BA51" s="56"/>
      <c r="BB51" s="53"/>
      <c r="BC51" s="57"/>
      <c r="BD51" s="58"/>
      <c r="BE51" s="62"/>
      <c r="BF51" s="53"/>
      <c r="BG51" s="57"/>
      <c r="BH51" s="58"/>
      <c r="BI51" s="56"/>
      <c r="BJ51" s="53"/>
      <c r="BK51" s="57"/>
      <c r="BL51" s="58"/>
    </row>
    <row r="52" spans="2:64" x14ac:dyDescent="0.3">
      <c r="N52" s="63" t="s">
        <v>47</v>
      </c>
      <c r="O52" s="64"/>
      <c r="P52" s="65"/>
      <c r="Q52" s="65"/>
      <c r="R52" s="66"/>
      <c r="S52" s="67">
        <f>AVERAGE(S20:S51)</f>
        <v>9.9999999999999995E-7</v>
      </c>
      <c r="T52" s="68">
        <f>AVERAGE(T20:T51)</f>
        <v>9.9999999999999995E-7</v>
      </c>
      <c r="U52" s="68">
        <f>AVERAGE(U20:U51)</f>
        <v>9.9999999999999995E-7</v>
      </c>
      <c r="V52" s="68" t="e">
        <f>AVERAGE(V20:V51)</f>
        <v>#DIV/0!</v>
      </c>
      <c r="W52" s="68">
        <f>(SUM(D20:D51)+SUM(T20:T51)+SUM(S20:S51)*0.35)/SUM(S20:U51)</f>
        <v>0.45</v>
      </c>
      <c r="X52" s="69" t="e">
        <f>AVERAGE(X20:X51)</f>
        <v>#DIV/0!</v>
      </c>
      <c r="Y52" s="70">
        <f>AVERAGE(Y20:Y51)</f>
        <v>9.9999999999999995E-7</v>
      </c>
      <c r="Z52" s="71">
        <f>AVERAGE(Z20:Z51)</f>
        <v>9.9999999999999995E-7</v>
      </c>
      <c r="AA52" s="71">
        <f>AVERAGE(AA20:AA51)</f>
        <v>9.9999999999999995E-7</v>
      </c>
      <c r="AB52" s="71" t="e">
        <f>AVERAGE(AB20:AB51)</f>
        <v>#DIV/0!</v>
      </c>
      <c r="AC52" s="71">
        <f>(SUM(B20:B51)+SUM(Z20:Z51)+SUM(Y20:Y51)*0.35)/SUM(Y20:AA51)</f>
        <v>0.45</v>
      </c>
      <c r="AD52" s="72" t="e">
        <f>AVERAGE(AD20:AD51)</f>
        <v>#DIV/0!</v>
      </c>
      <c r="AE52" s="73">
        <f>AVERAGE(AE20:AE51)</f>
        <v>9.9999999999999995E-7</v>
      </c>
      <c r="AF52" s="71">
        <f>AVERAGE(AF20:AF51)</f>
        <v>9.9999999999999995E-7</v>
      </c>
      <c r="AG52" s="71">
        <f>AVERAGE(AG20:AG51)</f>
        <v>9.9999999999999995E-7</v>
      </c>
      <c r="AH52" s="71" t="e">
        <f>AVERAGE(AH20:AH51)</f>
        <v>#DIV/0!</v>
      </c>
      <c r="AI52" s="71">
        <f>(SUM(C20:C51)+SUM(AF20:AF51)+SUM(AE20:AE51)*0.35)/SUM(AE20:AG51)</f>
        <v>0.45</v>
      </c>
      <c r="AJ52" s="74" t="e">
        <f>AVERAGE(AJ20:AJ51)</f>
        <v>#DIV/0!</v>
      </c>
      <c r="AK52" s="70">
        <f>AVERAGE(AK20:AK51)</f>
        <v>9.9999999999999995E-7</v>
      </c>
      <c r="AL52" s="71" t="e">
        <f>AVERAGE(AL20:AL51)</f>
        <v>#DIV/0!</v>
      </c>
      <c r="AM52" s="71">
        <f>SUM(E20:E51)/SUM(AK20:AK51)</f>
        <v>0</v>
      </c>
      <c r="AN52" s="74" t="e">
        <f>AVERAGE(AN20:AN51)</f>
        <v>#DIV/0!</v>
      </c>
      <c r="AO52" s="70">
        <f>AVERAGE(AO20:AO51)</f>
        <v>9.9999999999999995E-7</v>
      </c>
      <c r="AP52" s="71" t="e">
        <f>AVERAGE(AP20:AP51)</f>
        <v>#DIV/0!</v>
      </c>
      <c r="AQ52" s="71">
        <f>SUM(F20:F51)/SUM(AO20:AO51)</f>
        <v>0</v>
      </c>
      <c r="AR52" s="74" t="e">
        <f>AVERAGE(AR20:AR51)</f>
        <v>#DIV/0!</v>
      </c>
      <c r="AS52" s="70">
        <f>AVERAGE(AS20:AS51)</f>
        <v>9.9999999999999995E-7</v>
      </c>
      <c r="AT52" s="71" t="e">
        <f>AVERAGE(AT20:AT51)</f>
        <v>#DIV/0!</v>
      </c>
      <c r="AU52" s="71">
        <f>SUM(G20:G51)/SUM(AS20:AS51)</f>
        <v>0</v>
      </c>
      <c r="AV52" s="74" t="e">
        <f>AVERAGE(AV20:AV51)</f>
        <v>#DIV/0!</v>
      </c>
      <c r="AW52" s="70">
        <f>AVERAGE(AW20:AW51)</f>
        <v>9.9999999999999995E-7</v>
      </c>
      <c r="AX52" s="71" t="e">
        <f>AVERAGE(AX20:AX51)</f>
        <v>#DIV/0!</v>
      </c>
      <c r="AY52" s="71">
        <f>SUM(H20:H51)/SUM(AW20:AW51)</f>
        <v>0</v>
      </c>
      <c r="AZ52" s="74" t="e">
        <f>AVERAGE(AZ20:AZ51)</f>
        <v>#DIV/0!</v>
      </c>
      <c r="BA52" s="70">
        <f>AVERAGE(BA20:BA51)</f>
        <v>9.9999999999999995E-7</v>
      </c>
      <c r="BB52" s="71" t="e">
        <f>AVERAGE(BB20:BB51)</f>
        <v>#DIV/0!</v>
      </c>
      <c r="BC52" s="71">
        <f>SUM(I20:I51)/SUM(BA20:BA51)</f>
        <v>0</v>
      </c>
      <c r="BD52" s="74" t="e">
        <f>AVERAGE(BD20:BD51)</f>
        <v>#DIV/0!</v>
      </c>
      <c r="BE52" s="70">
        <f>AVERAGE(BE20:BE51)</f>
        <v>9.9999999999999995E-7</v>
      </c>
      <c r="BF52" s="71" t="e">
        <f>AVERAGE(BF20:BF51)</f>
        <v>#DIV/0!</v>
      </c>
      <c r="BG52" s="71">
        <f>SUM(J20:J51)/SUM(BE20:BE51)</f>
        <v>0</v>
      </c>
      <c r="BH52" s="74" t="e">
        <f>AVERAGE(BH20:BH51)</f>
        <v>#DIV/0!</v>
      </c>
      <c r="BI52" s="70">
        <f>AVERAGE(BI20:BI51)</f>
        <v>9.9999999999999995E-7</v>
      </c>
      <c r="BJ52" s="71" t="e">
        <f>AVERAGE(BJ20:BJ51)</f>
        <v>#DIV/0!</v>
      </c>
      <c r="BK52" s="71">
        <f>SUM(K20:K51)/SUM(BI20:BI51)</f>
        <v>0</v>
      </c>
      <c r="BL52" s="74" t="e">
        <f>AVERAGE(BL20:BL51)</f>
        <v>#DIV/0!</v>
      </c>
    </row>
    <row r="53" spans="2:64" x14ac:dyDescent="0.3">
      <c r="N53" s="63" t="s">
        <v>48</v>
      </c>
      <c r="O53" s="64"/>
      <c r="P53" s="65"/>
      <c r="Q53" s="65"/>
      <c r="R53" s="66"/>
      <c r="S53" s="67"/>
      <c r="T53" s="68"/>
      <c r="U53" s="68"/>
      <c r="V53" s="68"/>
      <c r="W53" s="75">
        <f>SUM(D20:D51)/SUM(U20:U51)</f>
        <v>0</v>
      </c>
      <c r="X53" s="66"/>
      <c r="Y53" s="70"/>
      <c r="Z53" s="71"/>
      <c r="AA53" s="71"/>
      <c r="AB53" s="71"/>
      <c r="AC53" s="76">
        <f>SUM(B20:B51)/SUM(AA20:AA51)</f>
        <v>0</v>
      </c>
      <c r="AD53" s="77"/>
      <c r="AE53" s="73"/>
      <c r="AF53" s="71"/>
      <c r="AG53" s="71"/>
      <c r="AH53" s="71"/>
      <c r="AI53" s="76">
        <f>SUM(C20:C51)/SUM(AG20:AG51)</f>
        <v>0</v>
      </c>
      <c r="AJ53" s="78"/>
      <c r="AK53" s="64"/>
      <c r="AL53" s="75"/>
      <c r="AM53" s="75"/>
      <c r="AN53" s="79"/>
      <c r="AO53" s="64"/>
      <c r="AP53" s="64"/>
      <c r="AQ53" s="75"/>
      <c r="AR53" s="79"/>
      <c r="AS53" s="80"/>
      <c r="AT53" s="64"/>
      <c r="AU53" s="75"/>
      <c r="AV53" s="79"/>
      <c r="AW53" s="80"/>
      <c r="AX53" s="64"/>
      <c r="AY53" s="75"/>
      <c r="AZ53" s="79"/>
      <c r="BA53" s="80"/>
      <c r="BB53" s="64"/>
      <c r="BC53" s="75"/>
      <c r="BD53" s="79"/>
      <c r="BE53" s="80"/>
      <c r="BF53" s="64"/>
      <c r="BG53" s="75"/>
      <c r="BH53" s="79"/>
      <c r="BI53" s="80"/>
      <c r="BJ53" s="64"/>
      <c r="BK53" s="75"/>
      <c r="BL53" s="79"/>
    </row>
    <row r="54" spans="2:64" x14ac:dyDescent="0.3">
      <c r="N54" s="63" t="s">
        <v>49</v>
      </c>
      <c r="O54" s="64"/>
      <c r="P54" s="65"/>
      <c r="Q54" s="65"/>
      <c r="R54" s="66"/>
      <c r="S54" s="80"/>
      <c r="T54" s="75"/>
      <c r="U54" s="75"/>
      <c r="V54" s="75"/>
      <c r="W54" s="75"/>
      <c r="X54" s="79"/>
      <c r="Y54" s="67"/>
      <c r="Z54" s="68"/>
      <c r="AA54" s="68"/>
      <c r="AB54" s="68"/>
      <c r="AC54" s="75"/>
      <c r="AD54" s="66"/>
      <c r="AE54" s="81"/>
      <c r="AF54" s="68"/>
      <c r="AG54" s="68"/>
      <c r="AH54" s="68"/>
      <c r="AI54" s="75"/>
      <c r="AJ54" s="79"/>
      <c r="AK54" s="64"/>
      <c r="AL54" s="75"/>
      <c r="AM54" s="75"/>
      <c r="AN54" s="79"/>
      <c r="AO54" s="64"/>
      <c r="AP54" s="64"/>
      <c r="AQ54" s="75"/>
      <c r="AR54" s="79"/>
      <c r="AS54" s="80"/>
      <c r="AT54" s="64"/>
      <c r="AU54" s="75"/>
      <c r="AV54" s="79"/>
      <c r="AW54" s="80"/>
      <c r="AX54" s="64"/>
      <c r="AY54" s="75"/>
      <c r="AZ54" s="79"/>
      <c r="BA54" s="80"/>
      <c r="BB54" s="64"/>
      <c r="BC54" s="75"/>
      <c r="BD54" s="79"/>
      <c r="BE54" s="80"/>
      <c r="BF54" s="64"/>
      <c r="BG54" s="75"/>
      <c r="BH54" s="79"/>
      <c r="BI54" s="80"/>
      <c r="BJ54" s="64"/>
      <c r="BK54" s="75"/>
      <c r="BL54" s="79"/>
    </row>
    <row r="55" spans="2:64" ht="15" thickBot="1" x14ac:dyDescent="0.35">
      <c r="N55" s="82" t="s">
        <v>50</v>
      </c>
      <c r="O55" s="83"/>
      <c r="P55" s="84"/>
      <c r="Q55" s="84"/>
      <c r="R55" s="85"/>
      <c r="S55" s="86"/>
      <c r="T55" s="87"/>
      <c r="U55" s="87"/>
      <c r="V55" s="87"/>
      <c r="W55" s="87"/>
      <c r="X55" s="88"/>
      <c r="Y55" s="89"/>
      <c r="Z55" s="90"/>
      <c r="AA55" s="90"/>
      <c r="AB55" s="90"/>
      <c r="AC55" s="87"/>
      <c r="AD55" s="85"/>
      <c r="AE55" s="91"/>
      <c r="AF55" s="90"/>
      <c r="AG55" s="90"/>
      <c r="AH55" s="90"/>
      <c r="AI55" s="87"/>
      <c r="AJ55" s="88"/>
      <c r="AK55" s="83"/>
      <c r="AL55" s="87"/>
      <c r="AM55" s="87"/>
      <c r="AN55" s="88"/>
      <c r="AO55" s="83"/>
      <c r="AP55" s="83"/>
      <c r="AQ55" s="87"/>
      <c r="AR55" s="88"/>
      <c r="AS55" s="86"/>
      <c r="AT55" s="83"/>
      <c r="AU55" s="87"/>
      <c r="AV55" s="88"/>
      <c r="AW55" s="86"/>
      <c r="AX55" s="83"/>
      <c r="AY55" s="87"/>
      <c r="AZ55" s="88"/>
      <c r="BA55" s="86"/>
      <c r="BB55" s="83"/>
      <c r="BC55" s="87"/>
      <c r="BD55" s="88"/>
      <c r="BE55" s="86"/>
      <c r="BF55" s="83"/>
      <c r="BG55" s="87"/>
      <c r="BH55" s="88"/>
      <c r="BI55" s="86"/>
      <c r="BJ55" s="83"/>
      <c r="BK55" s="87"/>
      <c r="BL55" s="88"/>
    </row>
    <row r="60" spans="2:64" ht="15" thickBot="1" x14ac:dyDescent="0.35">
      <c r="U60">
        <f>T13</f>
        <v>0</v>
      </c>
      <c r="V60" t="s">
        <v>51</v>
      </c>
    </row>
    <row r="61" spans="2:64" ht="15" thickBot="1" x14ac:dyDescent="0.35">
      <c r="B61" s="1" t="s">
        <v>52</v>
      </c>
      <c r="C61" s="3"/>
      <c r="D61" s="4"/>
      <c r="E61" s="6"/>
      <c r="F61" s="6"/>
      <c r="I61" s="6"/>
      <c r="J61" s="6"/>
      <c r="K61" s="6"/>
      <c r="O61" t="s">
        <v>53</v>
      </c>
    </row>
    <row r="62" spans="2:64" ht="15" thickBot="1" x14ac:dyDescent="0.35">
      <c r="B62" s="92" t="str">
        <f>V62</f>
        <v>D, см</v>
      </c>
      <c r="C62" s="93" t="str">
        <f>W62</f>
        <v>h, м</v>
      </c>
      <c r="D62" s="94" t="str">
        <f>X62</f>
        <v>A, лет</v>
      </c>
      <c r="E62" s="6"/>
      <c r="F62" s="6"/>
      <c r="I62" s="6"/>
      <c r="J62" s="6"/>
      <c r="K62" s="6"/>
      <c r="O62" s="95"/>
      <c r="P62" s="96"/>
      <c r="Q62" s="96"/>
      <c r="R62" s="96"/>
      <c r="S62" s="96"/>
      <c r="T62" s="96"/>
      <c r="U62" s="96" t="s">
        <v>54</v>
      </c>
      <c r="V62" s="96" t="str">
        <f>AB19</f>
        <v>D, см</v>
      </c>
      <c r="W62" s="96" t="str">
        <f>AC19</f>
        <v>h, м</v>
      </c>
      <c r="X62" s="97" t="str">
        <f>AD19</f>
        <v>A, лет</v>
      </c>
    </row>
    <row r="63" spans="2:64" x14ac:dyDescent="0.3">
      <c r="B63" s="98" t="e">
        <f>V63*U63</f>
        <v>#DIV/0!</v>
      </c>
      <c r="C63" s="99">
        <f>W63*U63</f>
        <v>6.748731238527158E-7</v>
      </c>
      <c r="D63" s="100" t="e">
        <f>X63*U63</f>
        <v>#DIV/0!</v>
      </c>
      <c r="E63" s="6"/>
      <c r="F63" s="13"/>
      <c r="H63" s="6"/>
      <c r="I63" s="6"/>
      <c r="J63" s="6"/>
      <c r="K63" s="6"/>
      <c r="O63" s="101" t="e">
        <f t="shared" ref="O63:O72" si="11">U63/$U$75*10</f>
        <v>#DIV/0!</v>
      </c>
      <c r="P63" s="102"/>
      <c r="Q63" s="102"/>
      <c r="R63" s="6" t="str">
        <f>S18</f>
        <v>Сосна</v>
      </c>
      <c r="S63" s="6"/>
      <c r="T63" s="6"/>
      <c r="U63" s="103">
        <f>SUM(S52:U52)/(AE16*AE16*3.15/10000*1000)</f>
        <v>1.4997180530060351E-6</v>
      </c>
      <c r="V63" s="102" t="e">
        <f>V52</f>
        <v>#DIV/0!</v>
      </c>
      <c r="W63" s="102">
        <f>W52</f>
        <v>0.45</v>
      </c>
      <c r="X63" s="104" t="e">
        <f>X52</f>
        <v>#DIV/0!</v>
      </c>
      <c r="Y63" s="41"/>
    </row>
    <row r="64" spans="2:64" x14ac:dyDescent="0.3">
      <c r="B64" s="98" t="e">
        <f t="shared" ref="B64:B72" si="12">V64*U64</f>
        <v>#DIV/0!</v>
      </c>
      <c r="C64" s="99">
        <f t="shared" ref="C64:C72" si="13">W64*U64</f>
        <v>6.748731238527158E-7</v>
      </c>
      <c r="D64" s="100" t="e">
        <f t="shared" ref="D64:D72" si="14">X64*U64</f>
        <v>#DIV/0!</v>
      </c>
      <c r="E64" s="6"/>
      <c r="F64" s="13"/>
      <c r="H64" s="6"/>
      <c r="I64" s="6"/>
      <c r="J64" s="6"/>
      <c r="K64" s="6"/>
      <c r="O64" s="101" t="e">
        <f t="shared" si="11"/>
        <v>#DIV/0!</v>
      </c>
      <c r="P64" s="102"/>
      <c r="Q64" s="102"/>
      <c r="R64" s="6" t="str">
        <f>Y18</f>
        <v>Ель из подроста</v>
      </c>
      <c r="S64" s="6"/>
      <c r="T64" s="6"/>
      <c r="U64" s="103">
        <f>SUM(Y52:AA52)/(AE16*AE16*3.15/10000*1000)</f>
        <v>1.4997180530060351E-6</v>
      </c>
      <c r="V64" s="102" t="e">
        <f>AB52</f>
        <v>#DIV/0!</v>
      </c>
      <c r="W64" s="102">
        <f>AC52</f>
        <v>0.45</v>
      </c>
      <c r="X64" s="104" t="e">
        <f>AD52</f>
        <v>#DIV/0!</v>
      </c>
      <c r="Y64" s="41"/>
    </row>
    <row r="65" spans="2:56" ht="15" thickBot="1" x14ac:dyDescent="0.35">
      <c r="B65" s="98">
        <f t="shared" si="12"/>
        <v>0</v>
      </c>
      <c r="C65" s="99">
        <f t="shared" si="13"/>
        <v>0</v>
      </c>
      <c r="D65" s="100">
        <f t="shared" si="14"/>
        <v>0</v>
      </c>
      <c r="E65" s="6"/>
      <c r="F65" s="6"/>
      <c r="G65" s="6"/>
      <c r="H65" s="6"/>
      <c r="I65" s="6"/>
      <c r="J65" s="6"/>
      <c r="K65" s="6"/>
      <c r="O65" s="101" t="e">
        <f t="shared" si="11"/>
        <v>#DIV/0!</v>
      </c>
      <c r="P65" s="102"/>
      <c r="Q65" s="102"/>
    </row>
    <row r="66" spans="2:56" x14ac:dyDescent="0.3">
      <c r="B66" s="98">
        <f t="shared" si="12"/>
        <v>0</v>
      </c>
      <c r="C66" s="99">
        <f t="shared" si="13"/>
        <v>0</v>
      </c>
      <c r="D66" s="100">
        <f t="shared" si="14"/>
        <v>0</v>
      </c>
      <c r="E66" s="6"/>
      <c r="F66" s="6"/>
      <c r="G66" s="6"/>
      <c r="H66" s="6"/>
      <c r="I66" s="6"/>
      <c r="J66" s="6"/>
      <c r="K66" s="6"/>
      <c r="O66" s="101" t="e">
        <f t="shared" si="11"/>
        <v>#DIV/0!</v>
      </c>
      <c r="P66" s="102"/>
      <c r="Q66" s="102"/>
      <c r="AM66" s="1"/>
      <c r="AN66" s="2" t="s">
        <v>0</v>
      </c>
      <c r="AO66" s="2"/>
      <c r="AP66" s="3"/>
      <c r="AQ66" s="3"/>
      <c r="AR66" s="3"/>
      <c r="AS66" s="3"/>
      <c r="AT66" s="3"/>
      <c r="AU66" s="3"/>
      <c r="AV66" s="3">
        <v>8</v>
      </c>
      <c r="AW66" s="3" t="s">
        <v>1</v>
      </c>
      <c r="AX66" s="3"/>
      <c r="AY66" s="3"/>
      <c r="AZ66" s="3"/>
      <c r="BA66" s="3"/>
      <c r="BB66" s="3"/>
      <c r="BC66" s="3"/>
      <c r="BD66" s="4"/>
    </row>
    <row r="67" spans="2:56" x14ac:dyDescent="0.3">
      <c r="B67" s="98">
        <f t="shared" si="12"/>
        <v>0</v>
      </c>
      <c r="C67" s="99">
        <f t="shared" si="13"/>
        <v>0</v>
      </c>
      <c r="D67" s="100">
        <f t="shared" si="14"/>
        <v>0</v>
      </c>
      <c r="E67" s="6"/>
      <c r="F67" s="6"/>
      <c r="G67" s="6"/>
      <c r="H67" s="6"/>
      <c r="I67" s="6"/>
      <c r="J67" s="6"/>
      <c r="K67" s="6"/>
      <c r="O67" s="101" t="e">
        <f t="shared" si="11"/>
        <v>#DIV/0!</v>
      </c>
      <c r="P67" s="102"/>
      <c r="Q67" s="102"/>
      <c r="AM67" s="5">
        <v>1</v>
      </c>
      <c r="AN67" s="6" t="s">
        <v>2</v>
      </c>
      <c r="AO67" s="6"/>
      <c r="AP67" s="6"/>
      <c r="AQ67" s="6"/>
      <c r="AR67" s="6"/>
      <c r="AS67" s="6"/>
      <c r="AT67" s="6"/>
      <c r="AU67" s="6"/>
      <c r="AV67" s="6">
        <v>9</v>
      </c>
      <c r="AW67" s="6" t="s">
        <v>3</v>
      </c>
      <c r="AX67" s="6"/>
      <c r="AY67" s="6"/>
      <c r="AZ67" s="6"/>
      <c r="BA67" s="6"/>
      <c r="BB67" s="6"/>
      <c r="BC67" s="6"/>
      <c r="BD67" s="7"/>
    </row>
    <row r="68" spans="2:56" x14ac:dyDescent="0.3">
      <c r="B68" s="98">
        <f t="shared" si="12"/>
        <v>0</v>
      </c>
      <c r="C68" s="99">
        <f t="shared" si="13"/>
        <v>0</v>
      </c>
      <c r="D68" s="100">
        <f t="shared" si="14"/>
        <v>0</v>
      </c>
      <c r="E68" s="6"/>
      <c r="F68" s="6"/>
      <c r="G68" s="6"/>
      <c r="H68" s="6"/>
      <c r="I68" s="6"/>
      <c r="J68" s="6"/>
      <c r="K68" s="6"/>
      <c r="O68" s="101" t="e">
        <f t="shared" si="11"/>
        <v>#DIV/0!</v>
      </c>
      <c r="P68" s="102"/>
      <c r="Q68" s="102"/>
      <c r="AM68" s="5">
        <v>2</v>
      </c>
      <c r="AN68" s="6" t="s">
        <v>4</v>
      </c>
      <c r="AO68" s="6"/>
      <c r="AP68" s="6"/>
      <c r="AQ68" s="6"/>
      <c r="AR68" s="6"/>
      <c r="AS68" s="6"/>
      <c r="AT68" s="6"/>
      <c r="AU68" s="6"/>
      <c r="AV68" s="6">
        <v>10</v>
      </c>
      <c r="AW68" s="6" t="s">
        <v>5</v>
      </c>
      <c r="AX68" s="6"/>
      <c r="AY68" s="6"/>
      <c r="AZ68" s="6"/>
      <c r="BA68" s="6"/>
      <c r="BB68" s="6"/>
      <c r="BC68" s="6"/>
      <c r="BD68" s="7"/>
    </row>
    <row r="69" spans="2:56" x14ac:dyDescent="0.3">
      <c r="B69" s="98">
        <f t="shared" si="12"/>
        <v>0</v>
      </c>
      <c r="C69" s="99">
        <f t="shared" si="13"/>
        <v>0</v>
      </c>
      <c r="D69" s="100">
        <f t="shared" si="14"/>
        <v>0</v>
      </c>
      <c r="E69" s="6"/>
      <c r="F69" s="6"/>
      <c r="G69" s="6"/>
      <c r="H69" s="6"/>
      <c r="I69" s="6"/>
      <c r="J69" s="6"/>
      <c r="K69" s="6"/>
      <c r="O69" s="101" t="e">
        <f t="shared" si="11"/>
        <v>#DIV/0!</v>
      </c>
      <c r="P69" s="102"/>
      <c r="Q69" s="102"/>
      <c r="AM69" s="5">
        <v>3</v>
      </c>
      <c r="AN69" s="6" t="s">
        <v>6</v>
      </c>
      <c r="AO69" s="6"/>
      <c r="AP69" s="6"/>
      <c r="AQ69" s="6"/>
      <c r="AR69" s="6"/>
      <c r="AS69" s="6"/>
      <c r="AT69" s="6"/>
      <c r="AU69" s="6"/>
      <c r="AV69" s="6">
        <v>11</v>
      </c>
      <c r="AW69" s="6" t="s">
        <v>7</v>
      </c>
      <c r="AX69" s="6"/>
      <c r="AY69" s="6"/>
      <c r="AZ69" s="6"/>
      <c r="BA69" s="6"/>
      <c r="BB69" s="6"/>
      <c r="BC69" s="6"/>
      <c r="BD69" s="7"/>
    </row>
    <row r="70" spans="2:56" x14ac:dyDescent="0.3">
      <c r="B70" s="98">
        <f t="shared" si="12"/>
        <v>0</v>
      </c>
      <c r="C70" s="99">
        <f t="shared" si="13"/>
        <v>0</v>
      </c>
      <c r="D70" s="100">
        <f t="shared" si="14"/>
        <v>0</v>
      </c>
      <c r="E70" s="6"/>
      <c r="F70" s="6"/>
      <c r="G70" s="6"/>
      <c r="H70" s="6"/>
      <c r="I70" s="6"/>
      <c r="J70" s="6"/>
      <c r="K70" s="6"/>
      <c r="O70" s="101" t="e">
        <f t="shared" si="11"/>
        <v>#DIV/0!</v>
      </c>
      <c r="P70" s="102"/>
      <c r="Q70" s="102"/>
      <c r="AM70" s="5">
        <v>4</v>
      </c>
      <c r="AN70" s="6" t="s">
        <v>8</v>
      </c>
      <c r="AO70" s="6"/>
      <c r="AP70" s="6"/>
      <c r="AQ70" s="6"/>
      <c r="AR70" s="6"/>
      <c r="AS70" s="6"/>
      <c r="AT70" s="6"/>
      <c r="AU70" s="6"/>
      <c r="AV70" s="6">
        <v>12</v>
      </c>
      <c r="AW70" s="6" t="s">
        <v>9</v>
      </c>
      <c r="AX70" s="6"/>
      <c r="AY70" s="6"/>
      <c r="AZ70" s="6"/>
      <c r="BA70" s="6"/>
      <c r="BB70" s="6"/>
      <c r="BC70" s="6"/>
      <c r="BD70" s="7"/>
    </row>
    <row r="71" spans="2:56" x14ac:dyDescent="0.3">
      <c r="B71" s="98">
        <f t="shared" si="12"/>
        <v>0</v>
      </c>
      <c r="C71" s="99">
        <f t="shared" si="13"/>
        <v>0</v>
      </c>
      <c r="D71" s="100">
        <f t="shared" si="14"/>
        <v>0</v>
      </c>
      <c r="E71" s="6"/>
      <c r="F71" s="6"/>
      <c r="G71" s="6"/>
      <c r="H71" s="6"/>
      <c r="I71" s="6"/>
      <c r="J71" s="6"/>
      <c r="K71" s="6"/>
      <c r="O71" s="101" t="e">
        <f t="shared" si="11"/>
        <v>#DIV/0!</v>
      </c>
      <c r="P71" s="102"/>
      <c r="Q71" s="102"/>
      <c r="AM71" s="5">
        <v>5</v>
      </c>
      <c r="AN71" s="6" t="s">
        <v>10</v>
      </c>
      <c r="AO71" s="6"/>
      <c r="AP71" s="6"/>
      <c r="AQ71" s="6"/>
      <c r="AR71" s="6"/>
      <c r="AS71" s="6"/>
      <c r="AT71" s="6"/>
      <c r="AU71" s="6"/>
      <c r="AV71" s="6">
        <v>13</v>
      </c>
      <c r="AW71" s="6" t="s">
        <v>11</v>
      </c>
      <c r="AX71" s="6"/>
      <c r="AY71" s="6"/>
      <c r="AZ71" s="6"/>
      <c r="BA71" s="6"/>
      <c r="BB71" s="6"/>
      <c r="BC71" s="6"/>
      <c r="BD71" s="7"/>
    </row>
    <row r="72" spans="2:56" x14ac:dyDescent="0.3">
      <c r="B72" s="98">
        <f t="shared" si="12"/>
        <v>0</v>
      </c>
      <c r="C72" s="99">
        <f t="shared" si="13"/>
        <v>0</v>
      </c>
      <c r="D72" s="100">
        <f t="shared" si="14"/>
        <v>0</v>
      </c>
      <c r="E72" s="6"/>
      <c r="F72" s="6"/>
      <c r="G72" s="6"/>
      <c r="H72" s="6"/>
      <c r="I72" s="6"/>
      <c r="J72" s="6"/>
      <c r="K72" s="6"/>
      <c r="O72" s="101" t="e">
        <f t="shared" si="11"/>
        <v>#DIV/0!</v>
      </c>
      <c r="P72" s="102"/>
      <c r="Q72" s="102"/>
      <c r="AM72" s="5">
        <v>6</v>
      </c>
      <c r="AN72" s="6" t="s">
        <v>12</v>
      </c>
      <c r="AO72" s="6"/>
      <c r="AP72" s="6"/>
      <c r="AQ72" s="6"/>
      <c r="AR72" s="6"/>
      <c r="AS72" s="6"/>
      <c r="AT72" s="6"/>
      <c r="AU72" s="6"/>
      <c r="AV72" s="6">
        <v>14</v>
      </c>
      <c r="AW72" s="6"/>
      <c r="AX72" s="6"/>
      <c r="AY72" s="6"/>
      <c r="AZ72" s="6"/>
      <c r="BA72" s="6"/>
      <c r="BB72" s="6"/>
      <c r="BC72" s="6"/>
      <c r="BD72" s="7"/>
    </row>
    <row r="73" spans="2:56" ht="15" thickBot="1" x14ac:dyDescent="0.35">
      <c r="B73" s="5">
        <f>AC72*AA72</f>
        <v>0</v>
      </c>
      <c r="C73" s="105">
        <f>AI72*AG72</f>
        <v>0</v>
      </c>
      <c r="D73" s="7"/>
      <c r="E73" s="6"/>
      <c r="F73" s="6"/>
      <c r="G73" s="6"/>
      <c r="H73" s="6"/>
      <c r="I73" s="6"/>
      <c r="J73" s="6"/>
      <c r="K73" s="6"/>
      <c r="O73" s="106"/>
      <c r="P73" s="6"/>
      <c r="Q73" s="6"/>
      <c r="AM73" s="8">
        <v>7</v>
      </c>
      <c r="AN73" s="9" t="s">
        <v>13</v>
      </c>
      <c r="AO73" s="9"/>
      <c r="AP73" s="9"/>
      <c r="AQ73" s="9"/>
      <c r="AR73" s="9"/>
      <c r="AS73" s="9"/>
      <c r="AT73" s="9"/>
      <c r="AU73" s="9"/>
      <c r="AV73" s="9">
        <v>15</v>
      </c>
      <c r="AW73" s="9"/>
      <c r="AX73" s="9"/>
      <c r="AY73" s="9"/>
      <c r="AZ73" s="9"/>
      <c r="BA73" s="9"/>
      <c r="BB73" s="9"/>
      <c r="BC73" s="9"/>
      <c r="BD73" s="10"/>
    </row>
    <row r="74" spans="2:56" x14ac:dyDescent="0.3">
      <c r="B74" s="5">
        <f>AC73*AA73</f>
        <v>0</v>
      </c>
      <c r="C74" s="105">
        <f>AI73*AG73</f>
        <v>0</v>
      </c>
      <c r="D74" s="7">
        <f>W73*U73</f>
        <v>0</v>
      </c>
      <c r="E74" s="6"/>
      <c r="F74" s="6"/>
      <c r="G74" s="6"/>
      <c r="H74" s="6"/>
      <c r="I74" s="6"/>
      <c r="J74" s="6"/>
      <c r="K74" s="6"/>
      <c r="O74" s="106"/>
      <c r="P74" s="6"/>
      <c r="Q74" s="6"/>
    </row>
    <row r="75" spans="2:56" x14ac:dyDescent="0.3">
      <c r="B75" s="5">
        <f>AC74*AA74</f>
        <v>0</v>
      </c>
      <c r="C75" s="105">
        <f>AI74*AG74</f>
        <v>0</v>
      </c>
      <c r="D75" s="7">
        <f>W74*U74</f>
        <v>0</v>
      </c>
      <c r="E75" s="6"/>
      <c r="F75" s="6"/>
      <c r="G75" s="6"/>
      <c r="H75" s="6"/>
      <c r="I75" s="6"/>
      <c r="J75" s="6"/>
      <c r="K75" s="6"/>
      <c r="O75" s="108" t="e">
        <f>SUM(O63:O72)</f>
        <v>#DIV/0!</v>
      </c>
      <c r="P75" s="109"/>
      <c r="Q75" s="109"/>
    </row>
    <row r="76" spans="2:56" x14ac:dyDescent="0.3">
      <c r="B76" s="5">
        <f>AC75*AA75</f>
        <v>0</v>
      </c>
      <c r="C76" s="105">
        <f>AI75*AG75</f>
        <v>0</v>
      </c>
      <c r="D76" s="7"/>
      <c r="E76" s="6"/>
      <c r="F76" s="6"/>
      <c r="G76" s="6"/>
      <c r="H76" s="6"/>
      <c r="I76" s="6"/>
      <c r="J76" s="6"/>
      <c r="K76" s="6"/>
    </row>
    <row r="77" spans="2:56" ht="15" thickBot="1" x14ac:dyDescent="0.35">
      <c r="B77" s="8">
        <f>AC93*AA93</f>
        <v>0</v>
      </c>
      <c r="C77" s="112">
        <f>AI93*AG93</f>
        <v>0</v>
      </c>
      <c r="D77" s="10">
        <f>W93*U93</f>
        <v>0</v>
      </c>
      <c r="E77" s="6"/>
      <c r="F77" s="6"/>
      <c r="G77" s="6"/>
      <c r="H77" s="6"/>
      <c r="I77" s="6"/>
      <c r="J77" s="6"/>
      <c r="K77" s="6"/>
      <c r="AE77" t="s">
        <v>14</v>
      </c>
      <c r="AK77" s="11"/>
    </row>
    <row r="80" spans="2:56" x14ac:dyDescent="0.3">
      <c r="AE80" s="12" t="s">
        <v>15</v>
      </c>
      <c r="AJ80">
        <v>1</v>
      </c>
      <c r="AL80" s="11" t="s">
        <v>16</v>
      </c>
      <c r="AM80" s="11"/>
      <c r="AN80" s="11"/>
      <c r="AO80" s="11" t="s">
        <v>17</v>
      </c>
      <c r="AP80" s="11"/>
      <c r="AQ80" s="11" t="s">
        <v>18</v>
      </c>
      <c r="AR80" s="11"/>
      <c r="AS80" s="6"/>
      <c r="AT80" s="13" t="s">
        <v>19</v>
      </c>
      <c r="AV80" s="11">
        <v>2.52</v>
      </c>
      <c r="AX80" s="14" t="s">
        <v>20</v>
      </c>
      <c r="AZ80" s="14"/>
    </row>
    <row r="81" spans="19:81" ht="15" thickBot="1" x14ac:dyDescent="0.35"/>
    <row r="82" spans="19:81" ht="15.6" customHeight="1" thickTop="1" thickBot="1" x14ac:dyDescent="0.35">
      <c r="S82" s="1" t="s">
        <v>21</v>
      </c>
      <c r="T82" s="3"/>
      <c r="U82" s="3"/>
      <c r="V82" s="3"/>
      <c r="W82" s="3"/>
      <c r="X82" s="3"/>
      <c r="Y82" s="3"/>
      <c r="Z82" s="3"/>
      <c r="AA82" s="3"/>
      <c r="AB82" s="4"/>
      <c r="AE82" s="15" t="s">
        <v>22</v>
      </c>
      <c r="AF82" s="16" t="s">
        <v>23</v>
      </c>
      <c r="AG82" s="17"/>
      <c r="AH82" s="17"/>
      <c r="AI82" s="18"/>
      <c r="AJ82" s="19" t="s">
        <v>24</v>
      </c>
      <c r="AK82" s="17"/>
      <c r="AL82" s="17"/>
      <c r="AM82" s="17"/>
      <c r="AN82" s="17"/>
      <c r="AO82" s="18"/>
      <c r="AP82" s="20" t="s">
        <v>25</v>
      </c>
      <c r="AQ82" s="21"/>
      <c r="AR82" s="21"/>
      <c r="AS82" s="21"/>
      <c r="AT82" s="21"/>
      <c r="AU82" s="22"/>
      <c r="AV82" s="23" t="s">
        <v>26</v>
      </c>
      <c r="AW82" s="24"/>
      <c r="AX82" s="24"/>
      <c r="AY82" s="24"/>
      <c r="AZ82" s="24"/>
      <c r="BA82" s="25"/>
      <c r="BB82" s="19" t="s">
        <v>27</v>
      </c>
      <c r="BC82" s="17"/>
      <c r="BD82" s="17"/>
      <c r="BE82" s="18"/>
      <c r="BF82" s="19" t="s">
        <v>28</v>
      </c>
      <c r="BG82" s="17"/>
      <c r="BH82" s="17"/>
      <c r="BI82" s="18"/>
      <c r="BJ82" s="19" t="s">
        <v>29</v>
      </c>
      <c r="BK82" s="17"/>
      <c r="BL82" s="17"/>
      <c r="BM82" s="18"/>
      <c r="BN82" s="19" t="s">
        <v>30</v>
      </c>
      <c r="BO82" s="17"/>
      <c r="BP82" s="17"/>
      <c r="BQ82" s="18"/>
      <c r="BR82" s="19" t="s">
        <v>31</v>
      </c>
      <c r="BS82" s="17"/>
      <c r="BT82" s="17"/>
      <c r="BU82" s="18"/>
      <c r="BV82" s="19" t="s">
        <v>32</v>
      </c>
      <c r="BW82" s="17"/>
      <c r="BX82" s="17"/>
      <c r="BY82" s="18"/>
      <c r="BZ82" s="19" t="s">
        <v>33</v>
      </c>
      <c r="CA82" s="17"/>
      <c r="CB82" s="17"/>
      <c r="CC82" s="18"/>
    </row>
    <row r="83" spans="19:81" ht="21" thickBot="1" x14ac:dyDescent="0.35">
      <c r="S83" s="8" t="str">
        <f>AP82</f>
        <v>Ель из подроста</v>
      </c>
      <c r="T83" s="9" t="str">
        <f>AV82</f>
        <v>ЕЛЬ лесные культуры</v>
      </c>
      <c r="U83" s="9" t="str">
        <f>AJ82</f>
        <v>Сосна</v>
      </c>
      <c r="V83" s="9" t="str">
        <f>BB82</f>
        <v>Берёза</v>
      </c>
      <c r="W83" s="9" t="str">
        <f>BF82</f>
        <v>Осина</v>
      </c>
      <c r="X83" s="9" t="str">
        <f>BJ82</f>
        <v>Ольха серая</v>
      </c>
      <c r="Y83" s="9" t="str">
        <f>BN82</f>
        <v>Ива</v>
      </c>
      <c r="Z83" s="9" t="str">
        <f>BR82</f>
        <v>Чёрёмуха</v>
      </c>
      <c r="AA83" s="9" t="str">
        <f>BV82</f>
        <v>Дуб</v>
      </c>
      <c r="AB83" s="10" t="str">
        <f>BZ82</f>
        <v>Рябина</v>
      </c>
      <c r="AC83" t="s">
        <v>34</v>
      </c>
      <c r="AE83" s="26" t="s">
        <v>35</v>
      </c>
      <c r="AF83" s="27" t="s">
        <v>36</v>
      </c>
      <c r="AG83" s="28" t="s">
        <v>37</v>
      </c>
      <c r="AH83" s="28" t="s">
        <v>38</v>
      </c>
      <c r="AI83" s="29" t="s">
        <v>39</v>
      </c>
      <c r="AJ83" s="30" t="s">
        <v>40</v>
      </c>
      <c r="AK83" s="31" t="s">
        <v>41</v>
      </c>
      <c r="AL83" s="31" t="s">
        <v>42</v>
      </c>
      <c r="AM83" s="31" t="s">
        <v>43</v>
      </c>
      <c r="AN83" s="32" t="s">
        <v>44</v>
      </c>
      <c r="AO83" s="33" t="s">
        <v>45</v>
      </c>
      <c r="AP83" s="34" t="s">
        <v>40</v>
      </c>
      <c r="AQ83" s="31" t="s">
        <v>41</v>
      </c>
      <c r="AR83" s="31" t="s">
        <v>42</v>
      </c>
      <c r="AS83" s="31" t="s">
        <v>43</v>
      </c>
      <c r="AT83" s="32" t="s">
        <v>44</v>
      </c>
      <c r="AU83" s="33" t="s">
        <v>45</v>
      </c>
      <c r="AV83" s="35" t="s">
        <v>40</v>
      </c>
      <c r="AW83" s="36" t="s">
        <v>41</v>
      </c>
      <c r="AX83" s="36" t="s">
        <v>42</v>
      </c>
      <c r="AY83" s="36" t="s">
        <v>43</v>
      </c>
      <c r="AZ83" s="37" t="s">
        <v>44</v>
      </c>
      <c r="BA83" s="38" t="s">
        <v>45</v>
      </c>
      <c r="BB83" s="39" t="s">
        <v>46</v>
      </c>
      <c r="BC83" s="36" t="s">
        <v>43</v>
      </c>
      <c r="BD83" s="37" t="s">
        <v>44</v>
      </c>
      <c r="BE83" s="40" t="s">
        <v>45</v>
      </c>
      <c r="BF83" s="27" t="s">
        <v>46</v>
      </c>
      <c r="BG83" s="31" t="s">
        <v>43</v>
      </c>
      <c r="BH83" s="32" t="s">
        <v>44</v>
      </c>
      <c r="BI83" s="33" t="s">
        <v>45</v>
      </c>
      <c r="BJ83" s="27" t="s">
        <v>46</v>
      </c>
      <c r="BK83" s="31" t="s">
        <v>43</v>
      </c>
      <c r="BL83" s="32" t="s">
        <v>44</v>
      </c>
      <c r="BM83" s="33" t="s">
        <v>45</v>
      </c>
      <c r="BN83" s="27" t="s">
        <v>46</v>
      </c>
      <c r="BO83" s="31" t="s">
        <v>43</v>
      </c>
      <c r="BP83" s="32" t="s">
        <v>44</v>
      </c>
      <c r="BQ83" s="33" t="s">
        <v>45</v>
      </c>
      <c r="BR83" s="27" t="s">
        <v>46</v>
      </c>
      <c r="BS83" s="31" t="s">
        <v>43</v>
      </c>
      <c r="BT83" s="32" t="s">
        <v>44</v>
      </c>
      <c r="BU83" s="33" t="s">
        <v>45</v>
      </c>
      <c r="BV83" s="27" t="s">
        <v>46</v>
      </c>
      <c r="BW83" s="31" t="s">
        <v>43</v>
      </c>
      <c r="BX83" s="32" t="s">
        <v>44</v>
      </c>
      <c r="BY83" s="33" t="s">
        <v>45</v>
      </c>
      <c r="BZ83" s="27" t="s">
        <v>46</v>
      </c>
      <c r="CA83" s="31" t="s">
        <v>43</v>
      </c>
      <c r="CB83" s="32" t="s">
        <v>44</v>
      </c>
      <c r="CC83" s="33" t="s">
        <v>45</v>
      </c>
    </row>
    <row r="84" spans="19:81" x14ac:dyDescent="0.3">
      <c r="S84" s="5">
        <f>AT84*AR84</f>
        <v>0</v>
      </c>
      <c r="T84" s="6">
        <f>AZ84*AX84</f>
        <v>0</v>
      </c>
      <c r="U84" s="6">
        <f>AN84*AL84</f>
        <v>0</v>
      </c>
      <c r="V84" s="6">
        <f>BB84*BD84</f>
        <v>0</v>
      </c>
      <c r="W84" s="6">
        <f>BF84*BH84</f>
        <v>0</v>
      </c>
      <c r="X84" s="6">
        <f>BJ84*BL84</f>
        <v>0</v>
      </c>
      <c r="Y84" s="6">
        <f>BN84*BP84</f>
        <v>0</v>
      </c>
      <c r="Z84" s="6">
        <f>BR84*BT84</f>
        <v>0</v>
      </c>
      <c r="AA84" s="6">
        <f>BV84*BX84</f>
        <v>0</v>
      </c>
      <c r="AB84" s="7">
        <f>BZ84*CB84</f>
        <v>0</v>
      </c>
      <c r="AC84" s="41">
        <f>SUM(AJ84:AL84,AP84:AR84,AV84:AX84,BB84,BF84,BJ84,BN84,BR84,BV84,BZ84)/($AE$16*$AE$16*3.15/10000*1000)</f>
        <v>7.9984962826988543E-6</v>
      </c>
      <c r="AE84" s="42">
        <v>1</v>
      </c>
      <c r="AF84" s="43"/>
      <c r="AG84" s="44"/>
      <c r="AH84" s="44"/>
      <c r="AI84" s="45"/>
      <c r="AJ84" s="46">
        <v>9.9999999999999995E-7</v>
      </c>
      <c r="AK84" s="46">
        <v>9.9999999999999995E-7</v>
      </c>
      <c r="AL84" s="46">
        <v>9.9999999999999995E-7</v>
      </c>
      <c r="AM84" s="46"/>
      <c r="AN84" s="46"/>
      <c r="AO84" s="47"/>
      <c r="AP84" s="46">
        <v>9.9999999999999995E-7</v>
      </c>
      <c r="AQ84" s="46">
        <v>9.9999999999999995E-7</v>
      </c>
      <c r="AR84" s="46">
        <v>9.9999999999999995E-7</v>
      </c>
      <c r="AS84" s="48"/>
      <c r="AT84" s="49"/>
      <c r="AU84" s="50"/>
      <c r="AV84" s="46">
        <v>9.9999999999999995E-7</v>
      </c>
      <c r="AW84" s="46">
        <v>9.9999999999999995E-7</v>
      </c>
      <c r="AX84" s="46">
        <v>9.9999999999999995E-7</v>
      </c>
      <c r="AY84" s="48"/>
      <c r="AZ84" s="49"/>
      <c r="BA84" s="51"/>
      <c r="BB84" s="46">
        <v>9.9999999999999995E-7</v>
      </c>
      <c r="BC84" s="49"/>
      <c r="BD84" s="49"/>
      <c r="BE84" s="51"/>
      <c r="BF84" s="46">
        <v>9.9999999999999995E-7</v>
      </c>
      <c r="BG84" s="43"/>
      <c r="BH84" s="46"/>
      <c r="BI84" s="47"/>
      <c r="BJ84" s="46">
        <v>9.9999999999999995E-7</v>
      </c>
      <c r="BK84" s="43"/>
      <c r="BL84" s="46"/>
      <c r="BM84" s="47"/>
      <c r="BN84" s="46">
        <v>9.9999999999999995E-7</v>
      </c>
      <c r="BO84" s="43"/>
      <c r="BP84" s="46"/>
      <c r="BQ84" s="47"/>
      <c r="BR84" s="46">
        <v>9.9999999999999995E-7</v>
      </c>
      <c r="BS84" s="43"/>
      <c r="BT84" s="46"/>
      <c r="BU84" s="47"/>
      <c r="BV84" s="46">
        <v>9.9999999999999995E-7</v>
      </c>
      <c r="BW84" s="43"/>
      <c r="BX84" s="46"/>
      <c r="BY84" s="47"/>
      <c r="BZ84" s="46">
        <v>9.9999999999999995E-7</v>
      </c>
      <c r="CA84" s="43"/>
      <c r="CB84" s="46"/>
      <c r="CC84" s="47"/>
    </row>
    <row r="85" spans="19:81" x14ac:dyDescent="0.3">
      <c r="S85" s="5">
        <f t="shared" ref="S85:S115" si="15">AT85*AR85</f>
        <v>0</v>
      </c>
      <c r="T85" s="6">
        <f t="shared" ref="T85:T115" si="16">AZ85*AX85</f>
        <v>0</v>
      </c>
      <c r="U85" s="6">
        <f t="shared" ref="U85:U115" si="17">AN85*AL85</f>
        <v>0</v>
      </c>
      <c r="V85" s="6">
        <f t="shared" ref="V85:V115" si="18">BB85*BD85</f>
        <v>0</v>
      </c>
      <c r="W85" s="6">
        <f t="shared" ref="W85:W115" si="19">BF85*BH85</f>
        <v>0</v>
      </c>
      <c r="X85" s="6">
        <f t="shared" ref="X85:X115" si="20">BJ85*BL85</f>
        <v>0</v>
      </c>
      <c r="Y85" s="6">
        <f t="shared" ref="Y85:Y115" si="21">BN85*BP85</f>
        <v>0</v>
      </c>
      <c r="Z85" s="6">
        <f t="shared" ref="Z85:Z115" si="22">BR85*BT85</f>
        <v>0</v>
      </c>
      <c r="AA85" s="6">
        <f t="shared" ref="AA85:AA115" si="23">BV85*BX85</f>
        <v>0</v>
      </c>
      <c r="AB85" s="7">
        <f t="shared" ref="AB85:AB115" si="24">BZ85*CB85</f>
        <v>0</v>
      </c>
      <c r="AC85" s="41">
        <f t="shared" ref="AC85:AC115" si="25">SUM(AJ85:AL85,AP85:AR85,AV85:AX85,BB85,BF85,BJ85,BN85,BR85,BV85,BZ85)/($AE$16*$AE$16*3.15/10000*1000)</f>
        <v>0</v>
      </c>
      <c r="AE85" s="52">
        <v>2</v>
      </c>
      <c r="AF85" s="53"/>
      <c r="AG85" s="54"/>
      <c r="AH85" s="54"/>
      <c r="AI85" s="55"/>
      <c r="AJ85" s="56"/>
      <c r="AK85" s="57"/>
      <c r="AL85" s="57"/>
      <c r="AM85" s="57"/>
      <c r="AN85" s="57"/>
      <c r="AO85" s="58"/>
      <c r="AP85" s="59"/>
      <c r="AQ85" s="60"/>
      <c r="AR85" s="60"/>
      <c r="AS85" s="60"/>
      <c r="AT85" s="57"/>
      <c r="AU85" s="55"/>
      <c r="AV85" s="61"/>
      <c r="AW85" s="60"/>
      <c r="AX85" s="60"/>
      <c r="AY85" s="60"/>
      <c r="AZ85" s="57"/>
      <c r="BA85" s="58"/>
      <c r="BB85" s="53"/>
      <c r="BC85" s="57"/>
      <c r="BD85" s="57"/>
      <c r="BE85" s="58"/>
      <c r="BF85" s="53"/>
      <c r="BG85" s="53"/>
      <c r="BH85" s="57"/>
      <c r="BI85" s="58"/>
      <c r="BJ85" s="56"/>
      <c r="BK85" s="53"/>
      <c r="BL85" s="57"/>
      <c r="BM85" s="58"/>
      <c r="BN85" s="56"/>
      <c r="BO85" s="53"/>
      <c r="BP85" s="57"/>
      <c r="BQ85" s="58"/>
      <c r="BR85" s="56"/>
      <c r="BS85" s="53"/>
      <c r="BT85" s="57"/>
      <c r="BU85" s="58"/>
      <c r="BV85" s="62"/>
      <c r="BW85" s="53"/>
      <c r="BX85" s="57"/>
      <c r="BY85" s="58"/>
      <c r="BZ85" s="62"/>
      <c r="CA85" s="53"/>
      <c r="CB85" s="57"/>
      <c r="CC85" s="58"/>
    </row>
    <row r="86" spans="19:81" x14ac:dyDescent="0.3">
      <c r="S86" s="5">
        <f t="shared" si="15"/>
        <v>0</v>
      </c>
      <c r="T86" s="6">
        <f t="shared" si="16"/>
        <v>0</v>
      </c>
      <c r="U86" s="6">
        <f t="shared" si="17"/>
        <v>0</v>
      </c>
      <c r="V86" s="6">
        <f t="shared" si="18"/>
        <v>0</v>
      </c>
      <c r="W86" s="6">
        <f t="shared" si="19"/>
        <v>0</v>
      </c>
      <c r="X86" s="6">
        <f t="shared" si="20"/>
        <v>0</v>
      </c>
      <c r="Y86" s="6">
        <f t="shared" si="21"/>
        <v>0</v>
      </c>
      <c r="Z86" s="6">
        <f t="shared" si="22"/>
        <v>0</v>
      </c>
      <c r="AA86" s="6">
        <f t="shared" si="23"/>
        <v>0</v>
      </c>
      <c r="AB86" s="7">
        <f t="shared" si="24"/>
        <v>0</v>
      </c>
      <c r="AC86" s="41">
        <f t="shared" si="25"/>
        <v>0</v>
      </c>
      <c r="AE86" s="52">
        <v>3</v>
      </c>
      <c r="AF86" s="53"/>
      <c r="AG86" s="54"/>
      <c r="AH86" s="54"/>
      <c r="AI86" s="55"/>
      <c r="AJ86" s="56"/>
      <c r="AK86" s="57"/>
      <c r="AL86" s="57"/>
      <c r="AM86" s="57"/>
      <c r="AN86" s="57"/>
      <c r="AO86" s="58"/>
      <c r="AP86" s="59"/>
      <c r="AQ86" s="60"/>
      <c r="AR86" s="60"/>
      <c r="AS86" s="60"/>
      <c r="AT86" s="57"/>
      <c r="AU86" s="55"/>
      <c r="AV86" s="61"/>
      <c r="AW86" s="60"/>
      <c r="AX86" s="60"/>
      <c r="AY86" s="60"/>
      <c r="AZ86" s="57"/>
      <c r="BA86" s="58"/>
      <c r="BB86" s="53"/>
      <c r="BC86" s="57"/>
      <c r="BD86" s="57"/>
      <c r="BE86" s="58"/>
      <c r="BF86" s="53"/>
      <c r="BG86" s="53"/>
      <c r="BH86" s="57"/>
      <c r="BI86" s="58"/>
      <c r="BJ86" s="56"/>
      <c r="BK86" s="53"/>
      <c r="BL86" s="57"/>
      <c r="BM86" s="58"/>
      <c r="BN86" s="56"/>
      <c r="BO86" s="53"/>
      <c r="BP86" s="57"/>
      <c r="BQ86" s="58"/>
      <c r="BR86" s="56"/>
      <c r="BS86" s="53"/>
      <c r="BT86" s="57"/>
      <c r="BU86" s="58"/>
      <c r="BV86" s="62"/>
      <c r="BW86" s="53"/>
      <c r="BX86" s="57"/>
      <c r="BY86" s="58"/>
      <c r="BZ86" s="62"/>
      <c r="CA86" s="53"/>
      <c r="CB86" s="57"/>
      <c r="CC86" s="58"/>
    </row>
    <row r="87" spans="19:81" x14ac:dyDescent="0.3">
      <c r="S87" s="5">
        <f t="shared" si="15"/>
        <v>0</v>
      </c>
      <c r="T87" s="6">
        <f t="shared" si="16"/>
        <v>0</v>
      </c>
      <c r="U87" s="6">
        <f t="shared" si="17"/>
        <v>0</v>
      </c>
      <c r="V87" s="6">
        <f t="shared" si="18"/>
        <v>0</v>
      </c>
      <c r="W87" s="6">
        <f t="shared" si="19"/>
        <v>0</v>
      </c>
      <c r="X87" s="6">
        <f t="shared" si="20"/>
        <v>0</v>
      </c>
      <c r="Y87" s="6">
        <f t="shared" si="21"/>
        <v>0</v>
      </c>
      <c r="Z87" s="6">
        <f t="shared" si="22"/>
        <v>0</v>
      </c>
      <c r="AA87" s="6">
        <f t="shared" si="23"/>
        <v>0</v>
      </c>
      <c r="AB87" s="7">
        <f t="shared" si="24"/>
        <v>0</v>
      </c>
      <c r="AC87" s="41">
        <f t="shared" si="25"/>
        <v>0</v>
      </c>
      <c r="AE87" s="52">
        <v>4</v>
      </c>
      <c r="AF87" s="43"/>
      <c r="AG87" s="44"/>
      <c r="AH87" s="44"/>
      <c r="AI87" s="55"/>
      <c r="AJ87" s="56"/>
      <c r="AK87" s="57"/>
      <c r="AL87" s="57"/>
      <c r="AM87" s="57"/>
      <c r="AN87" s="57"/>
      <c r="AO87" s="58"/>
      <c r="AP87" s="59"/>
      <c r="AQ87" s="60"/>
      <c r="AR87" s="60"/>
      <c r="AS87" s="60"/>
      <c r="AT87" s="57"/>
      <c r="AU87" s="55"/>
      <c r="AV87" s="61"/>
      <c r="AW87" s="60"/>
      <c r="AX87" s="60"/>
      <c r="AY87" s="60"/>
      <c r="AZ87" s="57"/>
      <c r="BA87" s="58"/>
      <c r="BB87" s="53"/>
      <c r="BC87" s="57"/>
      <c r="BD87" s="57"/>
      <c r="BE87" s="58"/>
      <c r="BF87" s="53"/>
      <c r="BG87" s="53"/>
      <c r="BH87" s="57"/>
      <c r="BI87" s="58"/>
      <c r="BJ87" s="56"/>
      <c r="BK87" s="53"/>
      <c r="BL87" s="57"/>
      <c r="BM87" s="58"/>
      <c r="BN87" s="56"/>
      <c r="BO87" s="53"/>
      <c r="BP87" s="57"/>
      <c r="BQ87" s="58"/>
      <c r="BR87" s="56"/>
      <c r="BS87" s="53"/>
      <c r="BT87" s="57"/>
      <c r="BU87" s="58"/>
      <c r="BV87" s="62"/>
      <c r="BW87" s="53"/>
      <c r="BX87" s="57"/>
      <c r="BY87" s="58"/>
      <c r="BZ87" s="62"/>
      <c r="CA87" s="53"/>
      <c r="CB87" s="57"/>
      <c r="CC87" s="58"/>
    </row>
    <row r="88" spans="19:81" x14ac:dyDescent="0.3">
      <c r="S88" s="5">
        <f t="shared" si="15"/>
        <v>0</v>
      </c>
      <c r="T88" s="6">
        <f t="shared" si="16"/>
        <v>0</v>
      </c>
      <c r="U88" s="6">
        <f t="shared" si="17"/>
        <v>0</v>
      </c>
      <c r="V88" s="6">
        <f t="shared" si="18"/>
        <v>0</v>
      </c>
      <c r="W88" s="6">
        <f t="shared" si="19"/>
        <v>0</v>
      </c>
      <c r="X88" s="6">
        <f t="shared" si="20"/>
        <v>0</v>
      </c>
      <c r="Y88" s="6">
        <f t="shared" si="21"/>
        <v>0</v>
      </c>
      <c r="Z88" s="6">
        <f t="shared" si="22"/>
        <v>0</v>
      </c>
      <c r="AA88" s="6">
        <f t="shared" si="23"/>
        <v>0</v>
      </c>
      <c r="AB88" s="7">
        <f t="shared" si="24"/>
        <v>0</v>
      </c>
      <c r="AC88" s="41">
        <f t="shared" si="25"/>
        <v>0</v>
      </c>
      <c r="AE88" s="52">
        <v>5</v>
      </c>
      <c r="AF88" s="53"/>
      <c r="AG88" s="54"/>
      <c r="AH88" s="54"/>
      <c r="AI88" s="55"/>
      <c r="AJ88" s="56"/>
      <c r="AK88" s="57"/>
      <c r="AL88" s="57"/>
      <c r="AM88" s="57"/>
      <c r="AN88" s="57"/>
      <c r="AO88" s="58"/>
      <c r="AP88" s="59"/>
      <c r="AQ88" s="60"/>
      <c r="AR88" s="60"/>
      <c r="AS88" s="60"/>
      <c r="AT88" s="57"/>
      <c r="AU88" s="55"/>
      <c r="AV88" s="61"/>
      <c r="AW88" s="60"/>
      <c r="AX88" s="60"/>
      <c r="AY88" s="60"/>
      <c r="AZ88" s="57"/>
      <c r="BA88" s="58"/>
      <c r="BB88" s="53"/>
      <c r="BC88" s="57"/>
      <c r="BD88" s="57"/>
      <c r="BE88" s="58"/>
      <c r="BF88" s="53"/>
      <c r="BG88" s="53"/>
      <c r="BH88" s="57"/>
      <c r="BI88" s="58"/>
      <c r="BJ88" s="56"/>
      <c r="BK88" s="53"/>
      <c r="BL88" s="57"/>
      <c r="BM88" s="58"/>
      <c r="BN88" s="56"/>
      <c r="BO88" s="53"/>
      <c r="BP88" s="57"/>
      <c r="BQ88" s="58"/>
      <c r="BR88" s="56"/>
      <c r="BS88" s="53"/>
      <c r="BT88" s="57"/>
      <c r="BU88" s="58"/>
      <c r="BV88" s="62"/>
      <c r="BW88" s="53"/>
      <c r="BX88" s="57"/>
      <c r="BY88" s="58"/>
      <c r="BZ88" s="56"/>
      <c r="CA88" s="53"/>
      <c r="CB88" s="57"/>
      <c r="CC88" s="58"/>
    </row>
    <row r="89" spans="19:81" x14ac:dyDescent="0.3">
      <c r="S89" s="5">
        <f t="shared" si="15"/>
        <v>0</v>
      </c>
      <c r="T89" s="6">
        <f t="shared" si="16"/>
        <v>0</v>
      </c>
      <c r="U89" s="6">
        <f t="shared" si="17"/>
        <v>0</v>
      </c>
      <c r="V89" s="6">
        <f t="shared" si="18"/>
        <v>0</v>
      </c>
      <c r="W89" s="6">
        <f t="shared" si="19"/>
        <v>0</v>
      </c>
      <c r="X89" s="6">
        <f t="shared" si="20"/>
        <v>0</v>
      </c>
      <c r="Y89" s="6">
        <f t="shared" si="21"/>
        <v>0</v>
      </c>
      <c r="Z89" s="6">
        <f t="shared" si="22"/>
        <v>0</v>
      </c>
      <c r="AA89" s="6">
        <f t="shared" si="23"/>
        <v>0</v>
      </c>
      <c r="AB89" s="7">
        <f t="shared" si="24"/>
        <v>0</v>
      </c>
      <c r="AC89" s="41">
        <f t="shared" si="25"/>
        <v>0</v>
      </c>
      <c r="AE89" s="52">
        <v>6</v>
      </c>
      <c r="AF89" s="53"/>
      <c r="AG89" s="54"/>
      <c r="AH89" s="54"/>
      <c r="AI89" s="55"/>
      <c r="AJ89" s="56"/>
      <c r="AK89" s="57"/>
      <c r="AL89" s="57"/>
      <c r="AM89" s="57"/>
      <c r="AN89" s="57"/>
      <c r="AO89" s="58"/>
      <c r="AP89" s="59"/>
      <c r="AQ89" s="60"/>
      <c r="AR89" s="60"/>
      <c r="AS89" s="60"/>
      <c r="AT89" s="57"/>
      <c r="AU89" s="55"/>
      <c r="AV89" s="61"/>
      <c r="AW89" s="60"/>
      <c r="AX89" s="60"/>
      <c r="AY89" s="60"/>
      <c r="AZ89" s="57"/>
      <c r="BA89" s="58"/>
      <c r="BB89" s="53"/>
      <c r="BC89" s="57"/>
      <c r="BD89" s="57"/>
      <c r="BE89" s="58"/>
      <c r="BF89" s="53"/>
      <c r="BG89" s="53"/>
      <c r="BH89" s="57"/>
      <c r="BI89" s="58"/>
      <c r="BJ89" s="56"/>
      <c r="BK89" s="53"/>
      <c r="BL89" s="57"/>
      <c r="BM89" s="58"/>
      <c r="BN89" s="56"/>
      <c r="BO89" s="53"/>
      <c r="BP89" s="57"/>
      <c r="BQ89" s="58"/>
      <c r="BR89" s="56"/>
      <c r="BS89" s="53"/>
      <c r="BT89" s="57"/>
      <c r="BU89" s="58"/>
      <c r="BV89" s="62"/>
      <c r="BW89" s="53"/>
      <c r="BX89" s="57"/>
      <c r="BY89" s="58"/>
      <c r="BZ89" s="56"/>
      <c r="CA89" s="53"/>
      <c r="CB89" s="57"/>
      <c r="CC89" s="58"/>
    </row>
    <row r="90" spans="19:81" x14ac:dyDescent="0.3">
      <c r="S90" s="5">
        <f t="shared" si="15"/>
        <v>0</v>
      </c>
      <c r="T90" s="6">
        <f t="shared" si="16"/>
        <v>0</v>
      </c>
      <c r="U90" s="6">
        <f t="shared" si="17"/>
        <v>0</v>
      </c>
      <c r="V90" s="6">
        <f t="shared" si="18"/>
        <v>0</v>
      </c>
      <c r="W90" s="6">
        <f t="shared" si="19"/>
        <v>0</v>
      </c>
      <c r="X90" s="6">
        <f t="shared" si="20"/>
        <v>0</v>
      </c>
      <c r="Y90" s="6">
        <f t="shared" si="21"/>
        <v>0</v>
      </c>
      <c r="Z90" s="6">
        <f t="shared" si="22"/>
        <v>0</v>
      </c>
      <c r="AA90" s="6">
        <f t="shared" si="23"/>
        <v>0</v>
      </c>
      <c r="AB90" s="7">
        <f t="shared" si="24"/>
        <v>0</v>
      </c>
      <c r="AC90" s="41">
        <f t="shared" si="25"/>
        <v>0</v>
      </c>
      <c r="AE90" s="52">
        <v>7</v>
      </c>
      <c r="AF90" s="43"/>
      <c r="AG90" s="44"/>
      <c r="AH90" s="44"/>
      <c r="AI90" s="55"/>
      <c r="AJ90" s="56"/>
      <c r="AK90" s="57"/>
      <c r="AL90" s="57"/>
      <c r="AM90" s="57"/>
      <c r="AN90" s="57"/>
      <c r="AO90" s="58"/>
      <c r="AP90" s="59"/>
      <c r="AQ90" s="60"/>
      <c r="AR90" s="60"/>
      <c r="AS90" s="60"/>
      <c r="AT90" s="57"/>
      <c r="AU90" s="55"/>
      <c r="AV90" s="61"/>
      <c r="AW90" s="60"/>
      <c r="AX90" s="60"/>
      <c r="AY90" s="60"/>
      <c r="AZ90" s="57"/>
      <c r="BA90" s="58"/>
      <c r="BB90" s="53"/>
      <c r="BC90" s="57"/>
      <c r="BD90" s="57"/>
      <c r="BE90" s="58"/>
      <c r="BF90" s="53"/>
      <c r="BG90" s="53"/>
      <c r="BH90" s="57"/>
      <c r="BI90" s="58"/>
      <c r="BJ90" s="56"/>
      <c r="BK90" s="53"/>
      <c r="BL90" s="57"/>
      <c r="BM90" s="58"/>
      <c r="BN90" s="56"/>
      <c r="BO90" s="53"/>
      <c r="BP90" s="57"/>
      <c r="BQ90" s="58"/>
      <c r="BR90" s="56"/>
      <c r="BS90" s="53"/>
      <c r="BT90" s="57"/>
      <c r="BU90" s="58"/>
      <c r="BV90" s="62"/>
      <c r="BW90" s="53"/>
      <c r="BX90" s="57"/>
      <c r="BY90" s="58"/>
      <c r="BZ90" s="56"/>
      <c r="CA90" s="53"/>
      <c r="CB90" s="57"/>
      <c r="CC90" s="58"/>
    </row>
    <row r="91" spans="19:81" x14ac:dyDescent="0.3">
      <c r="S91" s="5">
        <f t="shared" si="15"/>
        <v>0</v>
      </c>
      <c r="T91" s="6">
        <f t="shared" si="16"/>
        <v>0</v>
      </c>
      <c r="U91" s="6">
        <f t="shared" si="17"/>
        <v>0</v>
      </c>
      <c r="V91" s="6">
        <f t="shared" si="18"/>
        <v>0</v>
      </c>
      <c r="W91" s="6">
        <f t="shared" si="19"/>
        <v>0</v>
      </c>
      <c r="X91" s="6">
        <f t="shared" si="20"/>
        <v>0</v>
      </c>
      <c r="Y91" s="6">
        <f t="shared" si="21"/>
        <v>0</v>
      </c>
      <c r="Z91" s="6">
        <f t="shared" si="22"/>
        <v>0</v>
      </c>
      <c r="AA91" s="6">
        <f t="shared" si="23"/>
        <v>0</v>
      </c>
      <c r="AB91" s="7">
        <f t="shared" si="24"/>
        <v>0</v>
      </c>
      <c r="AC91" s="41">
        <f t="shared" si="25"/>
        <v>0</v>
      </c>
      <c r="AE91" s="52">
        <v>8</v>
      </c>
      <c r="AF91" s="53"/>
      <c r="AG91" s="54"/>
      <c r="AH91" s="54"/>
      <c r="AI91" s="55"/>
      <c r="AJ91" s="56"/>
      <c r="AK91" s="57"/>
      <c r="AL91" s="57"/>
      <c r="AM91" s="57"/>
      <c r="AN91" s="57"/>
      <c r="AO91" s="58"/>
      <c r="AP91" s="59"/>
      <c r="AQ91" s="60"/>
      <c r="AR91" s="60"/>
      <c r="AS91" s="60"/>
      <c r="AT91" s="57"/>
      <c r="AU91" s="55"/>
      <c r="AV91" s="61"/>
      <c r="AW91" s="60"/>
      <c r="AX91" s="60"/>
      <c r="AY91" s="60"/>
      <c r="AZ91" s="57"/>
      <c r="BA91" s="58"/>
      <c r="BB91" s="53"/>
      <c r="BC91" s="57"/>
      <c r="BD91" s="57"/>
      <c r="BE91" s="58"/>
      <c r="BF91" s="53"/>
      <c r="BG91" s="53"/>
      <c r="BH91" s="57"/>
      <c r="BI91" s="58"/>
      <c r="BJ91" s="56"/>
      <c r="BK91" s="53"/>
      <c r="BL91" s="57"/>
      <c r="BM91" s="58"/>
      <c r="BN91" s="56"/>
      <c r="BO91" s="53"/>
      <c r="BP91" s="57"/>
      <c r="BQ91" s="58"/>
      <c r="BR91" s="56"/>
      <c r="BS91" s="53"/>
      <c r="BT91" s="57"/>
      <c r="BU91" s="58"/>
      <c r="BV91" s="62"/>
      <c r="BW91" s="53"/>
      <c r="BX91" s="57"/>
      <c r="BY91" s="58"/>
      <c r="BZ91" s="56"/>
      <c r="CA91" s="53"/>
      <c r="CB91" s="57"/>
      <c r="CC91" s="58"/>
    </row>
    <row r="92" spans="19:81" x14ac:dyDescent="0.3">
      <c r="S92" s="5">
        <f t="shared" si="15"/>
        <v>0</v>
      </c>
      <c r="T92" s="6">
        <f t="shared" si="16"/>
        <v>0</v>
      </c>
      <c r="U92" s="6">
        <f t="shared" si="17"/>
        <v>0</v>
      </c>
      <c r="V92" s="6">
        <f t="shared" si="18"/>
        <v>0</v>
      </c>
      <c r="W92" s="6">
        <f t="shared" si="19"/>
        <v>0</v>
      </c>
      <c r="X92" s="6">
        <f t="shared" si="20"/>
        <v>0</v>
      </c>
      <c r="Y92" s="6">
        <f t="shared" si="21"/>
        <v>0</v>
      </c>
      <c r="Z92" s="6">
        <f t="shared" si="22"/>
        <v>0</v>
      </c>
      <c r="AA92" s="6">
        <f t="shared" si="23"/>
        <v>0</v>
      </c>
      <c r="AB92" s="7">
        <f t="shared" si="24"/>
        <v>0</v>
      </c>
      <c r="AC92" s="41">
        <f t="shared" si="25"/>
        <v>0</v>
      </c>
      <c r="AE92" s="52">
        <v>9</v>
      </c>
      <c r="AF92" s="53"/>
      <c r="AG92" s="54"/>
      <c r="AH92" s="54"/>
      <c r="AI92" s="55"/>
      <c r="AJ92" s="56"/>
      <c r="AK92" s="57"/>
      <c r="AL92" s="57"/>
      <c r="AM92" s="57"/>
      <c r="AN92" s="57"/>
      <c r="AO92" s="58"/>
      <c r="AP92" s="59"/>
      <c r="AQ92" s="60"/>
      <c r="AR92" s="60"/>
      <c r="AS92" s="60"/>
      <c r="AT92" s="57"/>
      <c r="AU92" s="55"/>
      <c r="AV92" s="61"/>
      <c r="AW92" s="60"/>
      <c r="AX92" s="60"/>
      <c r="AY92" s="60"/>
      <c r="AZ92" s="57"/>
      <c r="BA92" s="58"/>
      <c r="BB92" s="53"/>
      <c r="BC92" s="57"/>
      <c r="BD92" s="57"/>
      <c r="BE92" s="58"/>
      <c r="BF92" s="53"/>
      <c r="BG92" s="53"/>
      <c r="BH92" s="57"/>
      <c r="BI92" s="58"/>
      <c r="BJ92" s="56"/>
      <c r="BK92" s="53"/>
      <c r="BL92" s="57"/>
      <c r="BM92" s="58"/>
      <c r="BN92" s="56"/>
      <c r="BO92" s="53"/>
      <c r="BP92" s="57"/>
      <c r="BQ92" s="58"/>
      <c r="BR92" s="56"/>
      <c r="BS92" s="53"/>
      <c r="BT92" s="57"/>
      <c r="BU92" s="58"/>
      <c r="BV92" s="62"/>
      <c r="BW92" s="53"/>
      <c r="BX92" s="57"/>
      <c r="BY92" s="58"/>
      <c r="BZ92" s="56"/>
      <c r="CA92" s="53"/>
      <c r="CB92" s="57"/>
      <c r="CC92" s="58"/>
    </row>
    <row r="93" spans="19:81" x14ac:dyDescent="0.3">
      <c r="S93" s="5">
        <f t="shared" si="15"/>
        <v>0</v>
      </c>
      <c r="T93" s="6">
        <f t="shared" si="16"/>
        <v>0</v>
      </c>
      <c r="U93" s="6">
        <f t="shared" si="17"/>
        <v>0</v>
      </c>
      <c r="V93" s="6">
        <f t="shared" si="18"/>
        <v>0</v>
      </c>
      <c r="W93" s="6">
        <f t="shared" si="19"/>
        <v>0</v>
      </c>
      <c r="X93" s="6">
        <f t="shared" si="20"/>
        <v>0</v>
      </c>
      <c r="Y93" s="6">
        <f t="shared" si="21"/>
        <v>0</v>
      </c>
      <c r="Z93" s="6">
        <f t="shared" si="22"/>
        <v>0</v>
      </c>
      <c r="AA93" s="6">
        <f t="shared" si="23"/>
        <v>0</v>
      </c>
      <c r="AB93" s="7">
        <f t="shared" si="24"/>
        <v>0</v>
      </c>
      <c r="AC93" s="41">
        <f t="shared" si="25"/>
        <v>0</v>
      </c>
      <c r="AE93" s="52">
        <v>10</v>
      </c>
      <c r="AF93" s="43"/>
      <c r="AG93" s="44"/>
      <c r="AH93" s="44"/>
      <c r="AI93" s="55"/>
      <c r="AJ93" s="56"/>
      <c r="AK93" s="57"/>
      <c r="AL93" s="57"/>
      <c r="AM93" s="57"/>
      <c r="AN93" s="57"/>
      <c r="AO93" s="58"/>
      <c r="AP93" s="59"/>
      <c r="AQ93" s="60"/>
      <c r="AR93" s="60"/>
      <c r="AS93" s="60"/>
      <c r="AT93" s="57"/>
      <c r="AU93" s="55"/>
      <c r="AV93" s="61"/>
      <c r="AW93" s="60"/>
      <c r="AX93" s="60"/>
      <c r="AY93" s="60"/>
      <c r="AZ93" s="57"/>
      <c r="BA93" s="58"/>
      <c r="BB93" s="53"/>
      <c r="BC93" s="57"/>
      <c r="BD93" s="57"/>
      <c r="BE93" s="58"/>
      <c r="BF93" s="53"/>
      <c r="BG93" s="53"/>
      <c r="BH93" s="57"/>
      <c r="BI93" s="58"/>
      <c r="BJ93" s="56"/>
      <c r="BK93" s="53"/>
      <c r="BL93" s="57"/>
      <c r="BM93" s="58"/>
      <c r="BN93" s="56"/>
      <c r="BO93" s="53"/>
      <c r="BP93" s="57"/>
      <c r="BQ93" s="58"/>
      <c r="BR93" s="56"/>
      <c r="BS93" s="53"/>
      <c r="BT93" s="57"/>
      <c r="BU93" s="58"/>
      <c r="BV93" s="62"/>
      <c r="BW93" s="53"/>
      <c r="BX93" s="57"/>
      <c r="BY93" s="58"/>
      <c r="BZ93" s="56"/>
      <c r="CA93" s="53"/>
      <c r="CB93" s="57"/>
      <c r="CC93" s="58"/>
    </row>
    <row r="94" spans="19:81" x14ac:dyDescent="0.3">
      <c r="S94" s="5">
        <f t="shared" si="15"/>
        <v>0</v>
      </c>
      <c r="T94" s="6">
        <f t="shared" si="16"/>
        <v>0</v>
      </c>
      <c r="U94" s="6">
        <f t="shared" si="17"/>
        <v>0</v>
      </c>
      <c r="V94" s="6">
        <f t="shared" si="18"/>
        <v>0</v>
      </c>
      <c r="W94" s="6">
        <f t="shared" si="19"/>
        <v>0</v>
      </c>
      <c r="X94" s="6">
        <f t="shared" si="20"/>
        <v>0</v>
      </c>
      <c r="Y94" s="6">
        <f t="shared" si="21"/>
        <v>0</v>
      </c>
      <c r="Z94" s="6">
        <f t="shared" si="22"/>
        <v>0</v>
      </c>
      <c r="AA94" s="6">
        <f t="shared" si="23"/>
        <v>0</v>
      </c>
      <c r="AB94" s="7">
        <f t="shared" si="24"/>
        <v>0</v>
      </c>
      <c r="AC94" s="41">
        <f t="shared" si="25"/>
        <v>0</v>
      </c>
      <c r="AE94" s="52">
        <v>11</v>
      </c>
      <c r="AF94" s="53"/>
      <c r="AG94" s="54"/>
      <c r="AH94" s="54"/>
      <c r="AI94" s="55"/>
      <c r="AJ94" s="56"/>
      <c r="AK94" s="57"/>
      <c r="AL94" s="57"/>
      <c r="AM94" s="57"/>
      <c r="AN94" s="57"/>
      <c r="AO94" s="58"/>
      <c r="AP94" s="59"/>
      <c r="AQ94" s="60"/>
      <c r="AR94" s="60"/>
      <c r="AS94" s="60"/>
      <c r="AT94" s="57"/>
      <c r="AU94" s="55"/>
      <c r="AV94" s="61"/>
      <c r="AW94" s="60"/>
      <c r="AX94" s="60"/>
      <c r="AY94" s="60"/>
      <c r="AZ94" s="57"/>
      <c r="BA94" s="58"/>
      <c r="BB94" s="53"/>
      <c r="BC94" s="57"/>
      <c r="BD94" s="57"/>
      <c r="BE94" s="58"/>
      <c r="BF94" s="53"/>
      <c r="BG94" s="53"/>
      <c r="BH94" s="57"/>
      <c r="BI94" s="58"/>
      <c r="BJ94" s="56"/>
      <c r="BK94" s="53"/>
      <c r="BL94" s="57"/>
      <c r="BM94" s="58"/>
      <c r="BN94" s="56"/>
      <c r="BO94" s="53"/>
      <c r="BP94" s="57"/>
      <c r="BQ94" s="58"/>
      <c r="BR94" s="56"/>
      <c r="BS94" s="53"/>
      <c r="BT94" s="57"/>
      <c r="BU94" s="58"/>
      <c r="BV94" s="62"/>
      <c r="BW94" s="53"/>
      <c r="BX94" s="57"/>
      <c r="BY94" s="58"/>
      <c r="BZ94" s="56"/>
      <c r="CA94" s="53"/>
      <c r="CB94" s="57"/>
      <c r="CC94" s="58"/>
    </row>
    <row r="95" spans="19:81" x14ac:dyDescent="0.3">
      <c r="S95" s="5">
        <f t="shared" si="15"/>
        <v>0</v>
      </c>
      <c r="T95" s="6">
        <f t="shared" si="16"/>
        <v>0</v>
      </c>
      <c r="U95" s="6">
        <f t="shared" si="17"/>
        <v>0</v>
      </c>
      <c r="V95" s="6">
        <f t="shared" si="18"/>
        <v>0</v>
      </c>
      <c r="W95" s="6">
        <f t="shared" si="19"/>
        <v>0</v>
      </c>
      <c r="X95" s="6">
        <f t="shared" si="20"/>
        <v>0</v>
      </c>
      <c r="Y95" s="6">
        <f t="shared" si="21"/>
        <v>0</v>
      </c>
      <c r="Z95" s="6">
        <f t="shared" si="22"/>
        <v>0</v>
      </c>
      <c r="AA95" s="6">
        <f t="shared" si="23"/>
        <v>0</v>
      </c>
      <c r="AB95" s="7">
        <f t="shared" si="24"/>
        <v>0</v>
      </c>
      <c r="AC95" s="41">
        <f t="shared" si="25"/>
        <v>0</v>
      </c>
      <c r="AE95" s="52">
        <v>12</v>
      </c>
      <c r="AF95" s="53"/>
      <c r="AG95" s="54"/>
      <c r="AH95" s="54"/>
      <c r="AI95" s="55"/>
      <c r="AJ95" s="56"/>
      <c r="AK95" s="57"/>
      <c r="AL95" s="57"/>
      <c r="AM95" s="57"/>
      <c r="AN95" s="57"/>
      <c r="AO95" s="58"/>
      <c r="AP95" s="59"/>
      <c r="AQ95" s="60"/>
      <c r="AR95" s="60"/>
      <c r="AS95" s="60"/>
      <c r="AT95" s="57"/>
      <c r="AU95" s="55"/>
      <c r="AV95" s="61"/>
      <c r="AW95" s="60"/>
      <c r="AX95" s="60"/>
      <c r="AY95" s="60"/>
      <c r="AZ95" s="57"/>
      <c r="BA95" s="58"/>
      <c r="BB95" s="53"/>
      <c r="BC95" s="57"/>
      <c r="BD95" s="57"/>
      <c r="BE95" s="58"/>
      <c r="BF95" s="53"/>
      <c r="BG95" s="53"/>
      <c r="BH95" s="57"/>
      <c r="BI95" s="58"/>
      <c r="BJ95" s="56"/>
      <c r="BK95" s="53"/>
      <c r="BL95" s="57"/>
      <c r="BM95" s="58"/>
      <c r="BN95" s="56"/>
      <c r="BO95" s="53"/>
      <c r="BP95" s="57"/>
      <c r="BQ95" s="58"/>
      <c r="BR95" s="56"/>
      <c r="BS95" s="53"/>
      <c r="BT95" s="57"/>
      <c r="BU95" s="58"/>
      <c r="BV95" s="62"/>
      <c r="BW95" s="53"/>
      <c r="BX95" s="57"/>
      <c r="BY95" s="58"/>
      <c r="BZ95" s="56"/>
      <c r="CA95" s="53"/>
      <c r="CB95" s="57"/>
      <c r="CC95" s="58"/>
    </row>
    <row r="96" spans="19:81" x14ac:dyDescent="0.3">
      <c r="S96" s="5">
        <f t="shared" si="15"/>
        <v>0</v>
      </c>
      <c r="T96" s="6">
        <f t="shared" si="16"/>
        <v>0</v>
      </c>
      <c r="U96" s="6">
        <f t="shared" si="17"/>
        <v>0</v>
      </c>
      <c r="V96" s="6">
        <f t="shared" si="18"/>
        <v>0</v>
      </c>
      <c r="W96" s="6">
        <f t="shared" si="19"/>
        <v>0</v>
      </c>
      <c r="X96" s="6">
        <f t="shared" si="20"/>
        <v>0</v>
      </c>
      <c r="Y96" s="6">
        <f t="shared" si="21"/>
        <v>0</v>
      </c>
      <c r="Z96" s="6">
        <f t="shared" si="22"/>
        <v>0</v>
      </c>
      <c r="AA96" s="6">
        <f t="shared" si="23"/>
        <v>0</v>
      </c>
      <c r="AB96" s="7">
        <f t="shared" si="24"/>
        <v>0</v>
      </c>
      <c r="AC96" s="41">
        <f t="shared" si="25"/>
        <v>0</v>
      </c>
      <c r="AE96" s="52">
        <v>13</v>
      </c>
      <c r="AF96" s="53"/>
      <c r="AG96" s="54"/>
      <c r="AH96" s="54"/>
      <c r="AI96" s="55"/>
      <c r="AJ96" s="56"/>
      <c r="AK96" s="57"/>
      <c r="AL96" s="57"/>
      <c r="AM96" s="57"/>
      <c r="AN96" s="57"/>
      <c r="AO96" s="58"/>
      <c r="AP96" s="59"/>
      <c r="AQ96" s="60"/>
      <c r="AR96" s="60"/>
      <c r="AS96" s="60"/>
      <c r="AT96" s="57"/>
      <c r="AU96" s="55"/>
      <c r="AV96" s="61"/>
      <c r="AW96" s="60"/>
      <c r="AX96" s="60"/>
      <c r="AY96" s="60"/>
      <c r="AZ96" s="57"/>
      <c r="BA96" s="58"/>
      <c r="BB96" s="53"/>
      <c r="BC96" s="57"/>
      <c r="BD96" s="57"/>
      <c r="BE96" s="58"/>
      <c r="BF96" s="53"/>
      <c r="BG96" s="53"/>
      <c r="BH96" s="57"/>
      <c r="BI96" s="58"/>
      <c r="BJ96" s="56"/>
      <c r="BK96" s="53"/>
      <c r="BL96" s="57"/>
      <c r="BM96" s="58"/>
      <c r="BN96" s="56"/>
      <c r="BO96" s="53"/>
      <c r="BP96" s="57"/>
      <c r="BQ96" s="58"/>
      <c r="BR96" s="56"/>
      <c r="BS96" s="53"/>
      <c r="BT96" s="57"/>
      <c r="BU96" s="58"/>
      <c r="BV96" s="62"/>
      <c r="BW96" s="53"/>
      <c r="BX96" s="57"/>
      <c r="BY96" s="58"/>
      <c r="BZ96" s="56"/>
      <c r="CA96" s="53"/>
      <c r="CB96" s="57"/>
      <c r="CC96" s="58"/>
    </row>
    <row r="97" spans="19:81" x14ac:dyDescent="0.3">
      <c r="S97" s="5">
        <f t="shared" si="15"/>
        <v>0</v>
      </c>
      <c r="T97" s="6">
        <f t="shared" si="16"/>
        <v>0</v>
      </c>
      <c r="U97" s="6">
        <f t="shared" si="17"/>
        <v>0</v>
      </c>
      <c r="V97" s="6">
        <f t="shared" si="18"/>
        <v>0</v>
      </c>
      <c r="W97" s="6">
        <f t="shared" si="19"/>
        <v>0</v>
      </c>
      <c r="X97" s="6">
        <f t="shared" si="20"/>
        <v>0</v>
      </c>
      <c r="Y97" s="6">
        <f t="shared" si="21"/>
        <v>0</v>
      </c>
      <c r="Z97" s="6">
        <f t="shared" si="22"/>
        <v>0</v>
      </c>
      <c r="AA97" s="6">
        <f t="shared" si="23"/>
        <v>0</v>
      </c>
      <c r="AB97" s="7">
        <f t="shared" si="24"/>
        <v>0</v>
      </c>
      <c r="AC97" s="41">
        <f t="shared" si="25"/>
        <v>0</v>
      </c>
      <c r="AE97" s="52">
        <v>14</v>
      </c>
      <c r="AF97" s="53"/>
      <c r="AG97" s="54"/>
      <c r="AH97" s="54"/>
      <c r="AI97" s="55"/>
      <c r="AJ97" s="56"/>
      <c r="AK97" s="57"/>
      <c r="AL97" s="57"/>
      <c r="AM97" s="57"/>
      <c r="AN97" s="57"/>
      <c r="AO97" s="58"/>
      <c r="AP97" s="59"/>
      <c r="AQ97" s="60"/>
      <c r="AR97" s="60"/>
      <c r="AS97" s="60"/>
      <c r="AT97" s="57"/>
      <c r="AU97" s="55"/>
      <c r="AV97" s="61"/>
      <c r="AW97" s="60"/>
      <c r="AX97" s="60"/>
      <c r="AY97" s="60"/>
      <c r="AZ97" s="57"/>
      <c r="BA97" s="58"/>
      <c r="BB97" s="53"/>
      <c r="BC97" s="57"/>
      <c r="BD97" s="57"/>
      <c r="BE97" s="58"/>
      <c r="BF97" s="53"/>
      <c r="BG97" s="53"/>
      <c r="BH97" s="57"/>
      <c r="BI97" s="58"/>
      <c r="BJ97" s="56"/>
      <c r="BK97" s="53"/>
      <c r="BL97" s="57"/>
      <c r="BM97" s="58"/>
      <c r="BN97" s="56"/>
      <c r="BO97" s="53"/>
      <c r="BP97" s="57"/>
      <c r="BQ97" s="58"/>
      <c r="BR97" s="56"/>
      <c r="BS97" s="53"/>
      <c r="BT97" s="57"/>
      <c r="BU97" s="58"/>
      <c r="BV97" s="62"/>
      <c r="BW97" s="53"/>
      <c r="BX97" s="57"/>
      <c r="BY97" s="58"/>
      <c r="BZ97" s="56"/>
      <c r="CA97" s="53"/>
      <c r="CB97" s="57"/>
      <c r="CC97" s="58"/>
    </row>
    <row r="98" spans="19:81" x14ac:dyDescent="0.3">
      <c r="S98" s="5">
        <f t="shared" si="15"/>
        <v>0</v>
      </c>
      <c r="T98" s="6">
        <f t="shared" si="16"/>
        <v>0</v>
      </c>
      <c r="U98" s="6">
        <f t="shared" si="17"/>
        <v>0</v>
      </c>
      <c r="V98" s="6">
        <f t="shared" si="18"/>
        <v>0</v>
      </c>
      <c r="W98" s="6">
        <f t="shared" si="19"/>
        <v>0</v>
      </c>
      <c r="X98" s="6">
        <f t="shared" si="20"/>
        <v>0</v>
      </c>
      <c r="Y98" s="6">
        <f t="shared" si="21"/>
        <v>0</v>
      </c>
      <c r="Z98" s="6">
        <f t="shared" si="22"/>
        <v>0</v>
      </c>
      <c r="AA98" s="6">
        <f t="shared" si="23"/>
        <v>0</v>
      </c>
      <c r="AB98" s="7">
        <f t="shared" si="24"/>
        <v>0</v>
      </c>
      <c r="AC98" s="41">
        <f t="shared" si="25"/>
        <v>0</v>
      </c>
      <c r="AE98" s="52">
        <v>15</v>
      </c>
      <c r="AF98" s="53"/>
      <c r="AG98" s="54"/>
      <c r="AH98" s="54"/>
      <c r="AI98" s="55"/>
      <c r="AJ98" s="56"/>
      <c r="AK98" s="57"/>
      <c r="AL98" s="57"/>
      <c r="AM98" s="57"/>
      <c r="AN98" s="57"/>
      <c r="AO98" s="58"/>
      <c r="AP98" s="59"/>
      <c r="AQ98" s="60"/>
      <c r="AR98" s="60"/>
      <c r="AS98" s="60"/>
      <c r="AT98" s="57"/>
      <c r="AU98" s="55"/>
      <c r="AV98" s="61"/>
      <c r="AW98" s="60"/>
      <c r="AX98" s="60"/>
      <c r="AY98" s="60"/>
      <c r="AZ98" s="57"/>
      <c r="BA98" s="58"/>
      <c r="BB98" s="53"/>
      <c r="BC98" s="57"/>
      <c r="BD98" s="57"/>
      <c r="BE98" s="58"/>
      <c r="BF98" s="53"/>
      <c r="BG98" s="53"/>
      <c r="BH98" s="57"/>
      <c r="BI98" s="58"/>
      <c r="BJ98" s="56"/>
      <c r="BK98" s="53"/>
      <c r="BL98" s="57"/>
      <c r="BM98" s="58"/>
      <c r="BN98" s="56"/>
      <c r="BO98" s="53"/>
      <c r="BP98" s="57"/>
      <c r="BQ98" s="58"/>
      <c r="BR98" s="56"/>
      <c r="BS98" s="53"/>
      <c r="BT98" s="57"/>
      <c r="BU98" s="58"/>
      <c r="BV98" s="62"/>
      <c r="BW98" s="53"/>
      <c r="BX98" s="57"/>
      <c r="BY98" s="58"/>
      <c r="BZ98" s="56"/>
      <c r="CA98" s="53"/>
      <c r="CB98" s="57"/>
      <c r="CC98" s="58"/>
    </row>
    <row r="99" spans="19:81" x14ac:dyDescent="0.3">
      <c r="S99" s="5">
        <f t="shared" si="15"/>
        <v>0</v>
      </c>
      <c r="T99" s="6">
        <f t="shared" si="16"/>
        <v>0</v>
      </c>
      <c r="U99" s="6">
        <f t="shared" si="17"/>
        <v>0</v>
      </c>
      <c r="V99" s="6">
        <f t="shared" si="18"/>
        <v>0</v>
      </c>
      <c r="W99" s="6">
        <f t="shared" si="19"/>
        <v>0</v>
      </c>
      <c r="X99" s="6">
        <f t="shared" si="20"/>
        <v>0</v>
      </c>
      <c r="Y99" s="6">
        <f t="shared" si="21"/>
        <v>0</v>
      </c>
      <c r="Z99" s="6">
        <f t="shared" si="22"/>
        <v>0</v>
      </c>
      <c r="AA99" s="6">
        <f t="shared" si="23"/>
        <v>0</v>
      </c>
      <c r="AB99" s="7">
        <f t="shared" si="24"/>
        <v>0</v>
      </c>
      <c r="AC99" s="41">
        <f t="shared" si="25"/>
        <v>0</v>
      </c>
      <c r="AE99" s="52">
        <v>16</v>
      </c>
      <c r="AF99" s="53"/>
      <c r="AG99" s="54"/>
      <c r="AH99" s="54"/>
      <c r="AI99" s="55"/>
      <c r="AJ99" s="56"/>
      <c r="AK99" s="57"/>
      <c r="AL99" s="57"/>
      <c r="AM99" s="57"/>
      <c r="AN99" s="57"/>
      <c r="AO99" s="58"/>
      <c r="AP99" s="59"/>
      <c r="AQ99" s="60"/>
      <c r="AR99" s="60"/>
      <c r="AS99" s="60"/>
      <c r="AT99" s="57"/>
      <c r="AU99" s="55"/>
      <c r="AV99" s="61"/>
      <c r="AW99" s="60"/>
      <c r="AX99" s="60"/>
      <c r="AY99" s="60"/>
      <c r="AZ99" s="57"/>
      <c r="BA99" s="58"/>
      <c r="BB99" s="53"/>
      <c r="BC99" s="57"/>
      <c r="BD99" s="57"/>
      <c r="BE99" s="58"/>
      <c r="BF99" s="53"/>
      <c r="BG99" s="53"/>
      <c r="BH99" s="57"/>
      <c r="BI99" s="58"/>
      <c r="BJ99" s="56"/>
      <c r="BK99" s="53"/>
      <c r="BL99" s="57"/>
      <c r="BM99" s="58"/>
      <c r="BN99" s="56"/>
      <c r="BO99" s="53"/>
      <c r="BP99" s="57"/>
      <c r="BQ99" s="58"/>
      <c r="BR99" s="56"/>
      <c r="BS99" s="53"/>
      <c r="BT99" s="57"/>
      <c r="BU99" s="58"/>
      <c r="BV99" s="62"/>
      <c r="BW99" s="53"/>
      <c r="BX99" s="57"/>
      <c r="BY99" s="58"/>
      <c r="BZ99" s="56"/>
      <c r="CA99" s="53"/>
      <c r="CB99" s="57"/>
      <c r="CC99" s="58"/>
    </row>
    <row r="100" spans="19:81" x14ac:dyDescent="0.3">
      <c r="S100" s="5">
        <f t="shared" si="15"/>
        <v>0</v>
      </c>
      <c r="T100" s="6">
        <f t="shared" si="16"/>
        <v>0</v>
      </c>
      <c r="U100" s="6">
        <f t="shared" si="17"/>
        <v>0</v>
      </c>
      <c r="V100" s="6">
        <f t="shared" si="18"/>
        <v>0</v>
      </c>
      <c r="W100" s="6">
        <f t="shared" si="19"/>
        <v>0</v>
      </c>
      <c r="X100" s="6">
        <f t="shared" si="20"/>
        <v>0</v>
      </c>
      <c r="Y100" s="6">
        <f t="shared" si="21"/>
        <v>0</v>
      </c>
      <c r="Z100" s="6">
        <f t="shared" si="22"/>
        <v>0</v>
      </c>
      <c r="AA100" s="6">
        <f t="shared" si="23"/>
        <v>0</v>
      </c>
      <c r="AB100" s="7">
        <f t="shared" si="24"/>
        <v>0</v>
      </c>
      <c r="AC100" s="41">
        <f t="shared" si="25"/>
        <v>0</v>
      </c>
      <c r="AE100" s="52">
        <v>17</v>
      </c>
      <c r="AF100" s="53"/>
      <c r="AG100" s="54"/>
      <c r="AH100" s="54"/>
      <c r="AI100" s="55"/>
      <c r="AJ100" s="56"/>
      <c r="AK100" s="57"/>
      <c r="AL100" s="57"/>
      <c r="AM100" s="57"/>
      <c r="AN100" s="57"/>
      <c r="AO100" s="58"/>
      <c r="AP100" s="59"/>
      <c r="AQ100" s="60"/>
      <c r="AR100" s="60"/>
      <c r="AS100" s="60"/>
      <c r="AT100" s="57"/>
      <c r="AU100" s="55"/>
      <c r="AV100" s="61"/>
      <c r="AW100" s="60"/>
      <c r="AX100" s="60"/>
      <c r="AY100" s="60"/>
      <c r="AZ100" s="57"/>
      <c r="BA100" s="58"/>
      <c r="BB100" s="53"/>
      <c r="BC100" s="57"/>
      <c r="BD100" s="57"/>
      <c r="BE100" s="58"/>
      <c r="BF100" s="53"/>
      <c r="BG100" s="53"/>
      <c r="BH100" s="57"/>
      <c r="BI100" s="58"/>
      <c r="BJ100" s="56"/>
      <c r="BK100" s="53"/>
      <c r="BL100" s="57"/>
      <c r="BM100" s="58"/>
      <c r="BN100" s="56"/>
      <c r="BO100" s="53"/>
      <c r="BP100" s="57"/>
      <c r="BQ100" s="58"/>
      <c r="BR100" s="56"/>
      <c r="BS100" s="53"/>
      <c r="BT100" s="57"/>
      <c r="BU100" s="58"/>
      <c r="BV100" s="62"/>
      <c r="BW100" s="53"/>
      <c r="BX100" s="57"/>
      <c r="BY100" s="58"/>
      <c r="BZ100" s="56"/>
      <c r="CA100" s="53"/>
      <c r="CB100" s="57"/>
      <c r="CC100" s="58"/>
    </row>
    <row r="101" spans="19:81" x14ac:dyDescent="0.3">
      <c r="S101" s="5">
        <f t="shared" si="15"/>
        <v>0</v>
      </c>
      <c r="T101" s="6">
        <f t="shared" si="16"/>
        <v>0</v>
      </c>
      <c r="U101" s="6">
        <f t="shared" si="17"/>
        <v>0</v>
      </c>
      <c r="V101" s="6">
        <f t="shared" si="18"/>
        <v>0</v>
      </c>
      <c r="W101" s="6">
        <f t="shared" si="19"/>
        <v>0</v>
      </c>
      <c r="X101" s="6">
        <f t="shared" si="20"/>
        <v>0</v>
      </c>
      <c r="Y101" s="6">
        <f t="shared" si="21"/>
        <v>0</v>
      </c>
      <c r="Z101" s="6">
        <f t="shared" si="22"/>
        <v>0</v>
      </c>
      <c r="AA101" s="6">
        <f t="shared" si="23"/>
        <v>0</v>
      </c>
      <c r="AB101" s="7">
        <f t="shared" si="24"/>
        <v>0</v>
      </c>
      <c r="AC101" s="41">
        <f t="shared" si="25"/>
        <v>0</v>
      </c>
      <c r="AE101" s="52">
        <v>18</v>
      </c>
      <c r="AF101" s="53"/>
      <c r="AG101" s="54"/>
      <c r="AH101" s="54"/>
      <c r="AI101" s="55"/>
      <c r="AJ101" s="56"/>
      <c r="AK101" s="57"/>
      <c r="AL101" s="57"/>
      <c r="AM101" s="57"/>
      <c r="AN101" s="57"/>
      <c r="AO101" s="58"/>
      <c r="AP101" s="59"/>
      <c r="AQ101" s="60"/>
      <c r="AR101" s="60"/>
      <c r="AS101" s="60"/>
      <c r="AT101" s="57"/>
      <c r="AU101" s="55"/>
      <c r="AV101" s="61"/>
      <c r="AW101" s="60"/>
      <c r="AX101" s="60"/>
      <c r="AY101" s="60"/>
      <c r="AZ101" s="57"/>
      <c r="BA101" s="58"/>
      <c r="BB101" s="53"/>
      <c r="BC101" s="57"/>
      <c r="BD101" s="57"/>
      <c r="BE101" s="58"/>
      <c r="BF101" s="53"/>
      <c r="BG101" s="53"/>
      <c r="BH101" s="57"/>
      <c r="BI101" s="58"/>
      <c r="BJ101" s="56"/>
      <c r="BK101" s="53"/>
      <c r="BL101" s="57"/>
      <c r="BM101" s="58"/>
      <c r="BN101" s="56"/>
      <c r="BO101" s="53"/>
      <c r="BP101" s="57"/>
      <c r="BQ101" s="58"/>
      <c r="BR101" s="56"/>
      <c r="BS101" s="53"/>
      <c r="BT101" s="57"/>
      <c r="BU101" s="58"/>
      <c r="BV101" s="62"/>
      <c r="BW101" s="53"/>
      <c r="BX101" s="57"/>
      <c r="BY101" s="58"/>
      <c r="BZ101" s="56"/>
      <c r="CA101" s="53"/>
      <c r="CB101" s="57"/>
      <c r="CC101" s="58"/>
    </row>
    <row r="102" spans="19:81" x14ac:dyDescent="0.3">
      <c r="S102" s="5">
        <f t="shared" si="15"/>
        <v>0</v>
      </c>
      <c r="T102" s="6">
        <f t="shared" si="16"/>
        <v>0</v>
      </c>
      <c r="U102" s="6">
        <f t="shared" si="17"/>
        <v>0</v>
      </c>
      <c r="V102" s="6">
        <f t="shared" si="18"/>
        <v>0</v>
      </c>
      <c r="W102" s="6">
        <f t="shared" si="19"/>
        <v>0</v>
      </c>
      <c r="X102" s="6">
        <f t="shared" si="20"/>
        <v>0</v>
      </c>
      <c r="Y102" s="6">
        <f t="shared" si="21"/>
        <v>0</v>
      </c>
      <c r="Z102" s="6">
        <f t="shared" si="22"/>
        <v>0</v>
      </c>
      <c r="AA102" s="6">
        <f t="shared" si="23"/>
        <v>0</v>
      </c>
      <c r="AB102" s="7">
        <f t="shared" si="24"/>
        <v>0</v>
      </c>
      <c r="AC102" s="41">
        <f t="shared" si="25"/>
        <v>0</v>
      </c>
      <c r="AE102" s="52">
        <v>19</v>
      </c>
      <c r="AF102" s="53"/>
      <c r="AG102" s="54"/>
      <c r="AH102" s="54"/>
      <c r="AI102" s="55"/>
      <c r="AJ102" s="56"/>
      <c r="AK102" s="57"/>
      <c r="AL102" s="57"/>
      <c r="AM102" s="57"/>
      <c r="AN102" s="57"/>
      <c r="AO102" s="58"/>
      <c r="AP102" s="59"/>
      <c r="AQ102" s="60"/>
      <c r="AR102" s="60"/>
      <c r="AS102" s="60"/>
      <c r="AT102" s="57"/>
      <c r="AU102" s="55"/>
      <c r="AV102" s="61"/>
      <c r="AW102" s="60"/>
      <c r="AX102" s="60"/>
      <c r="AY102" s="60"/>
      <c r="AZ102" s="57"/>
      <c r="BA102" s="58"/>
      <c r="BB102" s="53"/>
      <c r="BC102" s="57"/>
      <c r="BD102" s="57"/>
      <c r="BE102" s="58"/>
      <c r="BF102" s="53"/>
      <c r="BG102" s="53"/>
      <c r="BH102" s="57"/>
      <c r="BI102" s="58"/>
      <c r="BJ102" s="56"/>
      <c r="BK102" s="53"/>
      <c r="BL102" s="57"/>
      <c r="BM102" s="58"/>
      <c r="BN102" s="56"/>
      <c r="BO102" s="53"/>
      <c r="BP102" s="57"/>
      <c r="BQ102" s="58"/>
      <c r="BR102" s="56"/>
      <c r="BS102" s="53"/>
      <c r="BT102" s="57"/>
      <c r="BU102" s="58"/>
      <c r="BV102" s="62"/>
      <c r="BW102" s="53"/>
      <c r="BX102" s="57"/>
      <c r="BY102" s="58"/>
      <c r="BZ102" s="56"/>
      <c r="CA102" s="53"/>
      <c r="CB102" s="57"/>
      <c r="CC102" s="58"/>
    </row>
    <row r="103" spans="19:81" x14ac:dyDescent="0.3">
      <c r="S103" s="5">
        <f t="shared" si="15"/>
        <v>0</v>
      </c>
      <c r="T103" s="6">
        <f t="shared" si="16"/>
        <v>0</v>
      </c>
      <c r="U103" s="6">
        <f t="shared" si="17"/>
        <v>0</v>
      </c>
      <c r="V103" s="6">
        <f t="shared" si="18"/>
        <v>0</v>
      </c>
      <c r="W103" s="6">
        <f t="shared" si="19"/>
        <v>0</v>
      </c>
      <c r="X103" s="6">
        <f t="shared" si="20"/>
        <v>0</v>
      </c>
      <c r="Y103" s="6">
        <f t="shared" si="21"/>
        <v>0</v>
      </c>
      <c r="Z103" s="6">
        <f t="shared" si="22"/>
        <v>0</v>
      </c>
      <c r="AA103" s="6">
        <f t="shared" si="23"/>
        <v>0</v>
      </c>
      <c r="AB103" s="7">
        <f t="shared" si="24"/>
        <v>0</v>
      </c>
      <c r="AC103" s="41">
        <f t="shared" si="25"/>
        <v>0</v>
      </c>
      <c r="AE103" s="52">
        <v>20</v>
      </c>
      <c r="AF103" s="53"/>
      <c r="AG103" s="54"/>
      <c r="AH103" s="54"/>
      <c r="AI103" s="55"/>
      <c r="AJ103" s="56"/>
      <c r="AK103" s="57"/>
      <c r="AL103" s="57"/>
      <c r="AM103" s="57"/>
      <c r="AN103" s="57"/>
      <c r="AO103" s="58"/>
      <c r="AP103" s="59"/>
      <c r="AQ103" s="60"/>
      <c r="AR103" s="60"/>
      <c r="AS103" s="60"/>
      <c r="AT103" s="57"/>
      <c r="AU103" s="55"/>
      <c r="AV103" s="61"/>
      <c r="AW103" s="60"/>
      <c r="AX103" s="60"/>
      <c r="AY103" s="60"/>
      <c r="AZ103" s="57"/>
      <c r="BA103" s="58"/>
      <c r="BB103" s="53"/>
      <c r="BC103" s="57"/>
      <c r="BD103" s="57"/>
      <c r="BE103" s="58"/>
      <c r="BF103" s="53"/>
      <c r="BG103" s="53"/>
      <c r="BH103" s="57"/>
      <c r="BI103" s="58"/>
      <c r="BJ103" s="56"/>
      <c r="BK103" s="53"/>
      <c r="BL103" s="57"/>
      <c r="BM103" s="58"/>
      <c r="BN103" s="56"/>
      <c r="BO103" s="53"/>
      <c r="BP103" s="57"/>
      <c r="BQ103" s="58"/>
      <c r="BR103" s="56"/>
      <c r="BS103" s="53"/>
      <c r="BT103" s="57"/>
      <c r="BU103" s="58"/>
      <c r="BV103" s="62"/>
      <c r="BW103" s="53"/>
      <c r="BX103" s="57"/>
      <c r="BY103" s="58"/>
      <c r="BZ103" s="56"/>
      <c r="CA103" s="53"/>
      <c r="CB103" s="57"/>
      <c r="CC103" s="58"/>
    </row>
    <row r="104" spans="19:81" x14ac:dyDescent="0.3">
      <c r="S104" s="5">
        <f t="shared" si="15"/>
        <v>0</v>
      </c>
      <c r="T104" s="6">
        <f t="shared" si="16"/>
        <v>0</v>
      </c>
      <c r="U104" s="6">
        <f t="shared" si="17"/>
        <v>0</v>
      </c>
      <c r="V104" s="6">
        <f t="shared" si="18"/>
        <v>0</v>
      </c>
      <c r="W104" s="6">
        <f t="shared" si="19"/>
        <v>0</v>
      </c>
      <c r="X104" s="6">
        <f t="shared" si="20"/>
        <v>0</v>
      </c>
      <c r="Y104" s="6">
        <f t="shared" si="21"/>
        <v>0</v>
      </c>
      <c r="Z104" s="6">
        <f t="shared" si="22"/>
        <v>0</v>
      </c>
      <c r="AA104" s="6">
        <f t="shared" si="23"/>
        <v>0</v>
      </c>
      <c r="AB104" s="7">
        <f t="shared" si="24"/>
        <v>0</v>
      </c>
      <c r="AC104" s="41">
        <f t="shared" si="25"/>
        <v>0</v>
      </c>
      <c r="AE104" s="52">
        <v>21</v>
      </c>
      <c r="AF104" s="53"/>
      <c r="AG104" s="54"/>
      <c r="AH104" s="54"/>
      <c r="AI104" s="55"/>
      <c r="AJ104" s="56"/>
      <c r="AK104" s="57"/>
      <c r="AL104" s="57"/>
      <c r="AM104" s="57"/>
      <c r="AN104" s="57"/>
      <c r="AO104" s="58"/>
      <c r="AP104" s="59"/>
      <c r="AQ104" s="60"/>
      <c r="AR104" s="60"/>
      <c r="AS104" s="60"/>
      <c r="AT104" s="57"/>
      <c r="AU104" s="55"/>
      <c r="AV104" s="61"/>
      <c r="AW104" s="60"/>
      <c r="AX104" s="60"/>
      <c r="AY104" s="60"/>
      <c r="AZ104" s="57"/>
      <c r="BA104" s="58"/>
      <c r="BB104" s="53"/>
      <c r="BC104" s="57"/>
      <c r="BD104" s="57"/>
      <c r="BE104" s="58"/>
      <c r="BF104" s="53"/>
      <c r="BG104" s="53"/>
      <c r="BH104" s="57"/>
      <c r="BI104" s="58"/>
      <c r="BJ104" s="56"/>
      <c r="BK104" s="53"/>
      <c r="BL104" s="57"/>
      <c r="BM104" s="58"/>
      <c r="BN104" s="56"/>
      <c r="BO104" s="53"/>
      <c r="BP104" s="57"/>
      <c r="BQ104" s="58"/>
      <c r="BR104" s="56"/>
      <c r="BS104" s="53"/>
      <c r="BT104" s="57"/>
      <c r="BU104" s="58"/>
      <c r="BV104" s="62"/>
      <c r="BW104" s="53"/>
      <c r="BX104" s="57"/>
      <c r="BY104" s="58"/>
      <c r="BZ104" s="56"/>
      <c r="CA104" s="53"/>
      <c r="CB104" s="57"/>
      <c r="CC104" s="58"/>
    </row>
    <row r="105" spans="19:81" x14ac:dyDescent="0.3">
      <c r="S105" s="5">
        <f t="shared" si="15"/>
        <v>0</v>
      </c>
      <c r="T105" s="6">
        <f t="shared" si="16"/>
        <v>0</v>
      </c>
      <c r="U105" s="6">
        <f t="shared" si="17"/>
        <v>0</v>
      </c>
      <c r="V105" s="6">
        <f t="shared" si="18"/>
        <v>0</v>
      </c>
      <c r="W105" s="6">
        <f t="shared" si="19"/>
        <v>0</v>
      </c>
      <c r="X105" s="6">
        <f t="shared" si="20"/>
        <v>0</v>
      </c>
      <c r="Y105" s="6">
        <f t="shared" si="21"/>
        <v>0</v>
      </c>
      <c r="Z105" s="6">
        <f t="shared" si="22"/>
        <v>0</v>
      </c>
      <c r="AA105" s="6">
        <f t="shared" si="23"/>
        <v>0</v>
      </c>
      <c r="AB105" s="7">
        <f t="shared" si="24"/>
        <v>0</v>
      </c>
      <c r="AC105" s="41">
        <f t="shared" si="25"/>
        <v>0</v>
      </c>
      <c r="AE105" s="52">
        <v>22</v>
      </c>
      <c r="AF105" s="53"/>
      <c r="AG105" s="54"/>
      <c r="AH105" s="54"/>
      <c r="AI105" s="55"/>
      <c r="AJ105" s="56"/>
      <c r="AK105" s="57"/>
      <c r="AL105" s="57"/>
      <c r="AM105" s="57"/>
      <c r="AN105" s="57"/>
      <c r="AO105" s="58"/>
      <c r="AP105" s="59"/>
      <c r="AQ105" s="60"/>
      <c r="AR105" s="60"/>
      <c r="AS105" s="60"/>
      <c r="AT105" s="57"/>
      <c r="AU105" s="55"/>
      <c r="AV105" s="61"/>
      <c r="AW105" s="60"/>
      <c r="AX105" s="60"/>
      <c r="AY105" s="60"/>
      <c r="AZ105" s="57"/>
      <c r="BA105" s="58"/>
      <c r="BB105" s="53"/>
      <c r="BC105" s="57"/>
      <c r="BD105" s="57"/>
      <c r="BE105" s="58"/>
      <c r="BF105" s="53"/>
      <c r="BG105" s="53"/>
      <c r="BH105" s="57"/>
      <c r="BI105" s="58"/>
      <c r="BJ105" s="56"/>
      <c r="BK105" s="53"/>
      <c r="BL105" s="57"/>
      <c r="BM105" s="58"/>
      <c r="BN105" s="56"/>
      <c r="BO105" s="53"/>
      <c r="BP105" s="57"/>
      <c r="BQ105" s="58"/>
      <c r="BR105" s="56"/>
      <c r="BS105" s="53"/>
      <c r="BT105" s="57"/>
      <c r="BU105" s="58"/>
      <c r="BV105" s="62"/>
      <c r="BW105" s="53"/>
      <c r="BX105" s="57"/>
      <c r="BY105" s="58"/>
      <c r="BZ105" s="56"/>
      <c r="CA105" s="53"/>
      <c r="CB105" s="57"/>
      <c r="CC105" s="58"/>
    </row>
    <row r="106" spans="19:81" x14ac:dyDescent="0.3">
      <c r="S106" s="5">
        <f t="shared" si="15"/>
        <v>0</v>
      </c>
      <c r="T106" s="6">
        <f t="shared" si="16"/>
        <v>0</v>
      </c>
      <c r="U106" s="6">
        <f t="shared" si="17"/>
        <v>0</v>
      </c>
      <c r="V106" s="6">
        <f t="shared" si="18"/>
        <v>0</v>
      </c>
      <c r="W106" s="6">
        <f t="shared" si="19"/>
        <v>0</v>
      </c>
      <c r="X106" s="6">
        <f t="shared" si="20"/>
        <v>0</v>
      </c>
      <c r="Y106" s="6">
        <f t="shared" si="21"/>
        <v>0</v>
      </c>
      <c r="Z106" s="6">
        <f t="shared" si="22"/>
        <v>0</v>
      </c>
      <c r="AA106" s="6">
        <f t="shared" si="23"/>
        <v>0</v>
      </c>
      <c r="AB106" s="7">
        <f t="shared" si="24"/>
        <v>0</v>
      </c>
      <c r="AC106" s="41">
        <f t="shared" si="25"/>
        <v>0</v>
      </c>
      <c r="AE106" s="52">
        <v>23</v>
      </c>
      <c r="AF106" s="53"/>
      <c r="AG106" s="54"/>
      <c r="AH106" s="54"/>
      <c r="AI106" s="55"/>
      <c r="AJ106" s="56"/>
      <c r="AK106" s="57"/>
      <c r="AL106" s="57"/>
      <c r="AM106" s="57"/>
      <c r="AN106" s="57"/>
      <c r="AO106" s="58"/>
      <c r="AP106" s="59"/>
      <c r="AQ106" s="60"/>
      <c r="AR106" s="60"/>
      <c r="AS106" s="60"/>
      <c r="AT106" s="57"/>
      <c r="AU106" s="55"/>
      <c r="AV106" s="61"/>
      <c r="AW106" s="60"/>
      <c r="AX106" s="60"/>
      <c r="AY106" s="60"/>
      <c r="AZ106" s="57"/>
      <c r="BA106" s="58"/>
      <c r="BB106" s="53"/>
      <c r="BC106" s="57"/>
      <c r="BD106" s="57"/>
      <c r="BE106" s="58"/>
      <c r="BF106" s="53"/>
      <c r="BG106" s="53"/>
      <c r="BH106" s="57"/>
      <c r="BI106" s="58"/>
      <c r="BJ106" s="56"/>
      <c r="BK106" s="53"/>
      <c r="BL106" s="57"/>
      <c r="BM106" s="58"/>
      <c r="BN106" s="56"/>
      <c r="BO106" s="53"/>
      <c r="BP106" s="57"/>
      <c r="BQ106" s="58"/>
      <c r="BR106" s="56"/>
      <c r="BS106" s="53"/>
      <c r="BT106" s="57"/>
      <c r="BU106" s="58"/>
      <c r="BV106" s="62"/>
      <c r="BW106" s="53"/>
      <c r="BX106" s="57"/>
      <c r="BY106" s="58"/>
      <c r="BZ106" s="56"/>
      <c r="CA106" s="53"/>
      <c r="CB106" s="57"/>
      <c r="CC106" s="58"/>
    </row>
    <row r="107" spans="19:81" x14ac:dyDescent="0.3">
      <c r="S107" s="5">
        <f t="shared" si="15"/>
        <v>0</v>
      </c>
      <c r="T107" s="6">
        <f t="shared" si="16"/>
        <v>0</v>
      </c>
      <c r="U107" s="6">
        <f t="shared" si="17"/>
        <v>0</v>
      </c>
      <c r="V107" s="6">
        <f t="shared" si="18"/>
        <v>0</v>
      </c>
      <c r="W107" s="6">
        <f t="shared" si="19"/>
        <v>0</v>
      </c>
      <c r="X107" s="6">
        <f t="shared" si="20"/>
        <v>0</v>
      </c>
      <c r="Y107" s="6">
        <f t="shared" si="21"/>
        <v>0</v>
      </c>
      <c r="Z107" s="6">
        <f t="shared" si="22"/>
        <v>0</v>
      </c>
      <c r="AA107" s="6">
        <f t="shared" si="23"/>
        <v>0</v>
      </c>
      <c r="AB107" s="7">
        <f t="shared" si="24"/>
        <v>0</v>
      </c>
      <c r="AC107" s="41">
        <f t="shared" si="25"/>
        <v>0</v>
      </c>
      <c r="AE107" s="52">
        <v>24</v>
      </c>
      <c r="AF107" s="53"/>
      <c r="AG107" s="54"/>
      <c r="AH107" s="54"/>
      <c r="AI107" s="55"/>
      <c r="AJ107" s="56"/>
      <c r="AK107" s="57"/>
      <c r="AL107" s="57"/>
      <c r="AM107" s="57"/>
      <c r="AN107" s="57"/>
      <c r="AO107" s="58"/>
      <c r="AP107" s="59"/>
      <c r="AQ107" s="60"/>
      <c r="AR107" s="60"/>
      <c r="AS107" s="60"/>
      <c r="AT107" s="57"/>
      <c r="AU107" s="55"/>
      <c r="AV107" s="61"/>
      <c r="AW107" s="60"/>
      <c r="AX107" s="60"/>
      <c r="AY107" s="60"/>
      <c r="AZ107" s="57"/>
      <c r="BA107" s="58"/>
      <c r="BB107" s="53"/>
      <c r="BC107" s="57"/>
      <c r="BD107" s="57"/>
      <c r="BE107" s="58"/>
      <c r="BF107" s="53"/>
      <c r="BG107" s="53"/>
      <c r="BH107" s="57"/>
      <c r="BI107" s="58"/>
      <c r="BJ107" s="56"/>
      <c r="BK107" s="53"/>
      <c r="BL107" s="57"/>
      <c r="BM107" s="58"/>
      <c r="BN107" s="56"/>
      <c r="BO107" s="53"/>
      <c r="BP107" s="57"/>
      <c r="BQ107" s="58"/>
      <c r="BR107" s="56"/>
      <c r="BS107" s="53"/>
      <c r="BT107" s="57"/>
      <c r="BU107" s="58"/>
      <c r="BV107" s="62"/>
      <c r="BW107" s="53"/>
      <c r="BX107" s="57"/>
      <c r="BY107" s="58"/>
      <c r="BZ107" s="56"/>
      <c r="CA107" s="53"/>
      <c r="CB107" s="57"/>
      <c r="CC107" s="58"/>
    </row>
    <row r="108" spans="19:81" x14ac:dyDescent="0.3">
      <c r="S108" s="5">
        <f t="shared" si="15"/>
        <v>0</v>
      </c>
      <c r="T108" s="6">
        <f t="shared" si="16"/>
        <v>0</v>
      </c>
      <c r="U108" s="6">
        <f t="shared" si="17"/>
        <v>0</v>
      </c>
      <c r="V108" s="6">
        <f t="shared" si="18"/>
        <v>0</v>
      </c>
      <c r="W108" s="6">
        <f t="shared" si="19"/>
        <v>0</v>
      </c>
      <c r="X108" s="6">
        <f t="shared" si="20"/>
        <v>0</v>
      </c>
      <c r="Y108" s="6">
        <f t="shared" si="21"/>
        <v>0</v>
      </c>
      <c r="Z108" s="6">
        <f t="shared" si="22"/>
        <v>0</v>
      </c>
      <c r="AA108" s="6">
        <f t="shared" si="23"/>
        <v>0</v>
      </c>
      <c r="AB108" s="7">
        <f t="shared" si="24"/>
        <v>0</v>
      </c>
      <c r="AC108" s="41">
        <f t="shared" si="25"/>
        <v>0</v>
      </c>
      <c r="AE108" s="52">
        <v>25</v>
      </c>
      <c r="AF108" s="53"/>
      <c r="AG108" s="54"/>
      <c r="AH108" s="54"/>
      <c r="AI108" s="55"/>
      <c r="AJ108" s="56"/>
      <c r="AK108" s="57"/>
      <c r="AL108" s="57"/>
      <c r="AM108" s="57"/>
      <c r="AN108" s="57"/>
      <c r="AO108" s="58"/>
      <c r="AP108" s="59"/>
      <c r="AQ108" s="60"/>
      <c r="AR108" s="60"/>
      <c r="AS108" s="60"/>
      <c r="AT108" s="57"/>
      <c r="AU108" s="55"/>
      <c r="AV108" s="61"/>
      <c r="AW108" s="60"/>
      <c r="AX108" s="60"/>
      <c r="AY108" s="60"/>
      <c r="AZ108" s="57"/>
      <c r="BA108" s="58"/>
      <c r="BB108" s="53"/>
      <c r="BC108" s="57"/>
      <c r="BD108" s="57"/>
      <c r="BE108" s="58"/>
      <c r="BF108" s="53"/>
      <c r="BG108" s="53"/>
      <c r="BH108" s="57"/>
      <c r="BI108" s="58"/>
      <c r="BJ108" s="56"/>
      <c r="BK108" s="53"/>
      <c r="BL108" s="57"/>
      <c r="BM108" s="58"/>
      <c r="BN108" s="56"/>
      <c r="BO108" s="53"/>
      <c r="BP108" s="57"/>
      <c r="BQ108" s="58"/>
      <c r="BR108" s="56"/>
      <c r="BS108" s="53"/>
      <c r="BT108" s="57"/>
      <c r="BU108" s="58"/>
      <c r="BV108" s="62"/>
      <c r="BW108" s="53"/>
      <c r="BX108" s="57"/>
      <c r="BY108" s="58"/>
      <c r="BZ108" s="56"/>
      <c r="CA108" s="53"/>
      <c r="CB108" s="57"/>
      <c r="CC108" s="58"/>
    </row>
    <row r="109" spans="19:81" x14ac:dyDescent="0.3">
      <c r="S109" s="5">
        <f t="shared" si="15"/>
        <v>0</v>
      </c>
      <c r="T109" s="6">
        <f t="shared" si="16"/>
        <v>0</v>
      </c>
      <c r="U109" s="6">
        <f t="shared" si="17"/>
        <v>0</v>
      </c>
      <c r="V109" s="6">
        <f t="shared" si="18"/>
        <v>0</v>
      </c>
      <c r="W109" s="6">
        <f t="shared" si="19"/>
        <v>0</v>
      </c>
      <c r="X109" s="6">
        <f t="shared" si="20"/>
        <v>0</v>
      </c>
      <c r="Y109" s="6">
        <f t="shared" si="21"/>
        <v>0</v>
      </c>
      <c r="Z109" s="6">
        <f t="shared" si="22"/>
        <v>0</v>
      </c>
      <c r="AA109" s="6">
        <f t="shared" si="23"/>
        <v>0</v>
      </c>
      <c r="AB109" s="7">
        <f t="shared" si="24"/>
        <v>0</v>
      </c>
      <c r="AC109" s="41">
        <f t="shared" si="25"/>
        <v>0</v>
      </c>
      <c r="AE109" s="52">
        <v>26</v>
      </c>
      <c r="AF109" s="53"/>
      <c r="AG109" s="54"/>
      <c r="AH109" s="54"/>
      <c r="AI109" s="55"/>
      <c r="AJ109" s="56"/>
      <c r="AK109" s="57"/>
      <c r="AL109" s="57"/>
      <c r="AM109" s="57"/>
      <c r="AN109" s="57"/>
      <c r="AO109" s="58"/>
      <c r="AP109" s="59"/>
      <c r="AQ109" s="60"/>
      <c r="AR109" s="60"/>
      <c r="AS109" s="60"/>
      <c r="AT109" s="57"/>
      <c r="AU109" s="55"/>
      <c r="AV109" s="61"/>
      <c r="AW109" s="60"/>
      <c r="AX109" s="60"/>
      <c r="AY109" s="60"/>
      <c r="AZ109" s="57"/>
      <c r="BA109" s="58"/>
      <c r="BB109" s="53"/>
      <c r="BC109" s="57"/>
      <c r="BD109" s="57"/>
      <c r="BE109" s="58"/>
      <c r="BF109" s="53"/>
      <c r="BG109" s="53"/>
      <c r="BH109" s="57"/>
      <c r="BI109" s="58"/>
      <c r="BJ109" s="56"/>
      <c r="BK109" s="53"/>
      <c r="BL109" s="57"/>
      <c r="BM109" s="58"/>
      <c r="BN109" s="56"/>
      <c r="BO109" s="53"/>
      <c r="BP109" s="57"/>
      <c r="BQ109" s="58"/>
      <c r="BR109" s="56"/>
      <c r="BS109" s="53"/>
      <c r="BT109" s="57"/>
      <c r="BU109" s="58"/>
      <c r="BV109" s="62"/>
      <c r="BW109" s="53"/>
      <c r="BX109" s="57"/>
      <c r="BY109" s="58"/>
      <c r="BZ109" s="56"/>
      <c r="CA109" s="53"/>
      <c r="CB109" s="57"/>
      <c r="CC109" s="58"/>
    </row>
    <row r="110" spans="19:81" x14ac:dyDescent="0.3">
      <c r="S110" s="5">
        <f t="shared" si="15"/>
        <v>0</v>
      </c>
      <c r="T110" s="6">
        <f t="shared" si="16"/>
        <v>0</v>
      </c>
      <c r="U110" s="6">
        <f t="shared" si="17"/>
        <v>0</v>
      </c>
      <c r="V110" s="6">
        <f t="shared" si="18"/>
        <v>0</v>
      </c>
      <c r="W110" s="6">
        <f t="shared" si="19"/>
        <v>0</v>
      </c>
      <c r="X110" s="6">
        <f t="shared" si="20"/>
        <v>0</v>
      </c>
      <c r="Y110" s="6">
        <f t="shared" si="21"/>
        <v>0</v>
      </c>
      <c r="Z110" s="6">
        <f t="shared" si="22"/>
        <v>0</v>
      </c>
      <c r="AA110" s="6">
        <f t="shared" si="23"/>
        <v>0</v>
      </c>
      <c r="AB110" s="7">
        <f t="shared" si="24"/>
        <v>0</v>
      </c>
      <c r="AC110" s="41">
        <f t="shared" si="25"/>
        <v>0</v>
      </c>
      <c r="AE110" s="52">
        <v>27</v>
      </c>
      <c r="AF110" s="53"/>
      <c r="AG110" s="54"/>
      <c r="AH110" s="54"/>
      <c r="AI110" s="55"/>
      <c r="AJ110" s="56"/>
      <c r="AK110" s="57"/>
      <c r="AL110" s="57"/>
      <c r="AM110" s="57"/>
      <c r="AN110" s="57"/>
      <c r="AO110" s="58"/>
      <c r="AP110" s="59"/>
      <c r="AQ110" s="60"/>
      <c r="AR110" s="60"/>
      <c r="AS110" s="60"/>
      <c r="AT110" s="57"/>
      <c r="AU110" s="55"/>
      <c r="AV110" s="61"/>
      <c r="AW110" s="60"/>
      <c r="AX110" s="60"/>
      <c r="AY110" s="60"/>
      <c r="AZ110" s="57"/>
      <c r="BA110" s="58"/>
      <c r="BB110" s="53"/>
      <c r="BC110" s="57"/>
      <c r="BD110" s="57"/>
      <c r="BE110" s="58"/>
      <c r="BF110" s="53"/>
      <c r="BG110" s="53"/>
      <c r="BH110" s="57"/>
      <c r="BI110" s="58"/>
      <c r="BJ110" s="56"/>
      <c r="BK110" s="53"/>
      <c r="BL110" s="57"/>
      <c r="BM110" s="58"/>
      <c r="BN110" s="56"/>
      <c r="BO110" s="53"/>
      <c r="BP110" s="57"/>
      <c r="BQ110" s="58"/>
      <c r="BR110" s="56"/>
      <c r="BS110" s="53"/>
      <c r="BT110" s="57"/>
      <c r="BU110" s="58"/>
      <c r="BV110" s="62"/>
      <c r="BW110" s="53"/>
      <c r="BX110" s="57"/>
      <c r="BY110" s="58"/>
      <c r="BZ110" s="56"/>
      <c r="CA110" s="53"/>
      <c r="CB110" s="57"/>
      <c r="CC110" s="58"/>
    </row>
    <row r="111" spans="19:81" x14ac:dyDescent="0.3">
      <c r="S111" s="5">
        <f t="shared" si="15"/>
        <v>0</v>
      </c>
      <c r="T111" s="6">
        <f t="shared" si="16"/>
        <v>0</v>
      </c>
      <c r="U111" s="6">
        <f t="shared" si="17"/>
        <v>0</v>
      </c>
      <c r="V111" s="6">
        <f t="shared" si="18"/>
        <v>0</v>
      </c>
      <c r="W111" s="6">
        <f t="shared" si="19"/>
        <v>0</v>
      </c>
      <c r="X111" s="6">
        <f t="shared" si="20"/>
        <v>0</v>
      </c>
      <c r="Y111" s="6">
        <f t="shared" si="21"/>
        <v>0</v>
      </c>
      <c r="Z111" s="6">
        <f t="shared" si="22"/>
        <v>0</v>
      </c>
      <c r="AA111" s="6">
        <f t="shared" si="23"/>
        <v>0</v>
      </c>
      <c r="AB111" s="7">
        <f t="shared" si="24"/>
        <v>0</v>
      </c>
      <c r="AC111" s="41">
        <f t="shared" si="25"/>
        <v>0</v>
      </c>
      <c r="AE111" s="52">
        <v>28</v>
      </c>
      <c r="AF111" s="53"/>
      <c r="AG111" s="54"/>
      <c r="AH111" s="54"/>
      <c r="AI111" s="55"/>
      <c r="AJ111" s="56"/>
      <c r="AK111" s="57"/>
      <c r="AL111" s="57"/>
      <c r="AM111" s="57"/>
      <c r="AN111" s="57"/>
      <c r="AO111" s="58"/>
      <c r="AP111" s="59"/>
      <c r="AQ111" s="60"/>
      <c r="AR111" s="60"/>
      <c r="AS111" s="60"/>
      <c r="AT111" s="57"/>
      <c r="AU111" s="55"/>
      <c r="AV111" s="61"/>
      <c r="AW111" s="60"/>
      <c r="AX111" s="60"/>
      <c r="AY111" s="60"/>
      <c r="AZ111" s="57"/>
      <c r="BA111" s="58"/>
      <c r="BB111" s="53"/>
      <c r="BC111" s="57"/>
      <c r="BD111" s="57"/>
      <c r="BE111" s="58"/>
      <c r="BF111" s="53"/>
      <c r="BG111" s="53"/>
      <c r="BH111" s="57"/>
      <c r="BI111" s="58"/>
      <c r="BJ111" s="56"/>
      <c r="BK111" s="53"/>
      <c r="BL111" s="57"/>
      <c r="BM111" s="58"/>
      <c r="BN111" s="56"/>
      <c r="BO111" s="53"/>
      <c r="BP111" s="57"/>
      <c r="BQ111" s="58"/>
      <c r="BR111" s="56"/>
      <c r="BS111" s="53"/>
      <c r="BT111" s="57"/>
      <c r="BU111" s="58"/>
      <c r="BV111" s="62"/>
      <c r="BW111" s="53"/>
      <c r="BX111" s="57"/>
      <c r="BY111" s="58"/>
      <c r="BZ111" s="56"/>
      <c r="CA111" s="53"/>
      <c r="CB111" s="57"/>
      <c r="CC111" s="58"/>
    </row>
    <row r="112" spans="19:81" x14ac:dyDescent="0.3">
      <c r="S112" s="5">
        <f t="shared" si="15"/>
        <v>0</v>
      </c>
      <c r="T112" s="6">
        <f t="shared" si="16"/>
        <v>0</v>
      </c>
      <c r="U112" s="6">
        <f t="shared" si="17"/>
        <v>0</v>
      </c>
      <c r="V112" s="6">
        <f t="shared" si="18"/>
        <v>0</v>
      </c>
      <c r="W112" s="6">
        <f t="shared" si="19"/>
        <v>0</v>
      </c>
      <c r="X112" s="6">
        <f t="shared" si="20"/>
        <v>0</v>
      </c>
      <c r="Y112" s="6">
        <f t="shared" si="21"/>
        <v>0</v>
      </c>
      <c r="Z112" s="6">
        <f t="shared" si="22"/>
        <v>0</v>
      </c>
      <c r="AA112" s="6">
        <f t="shared" si="23"/>
        <v>0</v>
      </c>
      <c r="AB112" s="7">
        <f t="shared" si="24"/>
        <v>0</v>
      </c>
      <c r="AC112" s="41">
        <f t="shared" si="25"/>
        <v>0</v>
      </c>
      <c r="AE112" s="52">
        <v>29</v>
      </c>
      <c r="AF112" s="53"/>
      <c r="AG112" s="54"/>
      <c r="AH112" s="54"/>
      <c r="AI112" s="55"/>
      <c r="AJ112" s="56"/>
      <c r="AK112" s="57"/>
      <c r="AL112" s="57"/>
      <c r="AM112" s="57"/>
      <c r="AN112" s="57"/>
      <c r="AO112" s="58"/>
      <c r="AP112" s="59"/>
      <c r="AQ112" s="60"/>
      <c r="AR112" s="60"/>
      <c r="AS112" s="60"/>
      <c r="AT112" s="57"/>
      <c r="AU112" s="55"/>
      <c r="AV112" s="61"/>
      <c r="AW112" s="60"/>
      <c r="AX112" s="60"/>
      <c r="AY112" s="60"/>
      <c r="AZ112" s="57"/>
      <c r="BA112" s="58"/>
      <c r="BB112" s="53"/>
      <c r="BC112" s="57"/>
      <c r="BD112" s="57"/>
      <c r="BE112" s="58"/>
      <c r="BF112" s="53"/>
      <c r="BG112" s="53"/>
      <c r="BH112" s="57"/>
      <c r="BI112" s="58"/>
      <c r="BJ112" s="56"/>
      <c r="BK112" s="53"/>
      <c r="BL112" s="57"/>
      <c r="BM112" s="58"/>
      <c r="BN112" s="56"/>
      <c r="BO112" s="53"/>
      <c r="BP112" s="57"/>
      <c r="BQ112" s="58"/>
      <c r="BR112" s="56"/>
      <c r="BS112" s="53"/>
      <c r="BT112" s="57"/>
      <c r="BU112" s="58"/>
      <c r="BV112" s="62"/>
      <c r="BW112" s="53"/>
      <c r="BX112" s="57"/>
      <c r="BY112" s="58"/>
      <c r="BZ112" s="56"/>
      <c r="CA112" s="53"/>
      <c r="CB112" s="57"/>
      <c r="CC112" s="58"/>
    </row>
    <row r="113" spans="19:81" x14ac:dyDescent="0.3">
      <c r="S113" s="5">
        <f t="shared" si="15"/>
        <v>0</v>
      </c>
      <c r="T113" s="6">
        <f t="shared" si="16"/>
        <v>0</v>
      </c>
      <c r="U113" s="6">
        <f t="shared" si="17"/>
        <v>0</v>
      </c>
      <c r="V113" s="6">
        <f t="shared" si="18"/>
        <v>0</v>
      </c>
      <c r="W113" s="6">
        <f t="shared" si="19"/>
        <v>0</v>
      </c>
      <c r="X113" s="6">
        <f t="shared" si="20"/>
        <v>0</v>
      </c>
      <c r="Y113" s="6">
        <f t="shared" si="21"/>
        <v>0</v>
      </c>
      <c r="Z113" s="6">
        <f t="shared" si="22"/>
        <v>0</v>
      </c>
      <c r="AA113" s="6">
        <f t="shared" si="23"/>
        <v>0</v>
      </c>
      <c r="AB113" s="7">
        <f t="shared" si="24"/>
        <v>0</v>
      </c>
      <c r="AC113" s="41">
        <f t="shared" si="25"/>
        <v>0</v>
      </c>
      <c r="AE113" s="52">
        <v>30</v>
      </c>
      <c r="AF113" s="53"/>
      <c r="AG113" s="54"/>
      <c r="AH113" s="54"/>
      <c r="AI113" s="55"/>
      <c r="AJ113" s="56"/>
      <c r="AK113" s="57"/>
      <c r="AL113" s="57"/>
      <c r="AM113" s="57"/>
      <c r="AN113" s="57"/>
      <c r="AO113" s="58"/>
      <c r="AP113" s="59"/>
      <c r="AQ113" s="60"/>
      <c r="AR113" s="60"/>
      <c r="AS113" s="60"/>
      <c r="AT113" s="57"/>
      <c r="AU113" s="55"/>
      <c r="AV113" s="61"/>
      <c r="AW113" s="60"/>
      <c r="AX113" s="60"/>
      <c r="AY113" s="60"/>
      <c r="AZ113" s="57"/>
      <c r="BA113" s="58"/>
      <c r="BB113" s="53"/>
      <c r="BC113" s="57"/>
      <c r="BD113" s="57"/>
      <c r="BE113" s="58"/>
      <c r="BF113" s="53"/>
      <c r="BG113" s="53"/>
      <c r="BH113" s="57"/>
      <c r="BI113" s="58"/>
      <c r="BJ113" s="56"/>
      <c r="BK113" s="53"/>
      <c r="BL113" s="57"/>
      <c r="BM113" s="58"/>
      <c r="BN113" s="56"/>
      <c r="BO113" s="53"/>
      <c r="BP113" s="57"/>
      <c r="BQ113" s="58"/>
      <c r="BR113" s="56"/>
      <c r="BS113" s="53"/>
      <c r="BT113" s="57"/>
      <c r="BU113" s="58"/>
      <c r="BV113" s="62"/>
      <c r="BW113" s="53"/>
      <c r="BX113" s="57"/>
      <c r="BY113" s="58"/>
      <c r="BZ113" s="56"/>
      <c r="CA113" s="53"/>
      <c r="CB113" s="57"/>
      <c r="CC113" s="58"/>
    </row>
    <row r="114" spans="19:81" x14ac:dyDescent="0.3">
      <c r="S114" s="5">
        <f t="shared" si="15"/>
        <v>0</v>
      </c>
      <c r="T114" s="6">
        <f t="shared" si="16"/>
        <v>0</v>
      </c>
      <c r="U114" s="6">
        <f t="shared" si="17"/>
        <v>0</v>
      </c>
      <c r="V114" s="6">
        <f t="shared" si="18"/>
        <v>0</v>
      </c>
      <c r="W114" s="6">
        <f t="shared" si="19"/>
        <v>0</v>
      </c>
      <c r="X114" s="6">
        <f t="shared" si="20"/>
        <v>0</v>
      </c>
      <c r="Y114" s="6">
        <f t="shared" si="21"/>
        <v>0</v>
      </c>
      <c r="Z114" s="6">
        <f t="shared" si="22"/>
        <v>0</v>
      </c>
      <c r="AA114" s="6">
        <f t="shared" si="23"/>
        <v>0</v>
      </c>
      <c r="AB114" s="7">
        <f t="shared" si="24"/>
        <v>0</v>
      </c>
      <c r="AC114" s="41">
        <f t="shared" si="25"/>
        <v>0</v>
      </c>
      <c r="AE114" s="52">
        <v>31</v>
      </c>
      <c r="AF114" s="53"/>
      <c r="AG114" s="54"/>
      <c r="AH114" s="54"/>
      <c r="AI114" s="55"/>
      <c r="AJ114" s="56"/>
      <c r="AK114" s="57"/>
      <c r="AL114" s="57"/>
      <c r="AM114" s="57"/>
      <c r="AN114" s="57"/>
      <c r="AO114" s="58"/>
      <c r="AP114" s="59"/>
      <c r="AQ114" s="60"/>
      <c r="AR114" s="60"/>
      <c r="AS114" s="60"/>
      <c r="AT114" s="57"/>
      <c r="AU114" s="55"/>
      <c r="AV114" s="61"/>
      <c r="AW114" s="60"/>
      <c r="AX114" s="60"/>
      <c r="AY114" s="60"/>
      <c r="AZ114" s="57"/>
      <c r="BA114" s="58"/>
      <c r="BB114" s="53"/>
      <c r="BC114" s="57"/>
      <c r="BD114" s="57"/>
      <c r="BE114" s="58"/>
      <c r="BF114" s="53"/>
      <c r="BG114" s="53"/>
      <c r="BH114" s="57"/>
      <c r="BI114" s="58"/>
      <c r="BJ114" s="56"/>
      <c r="BK114" s="53"/>
      <c r="BL114" s="57"/>
      <c r="BM114" s="58"/>
      <c r="BN114" s="56"/>
      <c r="BO114" s="53"/>
      <c r="BP114" s="57"/>
      <c r="BQ114" s="58"/>
      <c r="BR114" s="56"/>
      <c r="BS114" s="53"/>
      <c r="BT114" s="57"/>
      <c r="BU114" s="58"/>
      <c r="BV114" s="62"/>
      <c r="BW114" s="53"/>
      <c r="BX114" s="57"/>
      <c r="BY114" s="58"/>
      <c r="BZ114" s="56"/>
      <c r="CA114" s="53"/>
      <c r="CB114" s="57"/>
      <c r="CC114" s="58"/>
    </row>
    <row r="115" spans="19:81" ht="15" thickBot="1" x14ac:dyDescent="0.35">
      <c r="S115" s="8">
        <f t="shared" si="15"/>
        <v>0</v>
      </c>
      <c r="T115" s="9">
        <f t="shared" si="16"/>
        <v>0</v>
      </c>
      <c r="U115" s="9">
        <f t="shared" si="17"/>
        <v>0</v>
      </c>
      <c r="V115" s="9">
        <f t="shared" si="18"/>
        <v>0</v>
      </c>
      <c r="W115" s="9">
        <f t="shared" si="19"/>
        <v>0</v>
      </c>
      <c r="X115" s="9">
        <f t="shared" si="20"/>
        <v>0</v>
      </c>
      <c r="Y115" s="9">
        <f t="shared" si="21"/>
        <v>0</v>
      </c>
      <c r="Z115" s="9">
        <f t="shared" si="22"/>
        <v>0</v>
      </c>
      <c r="AA115" s="9">
        <f t="shared" si="23"/>
        <v>0</v>
      </c>
      <c r="AB115" s="10">
        <f t="shared" si="24"/>
        <v>0</v>
      </c>
      <c r="AC115" s="41">
        <f t="shared" si="25"/>
        <v>0</v>
      </c>
      <c r="AE115" s="52">
        <v>32</v>
      </c>
      <c r="AF115" s="53"/>
      <c r="AG115" s="54"/>
      <c r="AH115" s="54"/>
      <c r="AI115" s="55"/>
      <c r="AJ115" s="56"/>
      <c r="AK115" s="57"/>
      <c r="AL115" s="57"/>
      <c r="AM115" s="57"/>
      <c r="AN115" s="57"/>
      <c r="AO115" s="58"/>
      <c r="AP115" s="59"/>
      <c r="AQ115" s="60"/>
      <c r="AR115" s="60"/>
      <c r="AS115" s="60"/>
      <c r="AT115" s="57"/>
      <c r="AU115" s="55"/>
      <c r="AV115" s="61"/>
      <c r="AW115" s="60"/>
      <c r="AX115" s="60"/>
      <c r="AY115" s="60"/>
      <c r="AZ115" s="57"/>
      <c r="BA115" s="58"/>
      <c r="BB115" s="53"/>
      <c r="BC115" s="57"/>
      <c r="BD115" s="57"/>
      <c r="BE115" s="58"/>
      <c r="BF115" s="53"/>
      <c r="BG115" s="53"/>
      <c r="BH115" s="57"/>
      <c r="BI115" s="58"/>
      <c r="BJ115" s="56"/>
      <c r="BK115" s="53"/>
      <c r="BL115" s="57"/>
      <c r="BM115" s="58"/>
      <c r="BN115" s="56"/>
      <c r="BO115" s="53"/>
      <c r="BP115" s="57"/>
      <c r="BQ115" s="58"/>
      <c r="BR115" s="56"/>
      <c r="BS115" s="53"/>
      <c r="BT115" s="57"/>
      <c r="BU115" s="58"/>
      <c r="BV115" s="62"/>
      <c r="BW115" s="53"/>
      <c r="BX115" s="57"/>
      <c r="BY115" s="58"/>
      <c r="BZ115" s="56"/>
      <c r="CA115" s="53"/>
      <c r="CB115" s="57"/>
      <c r="CC115" s="58"/>
    </row>
    <row r="116" spans="19:81" x14ac:dyDescent="0.3">
      <c r="AE116" s="63" t="s">
        <v>47</v>
      </c>
      <c r="AF116" s="64"/>
      <c r="AG116" s="65"/>
      <c r="AH116" s="65"/>
      <c r="AI116" s="66"/>
      <c r="AJ116" s="67">
        <f>AVERAGE(AJ84:AJ115)</f>
        <v>9.9999999999999995E-7</v>
      </c>
      <c r="AK116" s="68">
        <f>AVERAGE(AK84:AK115)</f>
        <v>9.9999999999999995E-7</v>
      </c>
      <c r="AL116" s="68">
        <f>AVERAGE(AL84:AL115)</f>
        <v>9.9999999999999995E-7</v>
      </c>
      <c r="AM116" s="68" t="e">
        <f>AVERAGE(AM84:AM115)</f>
        <v>#DIV/0!</v>
      </c>
      <c r="AN116" s="68">
        <f>(SUM(U84:U115)+SUM(AK84:AK115)+SUM(AJ84:AJ115)*0.35)/SUM(AJ84:AL115)</f>
        <v>0.45</v>
      </c>
      <c r="AO116" s="69" t="e">
        <f>AVERAGE(AO84:AO115)</f>
        <v>#DIV/0!</v>
      </c>
      <c r="AP116" s="70">
        <f>AVERAGE(AP84:AP115)</f>
        <v>9.9999999999999995E-7</v>
      </c>
      <c r="AQ116" s="71">
        <f>AVERAGE(AQ84:AQ115)</f>
        <v>9.9999999999999995E-7</v>
      </c>
      <c r="AR116" s="71">
        <f>AVERAGE(AR84:AR115)</f>
        <v>9.9999999999999995E-7</v>
      </c>
      <c r="AS116" s="71" t="e">
        <f>AVERAGE(AS84:AS115)</f>
        <v>#DIV/0!</v>
      </c>
      <c r="AT116" s="71">
        <f>(SUM(S84:S115)+SUM(AQ84:AQ115)+SUM(AP84:AP115)*0.35)/SUM(AP84:AR115)</f>
        <v>0.45</v>
      </c>
      <c r="AU116" s="72" t="e">
        <f>AVERAGE(AU84:AU115)</f>
        <v>#DIV/0!</v>
      </c>
      <c r="AV116" s="73">
        <f>AVERAGE(AV84:AV115)</f>
        <v>9.9999999999999995E-7</v>
      </c>
      <c r="AW116" s="71">
        <f>AVERAGE(AW84:AW115)</f>
        <v>9.9999999999999995E-7</v>
      </c>
      <c r="AX116" s="71">
        <f>AVERAGE(AX84:AX115)</f>
        <v>9.9999999999999995E-7</v>
      </c>
      <c r="AY116" s="71" t="e">
        <f>AVERAGE(AY84:AY115)</f>
        <v>#DIV/0!</v>
      </c>
      <c r="AZ116" s="71">
        <f>(SUM(T84:T115)+SUM(AW84:AW115)+SUM(AV84:AV115)*0.35)/SUM(AV84:AX115)</f>
        <v>0.45</v>
      </c>
      <c r="BA116" s="74" t="e">
        <f>AVERAGE(BA84:BA115)</f>
        <v>#DIV/0!</v>
      </c>
      <c r="BB116" s="70">
        <f>AVERAGE(BB84:BB115)</f>
        <v>9.9999999999999995E-7</v>
      </c>
      <c r="BC116" s="71" t="e">
        <f>AVERAGE(BC84:BC115)</f>
        <v>#DIV/0!</v>
      </c>
      <c r="BD116" s="71">
        <f>SUM(V84:V115)/SUM(BB84:BB115)</f>
        <v>0</v>
      </c>
      <c r="BE116" s="74" t="e">
        <f>AVERAGE(BE84:BE115)</f>
        <v>#DIV/0!</v>
      </c>
      <c r="BF116" s="70">
        <f>AVERAGE(BF84:BF115)</f>
        <v>9.9999999999999995E-7</v>
      </c>
      <c r="BG116" s="71" t="e">
        <f>AVERAGE(BG84:BG115)</f>
        <v>#DIV/0!</v>
      </c>
      <c r="BH116" s="71">
        <f>SUM(W84:W115)/SUM(BF84:BF115)</f>
        <v>0</v>
      </c>
      <c r="BI116" s="74" t="e">
        <f>AVERAGE(BI84:BI115)</f>
        <v>#DIV/0!</v>
      </c>
      <c r="BJ116" s="70">
        <f>AVERAGE(BJ84:BJ115)</f>
        <v>9.9999999999999995E-7</v>
      </c>
      <c r="BK116" s="71" t="e">
        <f>AVERAGE(BK84:BK115)</f>
        <v>#DIV/0!</v>
      </c>
      <c r="BL116" s="71">
        <f>SUM(X84:X115)/SUM(BJ84:BJ115)</f>
        <v>0</v>
      </c>
      <c r="BM116" s="74" t="e">
        <f>AVERAGE(BM84:BM115)</f>
        <v>#DIV/0!</v>
      </c>
      <c r="BN116" s="70">
        <f>AVERAGE(BN84:BN115)</f>
        <v>9.9999999999999995E-7</v>
      </c>
      <c r="BO116" s="71" t="e">
        <f>AVERAGE(BO84:BO115)</f>
        <v>#DIV/0!</v>
      </c>
      <c r="BP116" s="71">
        <f>SUM(Y84:Y115)/SUM(BN84:BN115)</f>
        <v>0</v>
      </c>
      <c r="BQ116" s="74" t="e">
        <f>AVERAGE(BQ84:BQ115)</f>
        <v>#DIV/0!</v>
      </c>
      <c r="BR116" s="70">
        <f>AVERAGE(BR84:BR115)</f>
        <v>9.9999999999999995E-7</v>
      </c>
      <c r="BS116" s="71" t="e">
        <f>AVERAGE(BS84:BS115)</f>
        <v>#DIV/0!</v>
      </c>
      <c r="BT116" s="71">
        <f>SUM(Z84:Z115)/SUM(BR84:BR115)</f>
        <v>0</v>
      </c>
      <c r="BU116" s="74" t="e">
        <f>AVERAGE(BU84:BU115)</f>
        <v>#DIV/0!</v>
      </c>
      <c r="BV116" s="70">
        <f>AVERAGE(BV84:BV115)</f>
        <v>9.9999999999999995E-7</v>
      </c>
      <c r="BW116" s="71" t="e">
        <f>AVERAGE(BW84:BW115)</f>
        <v>#DIV/0!</v>
      </c>
      <c r="BX116" s="71">
        <f>SUM(AA84:AA115)/SUM(BV84:BV115)</f>
        <v>0</v>
      </c>
      <c r="BY116" s="74" t="e">
        <f>AVERAGE(BY84:BY115)</f>
        <v>#DIV/0!</v>
      </c>
      <c r="BZ116" s="70">
        <f>AVERAGE(BZ84:BZ115)</f>
        <v>9.9999999999999995E-7</v>
      </c>
      <c r="CA116" s="71" t="e">
        <f>AVERAGE(CA84:CA115)</f>
        <v>#DIV/0!</v>
      </c>
      <c r="CB116" s="71">
        <f>SUM(AB84:AB115)/SUM(BZ84:BZ115)</f>
        <v>0</v>
      </c>
      <c r="CC116" s="74" t="e">
        <f>AVERAGE(CC84:CC115)</f>
        <v>#DIV/0!</v>
      </c>
    </row>
    <row r="117" spans="19:81" x14ac:dyDescent="0.3">
      <c r="AE117" s="63" t="s">
        <v>48</v>
      </c>
      <c r="AF117" s="64"/>
      <c r="AG117" s="65"/>
      <c r="AH117" s="65"/>
      <c r="AI117" s="66"/>
      <c r="AJ117" s="67"/>
      <c r="AK117" s="68"/>
      <c r="AL117" s="68"/>
      <c r="AM117" s="68"/>
      <c r="AN117" s="75">
        <f>SUM(U84:U115)/SUM(AL84:AL115)</f>
        <v>0</v>
      </c>
      <c r="AO117" s="66"/>
      <c r="AP117" s="70"/>
      <c r="AQ117" s="71"/>
      <c r="AR117" s="71"/>
      <c r="AS117" s="71"/>
      <c r="AT117" s="76">
        <f>SUM(S84:S115)/SUM(AR84:AR115)</f>
        <v>0</v>
      </c>
      <c r="AU117" s="77"/>
      <c r="AV117" s="73"/>
      <c r="AW117" s="71"/>
      <c r="AX117" s="71"/>
      <c r="AY117" s="71"/>
      <c r="AZ117" s="76">
        <f>SUM(T84:T115)/SUM(AX84:AX115)</f>
        <v>0</v>
      </c>
      <c r="BA117" s="78"/>
      <c r="BB117" s="64"/>
      <c r="BC117" s="75"/>
      <c r="BD117" s="75"/>
      <c r="BE117" s="79"/>
      <c r="BF117" s="64"/>
      <c r="BG117" s="64"/>
      <c r="BH117" s="75"/>
      <c r="BI117" s="79"/>
      <c r="BJ117" s="80"/>
      <c r="BK117" s="64"/>
      <c r="BL117" s="75"/>
      <c r="BM117" s="79"/>
      <c r="BN117" s="80"/>
      <c r="BO117" s="64"/>
      <c r="BP117" s="75"/>
      <c r="BQ117" s="79"/>
      <c r="BR117" s="80"/>
      <c r="BS117" s="64"/>
      <c r="BT117" s="75"/>
      <c r="BU117" s="79"/>
      <c r="BV117" s="80"/>
      <c r="BW117" s="64"/>
      <c r="BX117" s="75"/>
      <c r="BY117" s="79"/>
      <c r="BZ117" s="80"/>
      <c r="CA117" s="64"/>
      <c r="CB117" s="75"/>
      <c r="CC117" s="79"/>
    </row>
    <row r="118" spans="19:81" x14ac:dyDescent="0.3">
      <c r="AE118" s="63" t="s">
        <v>49</v>
      </c>
      <c r="AF118" s="64"/>
      <c r="AG118" s="65"/>
      <c r="AH118" s="65"/>
      <c r="AI118" s="66"/>
      <c r="AJ118" s="80"/>
      <c r="AK118" s="75"/>
      <c r="AL118" s="75"/>
      <c r="AM118" s="75"/>
      <c r="AN118" s="75"/>
      <c r="AO118" s="79"/>
      <c r="AP118" s="67"/>
      <c r="AQ118" s="68"/>
      <c r="AR118" s="68"/>
      <c r="AS118" s="68"/>
      <c r="AT118" s="75"/>
      <c r="AU118" s="66"/>
      <c r="AV118" s="81"/>
      <c r="AW118" s="68"/>
      <c r="AX118" s="68"/>
      <c r="AY118" s="68"/>
      <c r="AZ118" s="75"/>
      <c r="BA118" s="79"/>
      <c r="BB118" s="64"/>
      <c r="BC118" s="75"/>
      <c r="BD118" s="75"/>
      <c r="BE118" s="79"/>
      <c r="BF118" s="64"/>
      <c r="BG118" s="64"/>
      <c r="BH118" s="75"/>
      <c r="BI118" s="79"/>
      <c r="BJ118" s="80"/>
      <c r="BK118" s="64"/>
      <c r="BL118" s="75"/>
      <c r="BM118" s="79"/>
      <c r="BN118" s="80"/>
      <c r="BO118" s="64"/>
      <c r="BP118" s="75"/>
      <c r="BQ118" s="79"/>
      <c r="BR118" s="80"/>
      <c r="BS118" s="64"/>
      <c r="BT118" s="75"/>
      <c r="BU118" s="79"/>
      <c r="BV118" s="80"/>
      <c r="BW118" s="64"/>
      <c r="BX118" s="75"/>
      <c r="BY118" s="79"/>
      <c r="BZ118" s="80"/>
      <c r="CA118" s="64"/>
      <c r="CB118" s="75"/>
      <c r="CC118" s="79"/>
    </row>
    <row r="119" spans="19:81" ht="15" thickBot="1" x14ac:dyDescent="0.35">
      <c r="AE119" s="82" t="s">
        <v>50</v>
      </c>
      <c r="AF119" s="83"/>
      <c r="AG119" s="84"/>
      <c r="AH119" s="84"/>
      <c r="AI119" s="85"/>
      <c r="AJ119" s="86"/>
      <c r="AK119" s="87"/>
      <c r="AL119" s="87"/>
      <c r="AM119" s="87"/>
      <c r="AN119" s="87"/>
      <c r="AO119" s="88"/>
      <c r="AP119" s="89"/>
      <c r="AQ119" s="90"/>
      <c r="AR119" s="90"/>
      <c r="AS119" s="90"/>
      <c r="AT119" s="87"/>
      <c r="AU119" s="85"/>
      <c r="AV119" s="91"/>
      <c r="AW119" s="90"/>
      <c r="AX119" s="90"/>
      <c r="AY119" s="90"/>
      <c r="AZ119" s="87"/>
      <c r="BA119" s="88"/>
      <c r="BB119" s="83"/>
      <c r="BC119" s="87"/>
      <c r="BD119" s="87"/>
      <c r="BE119" s="88"/>
      <c r="BF119" s="83"/>
      <c r="BG119" s="83"/>
      <c r="BH119" s="87"/>
      <c r="BI119" s="88"/>
      <c r="BJ119" s="86"/>
      <c r="BK119" s="83"/>
      <c r="BL119" s="87"/>
      <c r="BM119" s="88"/>
      <c r="BN119" s="86"/>
      <c r="BO119" s="83"/>
      <c r="BP119" s="87"/>
      <c r="BQ119" s="88"/>
      <c r="BR119" s="86"/>
      <c r="BS119" s="83"/>
      <c r="BT119" s="87"/>
      <c r="BU119" s="88"/>
      <c r="BV119" s="86"/>
      <c r="BW119" s="83"/>
      <c r="BX119" s="87"/>
      <c r="BY119" s="88"/>
      <c r="BZ119" s="86"/>
      <c r="CA119" s="83"/>
      <c r="CB119" s="87"/>
      <c r="CC119" s="88"/>
    </row>
    <row r="124" spans="19:81" ht="15" thickBot="1" x14ac:dyDescent="0.35">
      <c r="AL124">
        <f>AK77</f>
        <v>0</v>
      </c>
      <c r="AM124" t="s">
        <v>51</v>
      </c>
    </row>
    <row r="125" spans="19:81" ht="15" thickBot="1" x14ac:dyDescent="0.35">
      <c r="S125" s="1" t="s">
        <v>52</v>
      </c>
      <c r="T125" s="3"/>
      <c r="U125" s="4"/>
      <c r="V125" s="6"/>
      <c r="W125" s="6"/>
      <c r="Z125" s="6"/>
      <c r="AA125" s="6"/>
      <c r="AB125" s="6"/>
      <c r="AF125" t="s">
        <v>53</v>
      </c>
    </row>
    <row r="126" spans="19:81" ht="15" thickBot="1" x14ac:dyDescent="0.35">
      <c r="S126" s="92" t="str">
        <f>AM126</f>
        <v>D, см</v>
      </c>
      <c r="T126" s="93" t="str">
        <f>AN126</f>
        <v>h, м</v>
      </c>
      <c r="U126" s="94" t="str">
        <f>AO126</f>
        <v>A, лет</v>
      </c>
      <c r="V126" s="6"/>
      <c r="W126" s="6"/>
      <c r="Z126" s="6"/>
      <c r="AA126" s="6"/>
      <c r="AB126" s="6"/>
      <c r="AF126" s="95"/>
      <c r="AG126" s="96"/>
      <c r="AH126" s="96"/>
      <c r="AI126" s="96"/>
      <c r="AJ126" s="96"/>
      <c r="AK126" s="96"/>
      <c r="AL126" s="96" t="s">
        <v>54</v>
      </c>
      <c r="AM126" s="96" t="str">
        <f>AS83</f>
        <v>D, см</v>
      </c>
      <c r="AN126" s="96" t="str">
        <f>AT83</f>
        <v>h, м</v>
      </c>
      <c r="AO126" s="97" t="str">
        <f>AU83</f>
        <v>A, лет</v>
      </c>
    </row>
    <row r="127" spans="19:81" x14ac:dyDescent="0.3">
      <c r="S127" s="98" t="e">
        <f>AM127*AL127</f>
        <v>#DIV/0!</v>
      </c>
      <c r="T127" s="99">
        <f>AN127*AL127</f>
        <v>6.748731238527158E-7</v>
      </c>
      <c r="U127" s="100" t="e">
        <f>AO127*AL127</f>
        <v>#DIV/0!</v>
      </c>
      <c r="V127" s="6"/>
      <c r="W127" s="13"/>
      <c r="Y127" s="6"/>
      <c r="Z127" s="6"/>
      <c r="AA127" s="6"/>
      <c r="AB127" s="6"/>
      <c r="AF127" s="101" t="e">
        <f t="shared" ref="AF127:AF136" si="26">AL127/$U$75*10</f>
        <v>#DIV/0!</v>
      </c>
      <c r="AG127" s="102"/>
      <c r="AH127" s="102"/>
      <c r="AI127" s="6" t="str">
        <f>AJ82</f>
        <v>Сосна</v>
      </c>
      <c r="AJ127" s="6"/>
      <c r="AK127" s="6"/>
      <c r="AL127" s="103">
        <f>SUM(AJ116:AL116)/(AV80*AV80*3.15/10000*1000)</f>
        <v>1.4997180530060351E-6</v>
      </c>
      <c r="AM127" s="102" t="e">
        <f>AM116</f>
        <v>#DIV/0!</v>
      </c>
      <c r="AN127" s="102">
        <f>AN116</f>
        <v>0.45</v>
      </c>
      <c r="AO127" s="104" t="e">
        <f>AO116</f>
        <v>#DIV/0!</v>
      </c>
      <c r="AP127" s="41"/>
    </row>
    <row r="128" spans="19:81" x14ac:dyDescent="0.3">
      <c r="S128" s="98" t="e">
        <f t="shared" ref="S128:S136" si="27">AM128*AL128</f>
        <v>#DIV/0!</v>
      </c>
      <c r="T128" s="99">
        <f t="shared" ref="T128:T136" si="28">AN128*AL128</f>
        <v>6.748731238527158E-7</v>
      </c>
      <c r="U128" s="100" t="e">
        <f t="shared" ref="U128:U136" si="29">AO128*AL128</f>
        <v>#DIV/0!</v>
      </c>
      <c r="V128" s="6"/>
      <c r="W128" s="13"/>
      <c r="Y128" s="6"/>
      <c r="Z128" s="6"/>
      <c r="AA128" s="6"/>
      <c r="AB128" s="6"/>
      <c r="AF128" s="101" t="e">
        <f t="shared" si="26"/>
        <v>#DIV/0!</v>
      </c>
      <c r="AG128" s="102"/>
      <c r="AH128" s="102"/>
      <c r="AI128" s="6" t="str">
        <f>AP82</f>
        <v>Ель из подроста</v>
      </c>
      <c r="AJ128" s="6"/>
      <c r="AK128" s="6"/>
      <c r="AL128" s="103">
        <f>SUM(AP116:AR116)/(AV80*AV80*3.15/10000*1000)</f>
        <v>1.4997180530060351E-6</v>
      </c>
      <c r="AM128" s="102" t="e">
        <f>AS116</f>
        <v>#DIV/0!</v>
      </c>
      <c r="AN128" s="102">
        <f>AT116</f>
        <v>0.45</v>
      </c>
      <c r="AO128" s="104" t="e">
        <f>AU116</f>
        <v>#DIV/0!</v>
      </c>
      <c r="AP128" s="41"/>
    </row>
    <row r="129" spans="19:42" x14ac:dyDescent="0.3">
      <c r="S129" s="98" t="e">
        <f t="shared" si="27"/>
        <v>#DIV/0!</v>
      </c>
      <c r="T129" s="99">
        <f t="shared" si="28"/>
        <v>6.748731238527158E-7</v>
      </c>
      <c r="U129" s="100" t="e">
        <f t="shared" si="29"/>
        <v>#DIV/0!</v>
      </c>
      <c r="V129" s="6"/>
      <c r="W129" s="6"/>
      <c r="X129" s="6"/>
      <c r="Y129" s="6"/>
      <c r="Z129" s="6"/>
      <c r="AA129" s="6"/>
      <c r="AB129" s="6"/>
      <c r="AF129" s="101" t="e">
        <f t="shared" si="26"/>
        <v>#DIV/0!</v>
      </c>
      <c r="AG129" s="102"/>
      <c r="AH129" s="102"/>
      <c r="AI129" s="6" t="str">
        <f>AV82</f>
        <v>ЕЛЬ лесные культуры</v>
      </c>
      <c r="AJ129" s="6"/>
      <c r="AK129" s="6"/>
      <c r="AL129" s="103">
        <f>SUM(AV116:AX116)/(AV80*AV80*3.15/10000*1000)</f>
        <v>1.4997180530060351E-6</v>
      </c>
      <c r="AM129" s="102" t="e">
        <f>AY116</f>
        <v>#DIV/0!</v>
      </c>
      <c r="AN129" s="102">
        <f>AZ116</f>
        <v>0.45</v>
      </c>
      <c r="AO129" s="104" t="e">
        <f>BA116</f>
        <v>#DIV/0!</v>
      </c>
      <c r="AP129" s="41"/>
    </row>
    <row r="130" spans="19:42" x14ac:dyDescent="0.3">
      <c r="S130" s="98" t="e">
        <f t="shared" si="27"/>
        <v>#DIV/0!</v>
      </c>
      <c r="T130" s="99">
        <f t="shared" si="28"/>
        <v>0</v>
      </c>
      <c r="U130" s="100" t="e">
        <f t="shared" si="29"/>
        <v>#DIV/0!</v>
      </c>
      <c r="V130" s="6"/>
      <c r="W130" s="6"/>
      <c r="X130" s="6"/>
      <c r="Y130" s="6"/>
      <c r="Z130" s="6"/>
      <c r="AA130" s="6"/>
      <c r="AB130" s="6"/>
      <c r="AF130" s="101" t="e">
        <f t="shared" si="26"/>
        <v>#DIV/0!</v>
      </c>
      <c r="AG130" s="102"/>
      <c r="AH130" s="102"/>
      <c r="AI130" s="6" t="str">
        <f>BB82</f>
        <v>Берёза</v>
      </c>
      <c r="AJ130" s="6"/>
      <c r="AK130" s="6"/>
      <c r="AL130" s="103">
        <f>BB116/(AV80*AV80*3.15/10000*1000)</f>
        <v>4.9990601766867829E-7</v>
      </c>
      <c r="AM130" s="102" t="e">
        <f>BC116</f>
        <v>#DIV/0!</v>
      </c>
      <c r="AN130" s="102">
        <f>BD116</f>
        <v>0</v>
      </c>
      <c r="AO130" s="104" t="e">
        <f>BE116</f>
        <v>#DIV/0!</v>
      </c>
      <c r="AP130" s="41"/>
    </row>
    <row r="131" spans="19:42" x14ac:dyDescent="0.3">
      <c r="S131" s="98" t="e">
        <f t="shared" si="27"/>
        <v>#DIV/0!</v>
      </c>
      <c r="T131" s="99">
        <f t="shared" si="28"/>
        <v>0</v>
      </c>
      <c r="U131" s="100" t="e">
        <f t="shared" si="29"/>
        <v>#DIV/0!</v>
      </c>
      <c r="V131" s="6"/>
      <c r="W131" s="6"/>
      <c r="X131" s="6"/>
      <c r="Y131" s="6"/>
      <c r="Z131" s="6"/>
      <c r="AA131" s="6"/>
      <c r="AB131" s="6"/>
      <c r="AF131" s="101" t="e">
        <f t="shared" si="26"/>
        <v>#DIV/0!</v>
      </c>
      <c r="AG131" s="102"/>
      <c r="AH131" s="102"/>
      <c r="AI131" s="6" t="str">
        <f>BF82</f>
        <v>Осина</v>
      </c>
      <c r="AJ131" s="6"/>
      <c r="AK131" s="6"/>
      <c r="AL131" s="103">
        <f>BF116/(AV80*AV80*3.15/10000*1000)</f>
        <v>4.9990601766867829E-7</v>
      </c>
      <c r="AM131" s="102" t="e">
        <f>BG116</f>
        <v>#DIV/0!</v>
      </c>
      <c r="AN131" s="102">
        <f>BH116</f>
        <v>0</v>
      </c>
      <c r="AO131" s="104" t="e">
        <f>BI116</f>
        <v>#DIV/0!</v>
      </c>
      <c r="AP131" s="41"/>
    </row>
    <row r="132" spans="19:42" x14ac:dyDescent="0.3">
      <c r="S132" s="98" t="e">
        <f t="shared" si="27"/>
        <v>#DIV/0!</v>
      </c>
      <c r="T132" s="99">
        <f t="shared" si="28"/>
        <v>0</v>
      </c>
      <c r="U132" s="100" t="e">
        <f t="shared" si="29"/>
        <v>#DIV/0!</v>
      </c>
      <c r="V132" s="6"/>
      <c r="W132" s="6"/>
      <c r="X132" s="6"/>
      <c r="Y132" s="6"/>
      <c r="Z132" s="6"/>
      <c r="AA132" s="6"/>
      <c r="AB132" s="6"/>
      <c r="AF132" s="101" t="e">
        <f t="shared" si="26"/>
        <v>#DIV/0!</v>
      </c>
      <c r="AG132" s="102"/>
      <c r="AH132" s="102"/>
      <c r="AI132" s="6" t="str">
        <f>BJ82</f>
        <v>Ольха серая</v>
      </c>
      <c r="AJ132" s="6"/>
      <c r="AK132" s="6"/>
      <c r="AL132" s="103">
        <f>BJ116/(AV80*AV80*3.15/10000*1000)</f>
        <v>4.9990601766867829E-7</v>
      </c>
      <c r="AM132" s="102" t="e">
        <f>BK116</f>
        <v>#DIV/0!</v>
      </c>
      <c r="AN132" s="102">
        <f>BL116</f>
        <v>0</v>
      </c>
      <c r="AO132" s="104" t="e">
        <f>BM116</f>
        <v>#DIV/0!</v>
      </c>
      <c r="AP132" s="41"/>
    </row>
    <row r="133" spans="19:42" x14ac:dyDescent="0.3">
      <c r="S133" s="98" t="e">
        <f t="shared" si="27"/>
        <v>#DIV/0!</v>
      </c>
      <c r="T133" s="99">
        <f t="shared" si="28"/>
        <v>0</v>
      </c>
      <c r="U133" s="100" t="e">
        <f t="shared" si="29"/>
        <v>#DIV/0!</v>
      </c>
      <c r="V133" s="6"/>
      <c r="W133" s="6"/>
      <c r="X133" s="6"/>
      <c r="Y133" s="6"/>
      <c r="Z133" s="6"/>
      <c r="AA133" s="6"/>
      <c r="AB133" s="6"/>
      <c r="AF133" s="101" t="e">
        <f t="shared" si="26"/>
        <v>#DIV/0!</v>
      </c>
      <c r="AG133" s="102"/>
      <c r="AH133" s="102"/>
      <c r="AI133" s="6" t="str">
        <f>BN82</f>
        <v>Ива</v>
      </c>
      <c r="AJ133" s="6"/>
      <c r="AK133" s="6"/>
      <c r="AL133" s="103">
        <f>BN116/(AV80*AV80*3.15/10000*1000)</f>
        <v>4.9990601766867829E-7</v>
      </c>
      <c r="AM133" s="102" t="e">
        <f>BO116</f>
        <v>#DIV/0!</v>
      </c>
      <c r="AN133" s="102">
        <f>BP116</f>
        <v>0</v>
      </c>
      <c r="AO133" s="104" t="e">
        <f>BQ116</f>
        <v>#DIV/0!</v>
      </c>
      <c r="AP133" s="41"/>
    </row>
    <row r="134" spans="19:42" x14ac:dyDescent="0.3">
      <c r="S134" s="98" t="e">
        <f t="shared" si="27"/>
        <v>#DIV/0!</v>
      </c>
      <c r="T134" s="99">
        <f t="shared" si="28"/>
        <v>0</v>
      </c>
      <c r="U134" s="100" t="e">
        <f t="shared" si="29"/>
        <v>#DIV/0!</v>
      </c>
      <c r="V134" s="6"/>
      <c r="W134" s="6"/>
      <c r="X134" s="6"/>
      <c r="Y134" s="6"/>
      <c r="Z134" s="6"/>
      <c r="AA134" s="6"/>
      <c r="AB134" s="6"/>
      <c r="AF134" s="101" t="e">
        <f t="shared" si="26"/>
        <v>#DIV/0!</v>
      </c>
      <c r="AG134" s="102"/>
      <c r="AH134" s="102"/>
      <c r="AI134" s="6" t="str">
        <f>BR82</f>
        <v>Чёрёмуха</v>
      </c>
      <c r="AJ134" s="6"/>
      <c r="AK134" s="6"/>
      <c r="AL134" s="103">
        <f>BR116/(AV80*AV80*3.15/10000*1000)</f>
        <v>4.9990601766867829E-7</v>
      </c>
      <c r="AM134" s="102" t="e">
        <f>BS116</f>
        <v>#DIV/0!</v>
      </c>
      <c r="AN134" s="102">
        <f>BT116</f>
        <v>0</v>
      </c>
      <c r="AO134" s="104" t="e">
        <f>BU116</f>
        <v>#DIV/0!</v>
      </c>
      <c r="AP134" s="41"/>
    </row>
    <row r="135" spans="19:42" x14ac:dyDescent="0.3">
      <c r="S135" s="98" t="e">
        <f t="shared" si="27"/>
        <v>#DIV/0!</v>
      </c>
      <c r="T135" s="99">
        <f t="shared" si="28"/>
        <v>0</v>
      </c>
      <c r="U135" s="100" t="e">
        <f t="shared" si="29"/>
        <v>#DIV/0!</v>
      </c>
      <c r="V135" s="6"/>
      <c r="W135" s="6"/>
      <c r="X135" s="6"/>
      <c r="Y135" s="6"/>
      <c r="Z135" s="6"/>
      <c r="AA135" s="6"/>
      <c r="AB135" s="6"/>
      <c r="AF135" s="101" t="e">
        <f t="shared" si="26"/>
        <v>#DIV/0!</v>
      </c>
      <c r="AG135" s="102"/>
      <c r="AH135" s="102"/>
      <c r="AI135" s="6" t="str">
        <f>BV82</f>
        <v>Дуб</v>
      </c>
      <c r="AJ135" s="6"/>
      <c r="AK135" s="6"/>
      <c r="AL135" s="103">
        <f>BV116/(AV80*AV80*3.15/10000*1000)</f>
        <v>4.9990601766867829E-7</v>
      </c>
      <c r="AM135" s="102" t="e">
        <f>BW116</f>
        <v>#DIV/0!</v>
      </c>
      <c r="AN135" s="102">
        <f>BX116</f>
        <v>0</v>
      </c>
      <c r="AO135" s="104" t="e">
        <f>BY116</f>
        <v>#DIV/0!</v>
      </c>
      <c r="AP135" s="41"/>
    </row>
    <row r="136" spans="19:42" x14ac:dyDescent="0.3">
      <c r="S136" s="98" t="e">
        <f t="shared" si="27"/>
        <v>#DIV/0!</v>
      </c>
      <c r="T136" s="99">
        <f t="shared" si="28"/>
        <v>0</v>
      </c>
      <c r="U136" s="100" t="e">
        <f t="shared" si="29"/>
        <v>#DIV/0!</v>
      </c>
      <c r="V136" s="6"/>
      <c r="W136" s="6"/>
      <c r="X136" s="6"/>
      <c r="Y136" s="6"/>
      <c r="Z136" s="6"/>
      <c r="AA136" s="6"/>
      <c r="AB136" s="6"/>
      <c r="AF136" s="101" t="e">
        <f t="shared" si="26"/>
        <v>#DIV/0!</v>
      </c>
      <c r="AG136" s="102"/>
      <c r="AH136" s="102"/>
      <c r="AI136" s="6" t="str">
        <f>BZ82</f>
        <v>Рябина</v>
      </c>
      <c r="AJ136" s="6"/>
      <c r="AK136" s="6"/>
      <c r="AL136" s="103">
        <f>BZ116/(AV80*AV80*3.15/10000*1000)</f>
        <v>4.9990601766867829E-7</v>
      </c>
      <c r="AM136" s="102" t="e">
        <f>CA116</f>
        <v>#DIV/0!</v>
      </c>
      <c r="AN136" s="102">
        <f>CB116</f>
        <v>0</v>
      </c>
      <c r="AO136" s="104" t="e">
        <f>CC116</f>
        <v>#DIV/0!</v>
      </c>
      <c r="AP136" s="41"/>
    </row>
    <row r="137" spans="19:42" x14ac:dyDescent="0.3">
      <c r="S137" s="5">
        <f>AT136*AR136</f>
        <v>0</v>
      </c>
      <c r="T137" s="105">
        <f>AZ136*AX136</f>
        <v>0</v>
      </c>
      <c r="U137" s="7"/>
      <c r="V137" s="6"/>
      <c r="W137" s="6"/>
      <c r="X137" s="6"/>
      <c r="Y137" s="6"/>
      <c r="Z137" s="6"/>
      <c r="AA137" s="6"/>
      <c r="AB137" s="6"/>
      <c r="AF137" s="106"/>
      <c r="AG137" s="6"/>
      <c r="AH137" s="6"/>
      <c r="AI137" s="6"/>
      <c r="AJ137" s="6"/>
      <c r="AK137" s="6"/>
      <c r="AL137" s="107"/>
      <c r="AM137" s="107"/>
      <c r="AN137" s="107"/>
      <c r="AO137" s="104"/>
      <c r="AP137" s="41"/>
    </row>
    <row r="138" spans="19:42" x14ac:dyDescent="0.3">
      <c r="S138" s="5">
        <f>AT137*AR137</f>
        <v>0</v>
      </c>
      <c r="T138" s="105">
        <f>AZ137*AX137</f>
        <v>0</v>
      </c>
      <c r="U138" s="7">
        <f>AN137*AL137</f>
        <v>0</v>
      </c>
      <c r="V138" s="6"/>
      <c r="W138" s="6"/>
      <c r="X138" s="6"/>
      <c r="Y138" s="6"/>
      <c r="Z138" s="6"/>
      <c r="AA138" s="6"/>
      <c r="AB138" s="6"/>
      <c r="AF138" s="106"/>
      <c r="AG138" s="6"/>
      <c r="AH138" s="6"/>
      <c r="AI138" s="6"/>
      <c r="AJ138" s="6"/>
      <c r="AK138" s="6"/>
      <c r="AL138" s="107"/>
      <c r="AM138" s="107"/>
      <c r="AN138" s="107"/>
      <c r="AO138" s="104"/>
      <c r="AP138" s="41"/>
    </row>
    <row r="139" spans="19:42" x14ac:dyDescent="0.3">
      <c r="S139" s="5">
        <f>AT138*AR138</f>
        <v>0</v>
      </c>
      <c r="T139" s="105">
        <f>AZ138*AX138</f>
        <v>0</v>
      </c>
      <c r="U139" s="7">
        <f>AN138*AL138</f>
        <v>0</v>
      </c>
      <c r="V139" s="6"/>
      <c r="W139" s="6"/>
      <c r="X139" s="6"/>
      <c r="Y139" s="6"/>
      <c r="Z139" s="6"/>
      <c r="AA139" s="6"/>
      <c r="AB139" s="6"/>
      <c r="AF139" s="108" t="e">
        <f>SUM(AF127:AF136)</f>
        <v>#DIV/0!</v>
      </c>
      <c r="AG139" s="109"/>
      <c r="AH139" s="109"/>
      <c r="AI139" s="11" t="s">
        <v>55</v>
      </c>
      <c r="AJ139" s="11"/>
      <c r="AK139" s="11"/>
      <c r="AL139" s="110">
        <f>SUM(AL127:AL136)</f>
        <v>7.9984962826988543E-6</v>
      </c>
      <c r="AM139" s="110" t="e">
        <f>SUM(S127:S136)/$U$75</f>
        <v>#DIV/0!</v>
      </c>
      <c r="AN139" s="110" t="e">
        <f>SUM(T127:T136)/$U$75</f>
        <v>#DIV/0!</v>
      </c>
      <c r="AO139" s="111" t="e">
        <f>SUM(U127:U136)/$U$75</f>
        <v>#DIV/0!</v>
      </c>
      <c r="AP139" s="41"/>
    </row>
    <row r="140" spans="19:42" x14ac:dyDescent="0.3">
      <c r="S140" s="5">
        <f>AT139*AR139</f>
        <v>0</v>
      </c>
      <c r="T140" s="105">
        <f>AZ139*AX139</f>
        <v>0</v>
      </c>
      <c r="U140" s="7"/>
      <c r="V140" s="6"/>
      <c r="W140" s="6"/>
      <c r="X140" s="6"/>
      <c r="Y140" s="6"/>
      <c r="Z140" s="6"/>
      <c r="AA140" s="6"/>
      <c r="AB140" s="6"/>
    </row>
    <row r="141" spans="19:42" ht="15" thickBot="1" x14ac:dyDescent="0.35">
      <c r="S141" s="8">
        <f>AT157*AR157</f>
        <v>0</v>
      </c>
      <c r="T141" s="112">
        <f>AZ157*AX157</f>
        <v>0</v>
      </c>
      <c r="U141" s="10">
        <f>AN157*AL157</f>
        <v>0</v>
      </c>
      <c r="V141" s="6"/>
      <c r="W141" s="6"/>
      <c r="X141" s="6"/>
      <c r="Y141" s="6"/>
      <c r="Z141" s="6"/>
      <c r="AA141" s="6"/>
      <c r="AB141" s="6"/>
    </row>
  </sheetData>
  <mergeCells count="22">
    <mergeCell ref="BF82:BI82"/>
    <mergeCell ref="BJ82:BM82"/>
    <mergeCell ref="BN82:BQ82"/>
    <mergeCell ref="BR82:BU82"/>
    <mergeCell ref="BV82:BY82"/>
    <mergeCell ref="BZ82:CC82"/>
    <mergeCell ref="AS18:AV18"/>
    <mergeCell ref="AW18:AZ18"/>
    <mergeCell ref="BA18:BD18"/>
    <mergeCell ref="BE18:BH18"/>
    <mergeCell ref="BI18:BL18"/>
    <mergeCell ref="AF82:AI82"/>
    <mergeCell ref="AJ82:AO82"/>
    <mergeCell ref="AP82:AU82"/>
    <mergeCell ref="AV82:BA82"/>
    <mergeCell ref="BB82:BE82"/>
    <mergeCell ref="O18:R18"/>
    <mergeCell ref="S18:X18"/>
    <mergeCell ref="Y18:AD18"/>
    <mergeCell ref="AE18:AJ18"/>
    <mergeCell ref="AK18:AN18"/>
    <mergeCell ref="AO18:AR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Лист4</vt:lpstr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2025-05-07T19:03:23Z</dcterms:modified>
</cp:coreProperties>
</file>